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Tasks" sheetId="2" state="visible" r:id="rId2"/>
    <sheet name="Reviews" sheetId="3" state="visible" r:id="rId3"/>
    <sheet name="Metrics" sheetId="4" state="visible" r:id="rId4"/>
    <sheet name="Site Build" sheetId="5" state="visible" r:id="rId5"/>
    <sheet name="Waiting On Cleo" sheetId="6" state="visible" r:id="rId6"/>
  </sheets>
  <definedNames>
    <definedName name="_xlnm._FilterDatabase" localSheetId="1" hidden="1">'Tasks'!$A$1:$M$71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Georgia"/>
      <b val="1"/>
      <color rgb="002E2A23"/>
      <sz val="15"/>
    </font>
    <font>
      <name val="Calibri"/>
      <i val="1"/>
      <color rgb="006E6557"/>
      <sz val="10"/>
    </font>
    <font>
      <name val="Calibri"/>
      <b val="1"/>
      <color rgb="002E2A23"/>
      <sz val="10"/>
    </font>
    <font>
      <name val="Calibri"/>
      <color rgb="002E2A23"/>
      <sz val="10"/>
    </font>
    <font>
      <name val="Calibri"/>
      <b val="1"/>
      <color rgb="00B99753"/>
      <sz val="10"/>
    </font>
    <font>
      <name val="Calibri"/>
      <i val="1"/>
      <color rgb="006E6557"/>
      <sz val="9"/>
    </font>
  </fonts>
  <fills count="3">
    <fill>
      <patternFill/>
    </fill>
    <fill>
      <patternFill patternType="gray125"/>
    </fill>
    <fill>
      <patternFill patternType="solid">
        <fgColor rgb="00E5DCCA"/>
      </patternFill>
    </fill>
  </fills>
  <borders count="2">
    <border>
      <left/>
      <right/>
      <top/>
      <bottom/>
      <diagonal/>
    </border>
    <border>
      <bottom style="thin">
        <color rgb="00C9A85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0" fontId="6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top"/>
    </xf>
    <xf numFmtId="164" fontId="4" fillId="0" borderId="0" applyAlignment="1" pivotButton="0" quotePrefix="0" xfId="0">
      <alignment vertical="top"/>
    </xf>
    <xf numFmtId="164" fontId="4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DEBD8"/>
        </patternFill>
      </fill>
    </dxf>
    <dxf>
      <fill>
        <patternFill patternType="solid">
          <fgColor rgb="00F6DCDA"/>
        </patternFill>
      </fill>
    </dxf>
    <dxf>
      <fill>
        <patternFill patternType="solid">
          <fgColor rgb="00FBEFD4"/>
        </patternFill>
      </fill>
    </dxf>
    <dxf>
      <font>
        <b val="1"/>
        <color rgb="00B03A2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Getting Found in Oakville — 90-day tracker</t>
        </is>
      </c>
    </row>
    <row r="2">
      <c r="A2" s="2" t="inlineStr">
        <is>
          <t>Working file for Luxury Beauty by Cleo R. Companion to seo-roadmap-90-day.docx</t>
        </is>
      </c>
    </row>
    <row r="4">
      <c r="A4" s="3" t="inlineStr"/>
      <c r="B4" s="4" t="inlineStr"/>
    </row>
    <row r="5">
      <c r="A5" s="5" t="inlineStr">
        <is>
          <t>HOW THIS WORKS</t>
        </is>
      </c>
      <c r="B5" s="4" t="inlineStr"/>
    </row>
    <row r="6">
      <c r="A6" s="3" t="inlineStr">
        <is>
          <t>The plan</t>
        </is>
      </c>
      <c r="B6" s="4" t="inlineStr">
        <is>
          <t>Everything in the Tasks tab comes from a section of the roadmap document. Read that first, once.</t>
        </is>
      </c>
    </row>
    <row r="7">
      <c r="A7" s="3" t="inlineStr">
        <is>
          <t>Daily</t>
        </is>
      </c>
      <c r="B7" s="4" t="inlineStr">
        <is>
          <t>Open the Tasks tab. Filter Status to 'In progress' and 'Not started'. Update what moved.</t>
        </is>
      </c>
    </row>
    <row r="8">
      <c r="A8" s="3" t="inlineStr">
        <is>
          <t>You edit</t>
        </is>
      </c>
      <c r="B8" s="4" t="inlineStr">
        <is>
          <t>Status, Date done, and Notes. Leave the rest unless the plan genuinely changes.</t>
        </is>
      </c>
    </row>
    <row r="9">
      <c r="A9" s="3" t="inlineStr">
        <is>
          <t>Blocked?</t>
        </is>
      </c>
      <c r="B9" s="4" t="inlineStr">
        <is>
          <t>Set Status to Blocked and write what you are waiting on in Notes. Blocked rows turn red.</t>
        </is>
      </c>
    </row>
    <row r="10">
      <c r="A10" s="3" t="inlineStr">
        <is>
          <t>Applies to</t>
        </is>
      </c>
      <c r="B10" s="4" t="inlineStr">
        <is>
          <t>Website tasks are tagged Path B or C / Path C only. Once Cleo decides, filter out what does not apply.</t>
        </is>
      </c>
    </row>
    <row r="11">
      <c r="A11" s="3" t="inlineStr">
        <is>
          <t>Weekly</t>
        </is>
      </c>
      <c r="B11" s="4" t="inlineStr">
        <is>
          <t>Check the Reviews tab. It is the single highest-return thing in the plan and it needs a weekly nudge.</t>
        </is>
      </c>
    </row>
    <row r="12">
      <c r="A12" s="3" t="inlineStr">
        <is>
          <t>Monthly</t>
        </is>
      </c>
      <c r="B12" s="4" t="inlineStr">
        <is>
          <t>Fill the Metrics tab. Compare against the baseline column, not against last week.</t>
        </is>
      </c>
    </row>
    <row r="13">
      <c r="A13" s="3" t="inlineStr"/>
      <c r="B13" s="4" t="inlineStr"/>
    </row>
    <row r="14">
      <c r="A14" s="5" t="inlineStr">
        <is>
          <t>THE ONE DECISION EVERYTHING WAITS ON</t>
        </is>
      </c>
      <c r="B14" s="4" t="inlineStr"/>
    </row>
    <row r="15">
      <c r="A15" s="3" t="inlineStr">
        <is>
          <t>Website</t>
        </is>
      </c>
      <c r="B15" s="4" t="inlineStr">
        <is>
          <t>Path A: no site. Path B: one page in two weeks. Path C: full build. Due week 2.</t>
        </is>
      </c>
    </row>
    <row r="16">
      <c r="A16" s="3" t="inlineStr">
        <is>
          <t>If it slips</t>
        </is>
      </c>
      <c r="B16" s="4" t="inlineStr">
        <is>
          <t>Site tasks shift with it. A decision after week 4 pushes launch outside the quarter.</t>
        </is>
      </c>
    </row>
    <row r="17">
      <c r="A17" s="3" t="inlineStr"/>
      <c r="B17" s="4" t="inlineStr"/>
    </row>
    <row r="18">
      <c r="A18" s="5" t="inlineStr">
        <is>
          <t>WHERE THINGS STAND</t>
        </is>
      </c>
      <c r="B18" s="4" t="inlineStr"/>
    </row>
    <row r="19">
      <c r="A19" s="3" t="inlineStr">
        <is>
          <t>Total tasks</t>
        </is>
      </c>
      <c r="B19" s="6">
        <f>COUNTA(Tasks!F2:F71)</f>
        <v/>
      </c>
    </row>
    <row r="20">
      <c r="A20" s="3" t="inlineStr">
        <is>
          <t>Not started</t>
        </is>
      </c>
      <c r="B20" s="6">
        <f>COUNTIF(Tasks!K2:K71,"Not started")</f>
        <v/>
      </c>
    </row>
    <row r="21">
      <c r="A21" s="3" t="inlineStr">
        <is>
          <t>In progress</t>
        </is>
      </c>
      <c r="B21" s="6">
        <f>COUNTIF(Tasks!K2:K71,"In progress")</f>
        <v/>
      </c>
    </row>
    <row r="22">
      <c r="A22" s="3" t="inlineStr">
        <is>
          <t>Blocked</t>
        </is>
      </c>
      <c r="B22" s="6">
        <f>COUNTIF(Tasks!K2:K71,"Blocked")</f>
        <v/>
      </c>
    </row>
    <row r="23">
      <c r="A23" s="3" t="inlineStr">
        <is>
          <t>Done</t>
        </is>
      </c>
      <c r="B23" s="6">
        <f>COUNTIF(Tasks!K2:K71,"Done")</f>
        <v/>
      </c>
    </row>
    <row r="24">
      <c r="A24" s="3" t="inlineStr">
        <is>
          <t>Overdue and not done</t>
        </is>
      </c>
      <c r="B24" s="6">
        <f>SUMPRODUCT((Tasks!D2:D71&lt;TODAY())*(Tasks!K2:K71&lt;&gt;"Done")*(Tasks!K2:K71&lt;&gt;"Not applicable"))</f>
        <v/>
      </c>
    </row>
    <row r="25">
      <c r="A25" s="3" t="inlineStr">
        <is>
          <t>Percent complete</t>
        </is>
      </c>
      <c r="B25" s="7">
        <f>IFERROR(COUNTIF(Tasks!K2:K71,"Done")/COUNTA(Tasks!F2:F71),0)</f>
        <v/>
      </c>
    </row>
    <row r="27">
      <c r="A27" s="8" t="inlineStr">
        <is>
          <t>Import to Google Sheets: drive.google.com &gt; New &gt; File upload &gt; pick this file &gt; open with Google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7" customWidth="1" min="3" max="3"/>
    <col width="11" customWidth="1" min="4" max="4"/>
    <col width="15" customWidth="1" min="5" max="5"/>
    <col width="62" customWidth="1" min="6" max="6"/>
    <col width="9" customWidth="1" min="7" max="7"/>
    <col width="12" customWidth="1" min="8" max="8"/>
    <col width="9" customWidth="1" min="9" max="9"/>
    <col width="13" customWidth="1" min="10" max="10"/>
    <col width="14" customWidth="1" min="11" max="11"/>
    <col width="11" customWidth="1" min="12" max="12"/>
    <col width="40" customWidth="1" min="13" max="13"/>
  </cols>
  <sheetData>
    <row r="1" ht="28" customHeight="1">
      <c r="A1" s="9" t="inlineStr">
        <is>
          <t>ID</t>
        </is>
      </c>
      <c r="B1" s="9" t="inlineStr">
        <is>
          <t>Month</t>
        </is>
      </c>
      <c r="C1" s="9" t="inlineStr">
        <is>
          <t>Week</t>
        </is>
      </c>
      <c r="D1" s="9" t="inlineStr">
        <is>
          <t>Due</t>
        </is>
      </c>
      <c r="E1" s="9" t="inlineStr">
        <is>
          <t>Area</t>
        </is>
      </c>
      <c r="F1" s="9" t="inlineStr">
        <is>
          <t>Task</t>
        </is>
      </c>
      <c r="G1" s="9" t="inlineStr">
        <is>
          <t>Owner</t>
        </is>
      </c>
      <c r="H1" s="9" t="inlineStr">
        <is>
          <t>Cadence</t>
        </is>
      </c>
      <c r="I1" s="9" t="inlineStr">
        <is>
          <t>Priority</t>
        </is>
      </c>
      <c r="J1" s="9" t="inlineStr">
        <is>
          <t>Applies to</t>
        </is>
      </c>
      <c r="K1" s="9" t="inlineStr">
        <is>
          <t>Status</t>
        </is>
      </c>
      <c r="L1" s="9" t="inlineStr">
        <is>
          <t>Date done</t>
        </is>
      </c>
      <c r="M1" s="9" t="inlineStr">
        <is>
          <t>Notes / blockers</t>
        </is>
      </c>
    </row>
    <row r="2" ht="15" customHeight="1">
      <c r="A2" s="10" t="n">
        <v>1</v>
      </c>
      <c r="B2" s="10" t="inlineStr">
        <is>
          <t>Month 1</t>
        </is>
      </c>
      <c r="C2" s="10" t="inlineStr">
        <is>
          <t>W1</t>
        </is>
      </c>
      <c r="D2" s="11" t="n">
        <v>46271</v>
      </c>
      <c r="E2" s="10" t="inlineStr">
        <is>
          <t>Google profile</t>
        </is>
      </c>
      <c r="F2" s="4" t="inlineStr">
        <is>
          <t>Find out who owns the Google Business Profile and which email holds it</t>
        </is>
      </c>
      <c r="G2" s="10" t="inlineStr">
        <is>
          <t>Cleo</t>
        </is>
      </c>
      <c r="H2" s="10" t="inlineStr">
        <is>
          <t>One-off</t>
        </is>
      </c>
      <c r="I2" s="10" t="inlineStr">
        <is>
          <t>High</t>
        </is>
      </c>
      <c r="J2" s="10" t="inlineStr">
        <is>
          <t>Any path</t>
        </is>
      </c>
      <c r="K2" s="10" t="inlineStr">
        <is>
          <t>Not started</t>
        </is>
      </c>
      <c r="L2" s="11" t="n"/>
      <c r="M2" s="4" t="n"/>
    </row>
    <row r="3" ht="15" customHeight="1">
      <c r="A3" s="10" t="n">
        <v>2</v>
      </c>
      <c r="B3" s="10" t="inlineStr">
        <is>
          <t>Month 1</t>
        </is>
      </c>
      <c r="C3" s="10" t="inlineStr">
        <is>
          <t>W1</t>
        </is>
      </c>
      <c r="D3" s="11" t="n">
        <v>46271</v>
      </c>
      <c r="E3" s="10" t="inlineStr">
        <is>
          <t>Google profile</t>
        </is>
      </c>
      <c r="F3" s="4" t="inlineStr">
        <is>
          <t>Confirm with Allure whether you can use your own signage and suite designation</t>
        </is>
      </c>
      <c r="G3" s="10" t="inlineStr">
        <is>
          <t>Cleo</t>
        </is>
      </c>
      <c r="H3" s="10" t="inlineStr">
        <is>
          <t>One-off</t>
        </is>
      </c>
      <c r="I3" s="10" t="inlineStr">
        <is>
          <t>High</t>
        </is>
      </c>
      <c r="J3" s="10" t="inlineStr">
        <is>
          <t>Any path</t>
        </is>
      </c>
      <c r="K3" s="10" t="inlineStr">
        <is>
          <t>Not started</t>
        </is>
      </c>
      <c r="L3" s="11" t="n"/>
      <c r="M3" s="4" t="n"/>
    </row>
    <row r="4" ht="15" customHeight="1">
      <c r="A4" s="10" t="n">
        <v>3</v>
      </c>
      <c r="B4" s="10" t="inlineStr">
        <is>
          <t>Month 1</t>
        </is>
      </c>
      <c r="C4" s="10" t="inlineStr">
        <is>
          <t>W1</t>
        </is>
      </c>
      <c r="D4" s="11" t="n">
        <v>46271</v>
      </c>
      <c r="E4" s="10" t="inlineStr">
        <is>
          <t>Google profile</t>
        </is>
      </c>
      <c r="F4" s="4" t="inlineStr">
        <is>
          <t>Claim and verify the Google Business Profile</t>
        </is>
      </c>
      <c r="G4" s="10" t="inlineStr">
        <is>
          <t>Agency</t>
        </is>
      </c>
      <c r="H4" s="10" t="inlineStr">
        <is>
          <t>One-off</t>
        </is>
      </c>
      <c r="I4" s="10" t="inlineStr">
        <is>
          <t>High</t>
        </is>
      </c>
      <c r="J4" s="10" t="inlineStr">
        <is>
          <t>Any path</t>
        </is>
      </c>
      <c r="K4" s="10" t="inlineStr">
        <is>
          <t>Not started</t>
        </is>
      </c>
      <c r="L4" s="11" t="n"/>
      <c r="M4" s="4" t="n"/>
    </row>
    <row r="5" ht="15" customHeight="1">
      <c r="A5" s="10" t="n">
        <v>4</v>
      </c>
      <c r="B5" s="10" t="inlineStr">
        <is>
          <t>Month 1</t>
        </is>
      </c>
      <c r="C5" s="10" t="inlineStr">
        <is>
          <t>W1</t>
        </is>
      </c>
      <c r="D5" s="11" t="n">
        <v>46271</v>
      </c>
      <c r="E5" s="10" t="inlineStr">
        <is>
          <t>Google profile</t>
        </is>
      </c>
      <c r="F5" s="4" t="inlineStr">
        <is>
          <t>Correct the GBP address to L6M 0T9 and add the suite designation</t>
        </is>
      </c>
      <c r="G5" s="10" t="inlineStr">
        <is>
          <t>Agency</t>
        </is>
      </c>
      <c r="H5" s="10" t="inlineStr">
        <is>
          <t>One-off</t>
        </is>
      </c>
      <c r="I5" s="10" t="inlineStr">
        <is>
          <t>High</t>
        </is>
      </c>
      <c r="J5" s="10" t="inlineStr">
        <is>
          <t>Any path</t>
        </is>
      </c>
      <c r="K5" s="10" t="inlineStr">
        <is>
          <t>Not started</t>
        </is>
      </c>
      <c r="L5" s="11" t="n"/>
      <c r="M5" s="4" t="n"/>
    </row>
    <row r="6" ht="15" customHeight="1">
      <c r="A6" s="10" t="n">
        <v>5</v>
      </c>
      <c r="B6" s="10" t="inlineStr">
        <is>
          <t>Month 1</t>
        </is>
      </c>
      <c r="C6" s="10" t="inlineStr">
        <is>
          <t>W1</t>
        </is>
      </c>
      <c r="D6" s="11" t="n">
        <v>46271</v>
      </c>
      <c r="E6" s="10" t="inlineStr">
        <is>
          <t>Google profile</t>
        </is>
      </c>
      <c r="F6" s="4" t="inlineStr">
        <is>
          <t>Replace the dead website link on GBP with Instagram or the booking link</t>
        </is>
      </c>
      <c r="G6" s="10" t="inlineStr">
        <is>
          <t>Agency</t>
        </is>
      </c>
      <c r="H6" s="10" t="inlineStr">
        <is>
          <t>One-off</t>
        </is>
      </c>
      <c r="I6" s="10" t="inlineStr">
        <is>
          <t>High</t>
        </is>
      </c>
      <c r="J6" s="10" t="inlineStr">
        <is>
          <t>Any path</t>
        </is>
      </c>
      <c r="K6" s="10" t="inlineStr">
        <is>
          <t>Not started</t>
        </is>
      </c>
      <c r="L6" s="11" t="n"/>
      <c r="M6" s="4" t="n"/>
    </row>
    <row r="7" ht="15" customHeight="1">
      <c r="A7" s="10" t="n">
        <v>6</v>
      </c>
      <c r="B7" s="10" t="inlineStr">
        <is>
          <t>Month 1</t>
        </is>
      </c>
      <c r="C7" s="10" t="inlineStr">
        <is>
          <t>W1</t>
        </is>
      </c>
      <c r="D7" s="11" t="n">
        <v>46271</v>
      </c>
      <c r="E7" s="10" t="inlineStr">
        <is>
          <t>Citations</t>
        </is>
      </c>
      <c r="F7" s="4" t="inlineStr">
        <is>
          <t>Decide on one email address and one phone number to use everywhere</t>
        </is>
      </c>
      <c r="G7" s="10" t="inlineStr">
        <is>
          <t>Cleo</t>
        </is>
      </c>
      <c r="H7" s="10" t="inlineStr">
        <is>
          <t>One-off</t>
        </is>
      </c>
      <c r="I7" s="10" t="inlineStr">
        <is>
          <t>High</t>
        </is>
      </c>
      <c r="J7" s="10" t="inlineStr">
        <is>
          <t>Any path</t>
        </is>
      </c>
      <c r="K7" s="10" t="inlineStr">
        <is>
          <t>Not started</t>
        </is>
      </c>
      <c r="L7" s="11" t="n"/>
      <c r="M7" s="4" t="n"/>
    </row>
    <row r="8" ht="15" customHeight="1">
      <c r="A8" s="10" t="n">
        <v>7</v>
      </c>
      <c r="B8" s="10" t="inlineStr">
        <is>
          <t>Month 1</t>
        </is>
      </c>
      <c r="C8" s="10" t="inlineStr">
        <is>
          <t>W1</t>
        </is>
      </c>
      <c r="D8" s="11" t="n">
        <v>46271</v>
      </c>
      <c r="E8" s="10" t="inlineStr">
        <is>
          <t>Measurement</t>
        </is>
      </c>
      <c r="F8" s="4" t="inlineStr">
        <is>
          <t>Record baseline: 12 reviews, 5.0 average, GBP calls and direction requests</t>
        </is>
      </c>
      <c r="G8" s="10" t="inlineStr">
        <is>
          <t>Agency</t>
        </is>
      </c>
      <c r="H8" s="10" t="inlineStr">
        <is>
          <t>One-off</t>
        </is>
      </c>
      <c r="I8" s="10" t="inlineStr">
        <is>
          <t>High</t>
        </is>
      </c>
      <c r="J8" s="10" t="inlineStr">
        <is>
          <t>Any path</t>
        </is>
      </c>
      <c r="K8" s="10" t="inlineStr">
        <is>
          <t>Not started</t>
        </is>
      </c>
      <c r="L8" s="11" t="n"/>
      <c r="M8" s="4" t="n"/>
    </row>
    <row r="9" ht="15" customHeight="1">
      <c r="A9" s="10" t="n">
        <v>8</v>
      </c>
      <c r="B9" s="10" t="inlineStr">
        <is>
          <t>Month 1</t>
        </is>
      </c>
      <c r="C9" s="10" t="inlineStr">
        <is>
          <t>W1</t>
        </is>
      </c>
      <c r="D9" s="11" t="n">
        <v>46271</v>
      </c>
      <c r="E9" s="10" t="inlineStr">
        <is>
          <t>Measurement</t>
        </is>
      </c>
      <c r="F9" s="4" t="inlineStr">
        <is>
          <t>Send us your real opening hours for every day of the week</t>
        </is>
      </c>
      <c r="G9" s="10" t="inlineStr">
        <is>
          <t>Cleo</t>
        </is>
      </c>
      <c r="H9" s="10" t="inlineStr">
        <is>
          <t>One-off</t>
        </is>
      </c>
      <c r="I9" s="10" t="inlineStr">
        <is>
          <t>High</t>
        </is>
      </c>
      <c r="J9" s="10" t="inlineStr">
        <is>
          <t>Any path</t>
        </is>
      </c>
      <c r="K9" s="10" t="inlineStr">
        <is>
          <t>Not started</t>
        </is>
      </c>
      <c r="L9" s="11" t="n"/>
      <c r="M9" s="4" t="n"/>
    </row>
    <row r="10" ht="15" customHeight="1">
      <c r="A10" s="10" t="n">
        <v>9</v>
      </c>
      <c r="B10" s="10" t="inlineStr">
        <is>
          <t>Month 1</t>
        </is>
      </c>
      <c r="C10" s="10" t="inlineStr">
        <is>
          <t>W2</t>
        </is>
      </c>
      <c r="D10" s="11" t="n">
        <v>46278</v>
      </c>
      <c r="E10" s="10" t="inlineStr">
        <is>
          <t>Website</t>
        </is>
      </c>
      <c r="F10" s="4" t="inlineStr">
        <is>
          <t>WEBSITE DECISION DUE: Path A, Path B or Path C</t>
        </is>
      </c>
      <c r="G10" s="10" t="inlineStr">
        <is>
          <t>Cleo</t>
        </is>
      </c>
      <c r="H10" s="10" t="inlineStr">
        <is>
          <t>One-off</t>
        </is>
      </c>
      <c r="I10" s="10" t="inlineStr">
        <is>
          <t>High</t>
        </is>
      </c>
      <c r="J10" s="10" t="inlineStr">
        <is>
          <t>Any path</t>
        </is>
      </c>
      <c r="K10" s="10" t="inlineStr">
        <is>
          <t>Not started</t>
        </is>
      </c>
      <c r="L10" s="11" t="n"/>
      <c r="M10" s="4" t="n"/>
    </row>
    <row r="11" ht="15" customHeight="1">
      <c r="A11" s="10" t="n">
        <v>10</v>
      </c>
      <c r="B11" s="10" t="inlineStr">
        <is>
          <t>Month 1</t>
        </is>
      </c>
      <c r="C11" s="10" t="inlineStr">
        <is>
          <t>W2</t>
        </is>
      </c>
      <c r="D11" s="11" t="n">
        <v>46278</v>
      </c>
      <c r="E11" s="10" t="inlineStr">
        <is>
          <t>Google profile</t>
        </is>
      </c>
      <c r="F11" s="4" t="inlineStr">
        <is>
          <t>Set real opening hours on GBP for all days</t>
        </is>
      </c>
      <c r="G11" s="10" t="inlineStr">
        <is>
          <t>Agency</t>
        </is>
      </c>
      <c r="H11" s="10" t="inlineStr">
        <is>
          <t>One-off</t>
        </is>
      </c>
      <c r="I11" s="10" t="inlineStr">
        <is>
          <t>High</t>
        </is>
      </c>
      <c r="J11" s="10" t="inlineStr">
        <is>
          <t>Any path</t>
        </is>
      </c>
      <c r="K11" s="10" t="inlineStr">
        <is>
          <t>Not started</t>
        </is>
      </c>
      <c r="L11" s="11" t="n"/>
      <c r="M11" s="4" t="n"/>
    </row>
    <row r="12" ht="15" customHeight="1">
      <c r="A12" s="10" t="n">
        <v>11</v>
      </c>
      <c r="B12" s="10" t="inlineStr">
        <is>
          <t>Month 1</t>
        </is>
      </c>
      <c r="C12" s="10" t="inlineStr">
        <is>
          <t>W2</t>
        </is>
      </c>
      <c r="D12" s="11" t="n">
        <v>46278</v>
      </c>
      <c r="E12" s="10" t="inlineStr">
        <is>
          <t>Google profile</t>
        </is>
      </c>
      <c r="F12" s="4" t="inlineStr">
        <is>
          <t>Choose the primary GBP category</t>
        </is>
      </c>
      <c r="G12" s="10" t="inlineStr">
        <is>
          <t>Agency</t>
        </is>
      </c>
      <c r="H12" s="10" t="inlineStr">
        <is>
          <t>One-off</t>
        </is>
      </c>
      <c r="I12" s="10" t="inlineStr">
        <is>
          <t>High</t>
        </is>
      </c>
      <c r="J12" s="10" t="inlineStr">
        <is>
          <t>Any path</t>
        </is>
      </c>
      <c r="K12" s="10" t="inlineStr">
        <is>
          <t>Not started</t>
        </is>
      </c>
      <c r="L12" s="11" t="n"/>
      <c r="M12" s="4" t="n"/>
    </row>
    <row r="13" ht="15" customHeight="1">
      <c r="A13" s="10" t="n">
        <v>12</v>
      </c>
      <c r="B13" s="10" t="inlineStr">
        <is>
          <t>Month 1</t>
        </is>
      </c>
      <c r="C13" s="10" t="inlineStr">
        <is>
          <t>W2</t>
        </is>
      </c>
      <c r="D13" s="11" t="n">
        <v>46278</v>
      </c>
      <c r="E13" s="10" t="inlineStr">
        <is>
          <t>Google profile</t>
        </is>
      </c>
      <c r="F13" s="4" t="inlineStr">
        <is>
          <t>Choose secondary categories that avoid colliding with Allure's listing</t>
        </is>
      </c>
      <c r="G13" s="10" t="inlineStr">
        <is>
          <t>Agency</t>
        </is>
      </c>
      <c r="H13" s="10" t="inlineStr">
        <is>
          <t>One-off</t>
        </is>
      </c>
      <c r="I13" s="10" t="inlineStr">
        <is>
          <t>High</t>
        </is>
      </c>
      <c r="J13" s="10" t="inlineStr">
        <is>
          <t>Any path</t>
        </is>
      </c>
      <c r="K13" s="10" t="inlineStr">
        <is>
          <t>Not started</t>
        </is>
      </c>
      <c r="L13" s="11" t="n"/>
      <c r="M13" s="4" t="n"/>
    </row>
    <row r="14" ht="15" customHeight="1">
      <c r="A14" s="10" t="n">
        <v>13</v>
      </c>
      <c r="B14" s="10" t="inlineStr">
        <is>
          <t>Month 1</t>
        </is>
      </c>
      <c r="C14" s="10" t="inlineStr">
        <is>
          <t>W2</t>
        </is>
      </c>
      <c r="D14" s="11" t="n">
        <v>46278</v>
      </c>
      <c r="E14" s="10" t="inlineStr">
        <is>
          <t>Google profile</t>
        </is>
      </c>
      <c r="F14" s="4" t="inlineStr">
        <is>
          <t>Add a working booking link to GBP</t>
        </is>
      </c>
      <c r="G14" s="10" t="inlineStr">
        <is>
          <t>Agency</t>
        </is>
      </c>
      <c r="H14" s="10" t="inlineStr">
        <is>
          <t>One-off</t>
        </is>
      </c>
      <c r="I14" s="10" t="inlineStr">
        <is>
          <t>High</t>
        </is>
      </c>
      <c r="J14" s="10" t="inlineStr">
        <is>
          <t>Any path</t>
        </is>
      </c>
      <c r="K14" s="10" t="inlineStr">
        <is>
          <t>Not started</t>
        </is>
      </c>
      <c r="L14" s="11" t="n"/>
      <c r="M14" s="4" t="n"/>
    </row>
    <row r="15" ht="15" customHeight="1">
      <c r="A15" s="10" t="n">
        <v>14</v>
      </c>
      <c r="B15" s="10" t="inlineStr">
        <is>
          <t>Month 1</t>
        </is>
      </c>
      <c r="C15" s="10" t="inlineStr">
        <is>
          <t>W2</t>
        </is>
      </c>
      <c r="D15" s="11" t="n">
        <v>46278</v>
      </c>
      <c r="E15" s="10" t="inlineStr">
        <is>
          <t>Google profile</t>
        </is>
      </c>
      <c r="F15" s="4" t="inlineStr">
        <is>
          <t>Upload real photos to GBP: treatment room, you, the space</t>
        </is>
      </c>
      <c r="G15" s="10" t="inlineStr">
        <is>
          <t>Both</t>
        </is>
      </c>
      <c r="H15" s="10" t="inlineStr">
        <is>
          <t>One-off</t>
        </is>
      </c>
      <c r="I15" s="10" t="inlineStr">
        <is>
          <t>High</t>
        </is>
      </c>
      <c r="J15" s="10" t="inlineStr">
        <is>
          <t>Any path</t>
        </is>
      </c>
      <c r="K15" s="10" t="inlineStr">
        <is>
          <t>Not started</t>
        </is>
      </c>
      <c r="L15" s="11" t="n"/>
      <c r="M15" s="4" t="n"/>
    </row>
    <row r="16" ht="15" customHeight="1">
      <c r="A16" s="10" t="n">
        <v>15</v>
      </c>
      <c r="B16" s="10" t="inlineStr">
        <is>
          <t>Month 1</t>
        </is>
      </c>
      <c r="C16" s="10" t="inlineStr">
        <is>
          <t>W2</t>
        </is>
      </c>
      <c r="D16" s="11" t="n">
        <v>46278</v>
      </c>
      <c r="E16" s="10" t="inlineStr">
        <is>
          <t>Measurement</t>
        </is>
      </c>
      <c r="F16" s="4" t="inlineStr">
        <is>
          <t>Set up Google Search Console</t>
        </is>
      </c>
      <c r="G16" s="10" t="inlineStr">
        <is>
          <t>Agency</t>
        </is>
      </c>
      <c r="H16" s="10" t="inlineStr">
        <is>
          <t>One-off</t>
        </is>
      </c>
      <c r="I16" s="10" t="inlineStr">
        <is>
          <t>Medium</t>
        </is>
      </c>
      <c r="J16" s="10" t="inlineStr">
        <is>
          <t>Any path</t>
        </is>
      </c>
      <c r="K16" s="10" t="inlineStr">
        <is>
          <t>Not started</t>
        </is>
      </c>
      <c r="L16" s="11" t="n"/>
      <c r="M16" s="4" t="n"/>
    </row>
    <row r="17" ht="15" customHeight="1">
      <c r="A17" s="10" t="n">
        <v>16</v>
      </c>
      <c r="B17" s="10" t="inlineStr">
        <is>
          <t>Month 1</t>
        </is>
      </c>
      <c r="C17" s="10" t="inlineStr">
        <is>
          <t>W2</t>
        </is>
      </c>
      <c r="D17" s="11" t="n">
        <v>46278</v>
      </c>
      <c r="E17" s="10" t="inlineStr">
        <is>
          <t>Measurement</t>
        </is>
      </c>
      <c r="F17" s="4" t="inlineStr">
        <is>
          <t>Set up analytics</t>
        </is>
      </c>
      <c r="G17" s="10" t="inlineStr">
        <is>
          <t>Agency</t>
        </is>
      </c>
      <c r="H17" s="10" t="inlineStr">
        <is>
          <t>One-off</t>
        </is>
      </c>
      <c r="I17" s="10" t="inlineStr">
        <is>
          <t>Medium</t>
        </is>
      </c>
      <c r="J17" s="10" t="inlineStr">
        <is>
          <t>Any path</t>
        </is>
      </c>
      <c r="K17" s="10" t="inlineStr">
        <is>
          <t>Not started</t>
        </is>
      </c>
      <c r="L17" s="11" t="n"/>
      <c r="M17" s="4" t="n"/>
    </row>
    <row r="18" ht="15" customHeight="1">
      <c r="A18" s="10" t="n">
        <v>17</v>
      </c>
      <c r="B18" s="10" t="inlineStr">
        <is>
          <t>Month 1</t>
        </is>
      </c>
      <c r="C18" s="10" t="inlineStr">
        <is>
          <t>W3</t>
        </is>
      </c>
      <c r="D18" s="11" t="n">
        <v>46285</v>
      </c>
      <c r="E18" s="10" t="inlineStr">
        <is>
          <t>Citations</t>
        </is>
      </c>
      <c r="F18" s="4" t="inlineStr">
        <is>
          <t>Correct postal code to L6M 0T9 on Birdeye</t>
        </is>
      </c>
      <c r="G18" s="10" t="inlineStr">
        <is>
          <t>Agency</t>
        </is>
      </c>
      <c r="H18" s="10" t="inlineStr">
        <is>
          <t>One-off</t>
        </is>
      </c>
      <c r="I18" s="10" t="inlineStr">
        <is>
          <t>High</t>
        </is>
      </c>
      <c r="J18" s="10" t="inlineStr">
        <is>
          <t>Any path</t>
        </is>
      </c>
      <c r="K18" s="10" t="inlineStr">
        <is>
          <t>Not started</t>
        </is>
      </c>
      <c r="L18" s="11" t="n"/>
      <c r="M18" s="4" t="n"/>
    </row>
    <row r="19" ht="15" customHeight="1">
      <c r="A19" s="10" t="n">
        <v>18</v>
      </c>
      <c r="B19" s="10" t="inlineStr">
        <is>
          <t>Month 1</t>
        </is>
      </c>
      <c r="C19" s="10" t="inlineStr">
        <is>
          <t>W3</t>
        </is>
      </c>
      <c r="D19" s="11" t="n">
        <v>46285</v>
      </c>
      <c r="E19" s="10" t="inlineStr">
        <is>
          <t>Citations</t>
        </is>
      </c>
      <c r="F19" s="4" t="inlineStr">
        <is>
          <t>Correct postal code to L6M 0T9 on Facebook</t>
        </is>
      </c>
      <c r="G19" s="10" t="inlineStr">
        <is>
          <t>Agency</t>
        </is>
      </c>
      <c r="H19" s="10" t="inlineStr">
        <is>
          <t>One-off</t>
        </is>
      </c>
      <c r="I19" s="10" t="inlineStr">
        <is>
          <t>High</t>
        </is>
      </c>
      <c r="J19" s="10" t="inlineStr">
        <is>
          <t>Any path</t>
        </is>
      </c>
      <c r="K19" s="10" t="inlineStr">
        <is>
          <t>Not started</t>
        </is>
      </c>
      <c r="L19" s="11" t="n"/>
      <c r="M19" s="4" t="n"/>
    </row>
    <row r="20" ht="15" customHeight="1">
      <c r="A20" s="10" t="n">
        <v>19</v>
      </c>
      <c r="B20" s="10" t="inlineStr">
        <is>
          <t>Month 1</t>
        </is>
      </c>
      <c r="C20" s="10" t="inlineStr">
        <is>
          <t>W3</t>
        </is>
      </c>
      <c r="D20" s="11" t="n">
        <v>46285</v>
      </c>
      <c r="E20" s="10" t="inlineStr">
        <is>
          <t>Citations</t>
        </is>
      </c>
      <c r="F20" s="4" t="inlineStr">
        <is>
          <t>Correct postal code to L6M 0T9 on Fresha</t>
        </is>
      </c>
      <c r="G20" s="10" t="inlineStr">
        <is>
          <t>Agency</t>
        </is>
      </c>
      <c r="H20" s="10" t="inlineStr">
        <is>
          <t>One-off</t>
        </is>
      </c>
      <c r="I20" s="10" t="inlineStr">
        <is>
          <t>High</t>
        </is>
      </c>
      <c r="J20" s="10" t="inlineStr">
        <is>
          <t>Any path</t>
        </is>
      </c>
      <c r="K20" s="10" t="inlineStr">
        <is>
          <t>Not started</t>
        </is>
      </c>
      <c r="L20" s="11" t="n"/>
      <c r="M20" s="4" t="n"/>
    </row>
    <row r="21" ht="15" customHeight="1">
      <c r="A21" s="10" t="n">
        <v>20</v>
      </c>
      <c r="B21" s="10" t="inlineStr">
        <is>
          <t>Month 1</t>
        </is>
      </c>
      <c r="C21" s="10" t="inlineStr">
        <is>
          <t>W3</t>
        </is>
      </c>
      <c r="D21" s="11" t="n">
        <v>46285</v>
      </c>
      <c r="E21" s="10" t="inlineStr">
        <is>
          <t>Citations</t>
        </is>
      </c>
      <c r="F21" s="4" t="inlineStr">
        <is>
          <t>Correct postal code to L6M 0T9 on Yelp.ca</t>
        </is>
      </c>
      <c r="G21" s="10" t="inlineStr">
        <is>
          <t>Agency</t>
        </is>
      </c>
      <c r="H21" s="10" t="inlineStr">
        <is>
          <t>One-off</t>
        </is>
      </c>
      <c r="I21" s="10" t="inlineStr">
        <is>
          <t>Medium</t>
        </is>
      </c>
      <c r="J21" s="10" t="inlineStr">
        <is>
          <t>Any path</t>
        </is>
      </c>
      <c r="K21" s="10" t="inlineStr">
        <is>
          <t>Not started</t>
        </is>
      </c>
      <c r="L21" s="11" t="n"/>
      <c r="M21" s="4" t="n"/>
    </row>
    <row r="22" ht="15" customHeight="1">
      <c r="A22" s="10" t="n">
        <v>21</v>
      </c>
      <c r="B22" s="10" t="inlineStr">
        <is>
          <t>Month 1</t>
        </is>
      </c>
      <c r="C22" s="10" t="inlineStr">
        <is>
          <t>W3</t>
        </is>
      </c>
      <c r="D22" s="11" t="n">
        <v>46285</v>
      </c>
      <c r="E22" s="10" t="inlineStr">
        <is>
          <t>Citations</t>
        </is>
      </c>
      <c r="F22" s="4" t="inlineStr">
        <is>
          <t>Correct postal code to L6M 0T9 on Yellow Pages</t>
        </is>
      </c>
      <c r="G22" s="10" t="inlineStr">
        <is>
          <t>Agency</t>
        </is>
      </c>
      <c r="H22" s="10" t="inlineStr">
        <is>
          <t>One-off</t>
        </is>
      </c>
      <c r="I22" s="10" t="inlineStr">
        <is>
          <t>Medium</t>
        </is>
      </c>
      <c r="J22" s="10" t="inlineStr">
        <is>
          <t>Any path</t>
        </is>
      </c>
      <c r="K22" s="10" t="inlineStr">
        <is>
          <t>Not started</t>
        </is>
      </c>
      <c r="L22" s="11" t="n"/>
      <c r="M22" s="4" t="n"/>
    </row>
    <row r="23" ht="15" customHeight="1">
      <c r="A23" s="10" t="n">
        <v>22</v>
      </c>
      <c r="B23" s="10" t="inlineStr">
        <is>
          <t>Month 1</t>
        </is>
      </c>
      <c r="C23" s="10" t="inlineStr">
        <is>
          <t>W4</t>
        </is>
      </c>
      <c r="D23" s="11" t="n">
        <v>46292</v>
      </c>
      <c r="E23" s="10" t="inlineStr">
        <is>
          <t>Citations</t>
        </is>
      </c>
      <c r="F23" s="4" t="inlineStr">
        <is>
          <t>Correct postal code to L6M 0T9 on Apple Maps</t>
        </is>
      </c>
      <c r="G23" s="10" t="inlineStr">
        <is>
          <t>Agency</t>
        </is>
      </c>
      <c r="H23" s="10" t="inlineStr">
        <is>
          <t>One-off</t>
        </is>
      </c>
      <c r="I23" s="10" t="inlineStr">
        <is>
          <t>Medium</t>
        </is>
      </c>
      <c r="J23" s="10" t="inlineStr">
        <is>
          <t>Any path</t>
        </is>
      </c>
      <c r="K23" s="10" t="inlineStr">
        <is>
          <t>Not started</t>
        </is>
      </c>
      <c r="L23" s="11" t="n"/>
      <c r="M23" s="4" t="n"/>
    </row>
    <row r="24" ht="15" customHeight="1">
      <c r="A24" s="10" t="n">
        <v>23</v>
      </c>
      <c r="B24" s="10" t="inlineStr">
        <is>
          <t>Month 1</t>
        </is>
      </c>
      <c r="C24" s="10" t="inlineStr">
        <is>
          <t>W4</t>
        </is>
      </c>
      <c r="D24" s="11" t="n">
        <v>46292</v>
      </c>
      <c r="E24" s="10" t="inlineStr">
        <is>
          <t>Citations</t>
        </is>
      </c>
      <c r="F24" s="4" t="inlineStr">
        <is>
          <t>Correct postal code to L6M 0T9 on Bing Places</t>
        </is>
      </c>
      <c r="G24" s="10" t="inlineStr">
        <is>
          <t>Agency</t>
        </is>
      </c>
      <c r="H24" s="10" t="inlineStr">
        <is>
          <t>One-off</t>
        </is>
      </c>
      <c r="I24" s="10" t="inlineStr">
        <is>
          <t>Medium</t>
        </is>
      </c>
      <c r="J24" s="10" t="inlineStr">
        <is>
          <t>Any path</t>
        </is>
      </c>
      <c r="K24" s="10" t="inlineStr">
        <is>
          <t>Not started</t>
        </is>
      </c>
      <c r="L24" s="11" t="n"/>
      <c r="M24" s="4" t="n"/>
    </row>
    <row r="25" ht="15" customHeight="1">
      <c r="A25" s="10" t="n">
        <v>24</v>
      </c>
      <c r="B25" s="10" t="inlineStr">
        <is>
          <t>Month 1</t>
        </is>
      </c>
      <c r="C25" s="10" t="inlineStr">
        <is>
          <t>W4</t>
        </is>
      </c>
      <c r="D25" s="11" t="n">
        <v>46292</v>
      </c>
      <c r="E25" s="10" t="inlineStr">
        <is>
          <t>Citations</t>
        </is>
      </c>
      <c r="F25" s="4" t="inlineStr">
        <is>
          <t>Correct postal code to L6M 0T9 on RateMDs</t>
        </is>
      </c>
      <c r="G25" s="10" t="inlineStr">
        <is>
          <t>Agency</t>
        </is>
      </c>
      <c r="H25" s="10" t="inlineStr">
        <is>
          <t>One-off</t>
        </is>
      </c>
      <c r="I25" s="10" t="inlineStr">
        <is>
          <t>Low</t>
        </is>
      </c>
      <c r="J25" s="10" t="inlineStr">
        <is>
          <t>Any path</t>
        </is>
      </c>
      <c r="K25" s="10" t="inlineStr">
        <is>
          <t>Not started</t>
        </is>
      </c>
      <c r="L25" s="11" t="n"/>
      <c r="M25" s="4" t="n"/>
    </row>
    <row r="26" ht="15" customHeight="1">
      <c r="A26" s="10" t="n">
        <v>25</v>
      </c>
      <c r="B26" s="10" t="inlineStr">
        <is>
          <t>Month 1</t>
        </is>
      </c>
      <c r="C26" s="10" t="inlineStr">
        <is>
          <t>W4</t>
        </is>
      </c>
      <c r="D26" s="11" t="n">
        <v>46292</v>
      </c>
      <c r="E26" s="10" t="inlineStr">
        <is>
          <t>Citations</t>
        </is>
      </c>
      <c r="F26" s="4" t="inlineStr">
        <is>
          <t>Correct postal code to L6M 0T9 on the Canadian chamber directories</t>
        </is>
      </c>
      <c r="G26" s="10" t="inlineStr">
        <is>
          <t>Agency</t>
        </is>
      </c>
      <c r="H26" s="10" t="inlineStr">
        <is>
          <t>One-off</t>
        </is>
      </c>
      <c r="I26" s="10" t="inlineStr">
        <is>
          <t>Low</t>
        </is>
      </c>
      <c r="J26" s="10" t="inlineStr">
        <is>
          <t>Any path</t>
        </is>
      </c>
      <c r="K26" s="10" t="inlineStr">
        <is>
          <t>Not started</t>
        </is>
      </c>
      <c r="L26" s="11" t="n"/>
      <c r="M26" s="4" t="n"/>
    </row>
    <row r="27" ht="15" customHeight="1">
      <c r="A27" s="10" t="n">
        <v>26</v>
      </c>
      <c r="B27" s="10" t="inlineStr">
        <is>
          <t>Month 1</t>
        </is>
      </c>
      <c r="C27" s="10" t="inlineStr">
        <is>
          <t>W4</t>
        </is>
      </c>
      <c r="D27" s="11" t="n">
        <v>46292</v>
      </c>
      <c r="E27" s="10" t="inlineStr">
        <is>
          <t>Citations</t>
        </is>
      </c>
      <c r="F27" s="4" t="inlineStr">
        <is>
          <t>Claim any listing about the practice that is not under your control</t>
        </is>
      </c>
      <c r="G27" s="10" t="inlineStr">
        <is>
          <t>Agency</t>
        </is>
      </c>
      <c r="H27" s="10" t="inlineStr">
        <is>
          <t>One-off</t>
        </is>
      </c>
      <c r="I27" s="10" t="inlineStr">
        <is>
          <t>Medium</t>
        </is>
      </c>
      <c r="J27" s="10" t="inlineStr">
        <is>
          <t>Any path</t>
        </is>
      </c>
      <c r="K27" s="10" t="inlineStr">
        <is>
          <t>Not started</t>
        </is>
      </c>
      <c r="L27" s="11" t="n"/>
      <c r="M27" s="4" t="n"/>
    </row>
    <row r="28" ht="15" customHeight="1">
      <c r="A28" s="10" t="n">
        <v>27</v>
      </c>
      <c r="B28" s="10" t="inlineStr">
        <is>
          <t>Month 2</t>
        </is>
      </c>
      <c r="C28" s="10" t="inlineStr">
        <is>
          <t>W5</t>
        </is>
      </c>
      <c r="D28" s="11" t="n">
        <v>46299</v>
      </c>
      <c r="E28" s="10" t="inlineStr">
        <is>
          <t>Reviews</t>
        </is>
      </c>
      <c r="F28" s="4" t="inlineStr">
        <is>
          <t>Write the WhatsApp review-ask message</t>
        </is>
      </c>
      <c r="G28" s="10" t="inlineStr">
        <is>
          <t>Agency</t>
        </is>
      </c>
      <c r="H28" s="10" t="inlineStr">
        <is>
          <t>One-off</t>
        </is>
      </c>
      <c r="I28" s="10" t="inlineStr">
        <is>
          <t>High</t>
        </is>
      </c>
      <c r="J28" s="10" t="inlineStr">
        <is>
          <t>Any path</t>
        </is>
      </c>
      <c r="K28" s="10" t="inlineStr">
        <is>
          <t>Not started</t>
        </is>
      </c>
      <c r="L28" s="11" t="n"/>
      <c r="M28" s="4" t="n"/>
    </row>
    <row r="29" ht="15" customHeight="1">
      <c r="A29" s="10" t="n">
        <v>28</v>
      </c>
      <c r="B29" s="10" t="inlineStr">
        <is>
          <t>Month 2</t>
        </is>
      </c>
      <c r="C29" s="10" t="inlineStr">
        <is>
          <t>W5</t>
        </is>
      </c>
      <c r="D29" s="11" t="n">
        <v>46299</v>
      </c>
      <c r="E29" s="10" t="inlineStr">
        <is>
          <t>Reviews</t>
        </is>
      </c>
      <c r="F29" s="4" t="inlineStr">
        <is>
          <t>Start sending the review ask within 24 hours of every appointment</t>
        </is>
      </c>
      <c r="G29" s="10" t="inlineStr">
        <is>
          <t>Cleo</t>
        </is>
      </c>
      <c r="H29" s="10" t="inlineStr">
        <is>
          <t>Ongoing</t>
        </is>
      </c>
      <c r="I29" s="10" t="inlineStr">
        <is>
          <t>High</t>
        </is>
      </c>
      <c r="J29" s="10" t="inlineStr">
        <is>
          <t>Any path</t>
        </is>
      </c>
      <c r="K29" s="10" t="inlineStr">
        <is>
          <t>Not started</t>
        </is>
      </c>
      <c r="L29" s="11" t="n"/>
      <c r="M29" s="4" t="n"/>
    </row>
    <row r="30" ht="15" customHeight="1">
      <c r="A30" s="10" t="n">
        <v>29</v>
      </c>
      <c r="B30" s="10" t="inlineStr">
        <is>
          <t>Month 2</t>
        </is>
      </c>
      <c r="C30" s="10" t="inlineStr">
        <is>
          <t>W5</t>
        </is>
      </c>
      <c r="D30" s="11" t="n">
        <v>46299</v>
      </c>
      <c r="E30" s="10" t="inlineStr">
        <is>
          <t>Reviews</t>
        </is>
      </c>
      <c r="F30" s="4" t="inlineStr">
        <is>
          <t>Reply to all 12 existing reviews</t>
        </is>
      </c>
      <c r="G30" s="10" t="inlineStr">
        <is>
          <t>Cleo</t>
        </is>
      </c>
      <c r="H30" s="10" t="inlineStr">
        <is>
          <t>One-off</t>
        </is>
      </c>
      <c r="I30" s="10" t="inlineStr">
        <is>
          <t>Medium</t>
        </is>
      </c>
      <c r="J30" s="10" t="inlineStr">
        <is>
          <t>Any path</t>
        </is>
      </c>
      <c r="K30" s="10" t="inlineStr">
        <is>
          <t>Not started</t>
        </is>
      </c>
      <c r="L30" s="11" t="n"/>
      <c r="M30" s="4" t="n"/>
    </row>
    <row r="31" ht="15" customHeight="1">
      <c r="A31" s="10" t="n">
        <v>30</v>
      </c>
      <c r="B31" s="10" t="inlineStr">
        <is>
          <t>Month 2</t>
        </is>
      </c>
      <c r="C31" s="10" t="inlineStr">
        <is>
          <t>W5</t>
        </is>
      </c>
      <c r="D31" s="11" t="n">
        <v>46299</v>
      </c>
      <c r="E31" s="10" t="inlineStr">
        <is>
          <t>Reviews</t>
        </is>
      </c>
      <c r="F31" s="4" t="inlineStr">
        <is>
          <t>Reply to every new review within two days</t>
        </is>
      </c>
      <c r="G31" s="10" t="inlineStr">
        <is>
          <t>Cleo</t>
        </is>
      </c>
      <c r="H31" s="10" t="inlineStr">
        <is>
          <t>Ongoing</t>
        </is>
      </c>
      <c r="I31" s="10" t="inlineStr">
        <is>
          <t>Medium</t>
        </is>
      </c>
      <c r="J31" s="10" t="inlineStr">
        <is>
          <t>Any path</t>
        </is>
      </c>
      <c r="K31" s="10" t="inlineStr">
        <is>
          <t>Not started</t>
        </is>
      </c>
      <c r="L31" s="11" t="n"/>
      <c r="M31" s="4" t="n"/>
    </row>
    <row r="32" ht="15" customHeight="1">
      <c r="A32" s="10" t="n">
        <v>31</v>
      </c>
      <c r="B32" s="10" t="inlineStr">
        <is>
          <t>Month 2</t>
        </is>
      </c>
      <c r="C32" s="10" t="inlineStr">
        <is>
          <t>W5</t>
        </is>
      </c>
      <c r="D32" s="11" t="n">
        <v>46299</v>
      </c>
      <c r="E32" s="10" t="inlineStr">
        <is>
          <t>Compliance</t>
        </is>
      </c>
      <c r="F32" s="4" t="inlineStr">
        <is>
          <t>Confirm the signed before-and-after consent form is on file</t>
        </is>
      </c>
      <c r="G32" s="10" t="inlineStr">
        <is>
          <t>Cleo</t>
        </is>
      </c>
      <c r="H32" s="10" t="inlineStr">
        <is>
          <t>One-off</t>
        </is>
      </c>
      <c r="I32" s="10" t="inlineStr">
        <is>
          <t>High</t>
        </is>
      </c>
      <c r="J32" s="10" t="inlineStr">
        <is>
          <t>Any path</t>
        </is>
      </c>
      <c r="K32" s="10" t="inlineStr">
        <is>
          <t>Not started</t>
        </is>
      </c>
      <c r="L32" s="11" t="n"/>
      <c r="M32" s="4" t="n"/>
    </row>
    <row r="33" ht="15" customHeight="1">
      <c r="A33" s="10" t="n">
        <v>32</v>
      </c>
      <c r="B33" s="10" t="inlineStr">
        <is>
          <t>Month 2</t>
        </is>
      </c>
      <c r="C33" s="10" t="inlineStr">
        <is>
          <t>W5</t>
        </is>
      </c>
      <c r="D33" s="11" t="n">
        <v>46299</v>
      </c>
      <c r="E33" s="10" t="inlineStr">
        <is>
          <t>Compliance</t>
        </is>
      </c>
      <c r="F33" s="4" t="inlineStr">
        <is>
          <t>Compliance pass on the 21 briefs naming Botox or Dysport in client-facing copy</t>
        </is>
      </c>
      <c r="G33" s="10" t="inlineStr">
        <is>
          <t>Agency</t>
        </is>
      </c>
      <c r="H33" s="10" t="inlineStr">
        <is>
          <t>One-off</t>
        </is>
      </c>
      <c r="I33" s="10" t="inlineStr">
        <is>
          <t>High</t>
        </is>
      </c>
      <c r="J33" s="10" t="inlineStr">
        <is>
          <t>Any path</t>
        </is>
      </c>
      <c r="K33" s="10" t="inlineStr">
        <is>
          <t>Not started</t>
        </is>
      </c>
      <c r="L33" s="11" t="n"/>
      <c r="M33" s="4" t="n"/>
    </row>
    <row r="34" ht="15" customHeight="1">
      <c r="A34" s="10" t="n">
        <v>33</v>
      </c>
      <c r="B34" s="10" t="inlineStr">
        <is>
          <t>Month 2</t>
        </is>
      </c>
      <c r="C34" s="10" t="inlineStr">
        <is>
          <t>W5</t>
        </is>
      </c>
      <c r="D34" s="11" t="n">
        <v>46299</v>
      </c>
      <c r="E34" s="10" t="inlineStr">
        <is>
          <t>Instagram</t>
        </is>
      </c>
      <c r="F34" s="4" t="inlineStr">
        <is>
          <t>Rewrite the Instagram name field to read 'Cleo | Nurse Injector Oakville'</t>
        </is>
      </c>
      <c r="G34" s="10" t="inlineStr">
        <is>
          <t>Agency</t>
        </is>
      </c>
      <c r="H34" s="10" t="inlineStr">
        <is>
          <t>One-off</t>
        </is>
      </c>
      <c r="I34" s="10" t="inlineStr">
        <is>
          <t>High</t>
        </is>
      </c>
      <c r="J34" s="10" t="inlineStr">
        <is>
          <t>Any path</t>
        </is>
      </c>
      <c r="K34" s="10" t="inlineStr">
        <is>
          <t>Not started</t>
        </is>
      </c>
      <c r="L34" s="11" t="n"/>
      <c r="M34" s="4" t="n"/>
    </row>
    <row r="35" ht="15" customHeight="1">
      <c r="A35" s="10" t="n">
        <v>34</v>
      </c>
      <c r="B35" s="10" t="inlineStr">
        <is>
          <t>Month 2</t>
        </is>
      </c>
      <c r="C35" s="10" t="inlineStr">
        <is>
          <t>W5</t>
        </is>
      </c>
      <c r="D35" s="11" t="n">
        <v>46299</v>
      </c>
      <c r="E35" s="10" t="inlineStr">
        <is>
          <t>Instagram</t>
        </is>
      </c>
      <c r="F35" s="4" t="inlineStr">
        <is>
          <t>Rewrite the Instagram bio to name the town and the treatments</t>
        </is>
      </c>
      <c r="G35" s="10" t="inlineStr">
        <is>
          <t>Agency</t>
        </is>
      </c>
      <c r="H35" s="10" t="inlineStr">
        <is>
          <t>One-off</t>
        </is>
      </c>
      <c r="I35" s="10" t="inlineStr">
        <is>
          <t>High</t>
        </is>
      </c>
      <c r="J35" s="10" t="inlineStr">
        <is>
          <t>Any path</t>
        </is>
      </c>
      <c r="K35" s="10" t="inlineStr">
        <is>
          <t>Not started</t>
        </is>
      </c>
      <c r="L35" s="11" t="n"/>
      <c r="M35" s="4" t="n"/>
    </row>
    <row r="36" ht="15" customHeight="1">
      <c r="A36" s="10" t="n">
        <v>35</v>
      </c>
      <c r="B36" s="10" t="inlineStr">
        <is>
          <t>Month 2</t>
        </is>
      </c>
      <c r="C36" s="10" t="inlineStr">
        <is>
          <t>W5</t>
        </is>
      </c>
      <c r="D36" s="11" t="n">
        <v>46299</v>
      </c>
      <c r="E36" s="10" t="inlineStr">
        <is>
          <t>Instagram</t>
        </is>
      </c>
      <c r="F36" s="4" t="inlineStr">
        <is>
          <t>Fix the link in bio so it no longer points at the dead domain</t>
        </is>
      </c>
      <c r="G36" s="10" t="inlineStr">
        <is>
          <t>Agency</t>
        </is>
      </c>
      <c r="H36" s="10" t="inlineStr">
        <is>
          <t>One-off</t>
        </is>
      </c>
      <c r="I36" s="10" t="inlineStr">
        <is>
          <t>High</t>
        </is>
      </c>
      <c r="J36" s="10" t="inlineStr">
        <is>
          <t>Any path</t>
        </is>
      </c>
      <c r="K36" s="10" t="inlineStr">
        <is>
          <t>Not started</t>
        </is>
      </c>
      <c r="L36" s="11" t="n"/>
      <c r="M36" s="4" t="n"/>
    </row>
    <row r="37" ht="15" customHeight="1">
      <c r="A37" s="10" t="n">
        <v>36</v>
      </c>
      <c r="B37" s="10" t="inlineStr">
        <is>
          <t>Month 2</t>
        </is>
      </c>
      <c r="C37" s="10" t="inlineStr">
        <is>
          <t>W5</t>
        </is>
      </c>
      <c r="D37" s="11" t="n">
        <v>46299</v>
      </c>
      <c r="E37" s="10" t="inlineStr">
        <is>
          <t>Instagram</t>
        </is>
      </c>
      <c r="F37" s="4" t="inlineStr">
        <is>
          <t>Start location-tagging Oakville on every post</t>
        </is>
      </c>
      <c r="G37" s="10" t="inlineStr">
        <is>
          <t>Cleo</t>
        </is>
      </c>
      <c r="H37" s="10" t="inlineStr">
        <is>
          <t>Ongoing</t>
        </is>
      </c>
      <c r="I37" s="10" t="inlineStr">
        <is>
          <t>High</t>
        </is>
      </c>
      <c r="J37" s="10" t="inlineStr">
        <is>
          <t>Any path</t>
        </is>
      </c>
      <c r="K37" s="10" t="inlineStr">
        <is>
          <t>Not started</t>
        </is>
      </c>
      <c r="L37" s="11" t="n"/>
      <c r="M37" s="4" t="n"/>
    </row>
    <row r="38" ht="15" customHeight="1">
      <c r="A38" s="10" t="n">
        <v>37</v>
      </c>
      <c r="B38" s="10" t="inlineStr">
        <is>
          <t>Month 2</t>
        </is>
      </c>
      <c r="C38" s="10" t="inlineStr">
        <is>
          <t>W5</t>
        </is>
      </c>
      <c r="D38" s="11" t="n">
        <v>46299</v>
      </c>
      <c r="E38" s="10" t="inlineStr">
        <is>
          <t>Ads</t>
        </is>
      </c>
      <c r="F38" s="4" t="inlineStr">
        <is>
          <t>Send us your current monthly Instagram and Google ad spend</t>
        </is>
      </c>
      <c r="G38" s="10" t="inlineStr">
        <is>
          <t>Cleo</t>
        </is>
      </c>
      <c r="H38" s="10" t="inlineStr">
        <is>
          <t>One-off</t>
        </is>
      </c>
      <c r="I38" s="10" t="inlineStr">
        <is>
          <t>High</t>
        </is>
      </c>
      <c r="J38" s="10" t="inlineStr">
        <is>
          <t>Any path</t>
        </is>
      </c>
      <c r="K38" s="10" t="inlineStr">
        <is>
          <t>Not started</t>
        </is>
      </c>
      <c r="L38" s="11" t="n"/>
      <c r="M38" s="4" t="n"/>
    </row>
    <row r="39" ht="15" customHeight="1">
      <c r="A39" s="10" t="n">
        <v>38</v>
      </c>
      <c r="B39" s="10" t="inlineStr">
        <is>
          <t>Month 2</t>
        </is>
      </c>
      <c r="C39" s="10" t="inlineStr">
        <is>
          <t>W5</t>
        </is>
      </c>
      <c r="D39" s="11" t="n">
        <v>46299</v>
      </c>
      <c r="E39" s="10" t="inlineStr">
        <is>
          <t>Website</t>
        </is>
      </c>
      <c r="F39" s="4" t="inlineStr">
        <is>
          <t>Hosting sorted, DNS pointed, platform set up, page structure agreed</t>
        </is>
      </c>
      <c r="G39" s="10" t="inlineStr">
        <is>
          <t>Agency</t>
        </is>
      </c>
      <c r="H39" s="10" t="inlineStr">
        <is>
          <t>One-off</t>
        </is>
      </c>
      <c r="I39" s="10" t="inlineStr">
        <is>
          <t>High</t>
        </is>
      </c>
      <c r="J39" s="10" t="inlineStr">
        <is>
          <t>Path B or C</t>
        </is>
      </c>
      <c r="K39" s="10" t="inlineStr">
        <is>
          <t>Not started</t>
        </is>
      </c>
      <c r="L39" s="11" t="n"/>
      <c r="M39" s="4" t="n"/>
    </row>
    <row r="40" ht="15" customHeight="1">
      <c r="A40" s="10" t="n">
        <v>39</v>
      </c>
      <c r="B40" s="10" t="inlineStr">
        <is>
          <t>Month 2</t>
        </is>
      </c>
      <c r="C40" s="10" t="inlineStr">
        <is>
          <t>W6</t>
        </is>
      </c>
      <c r="D40" s="11" t="n">
        <v>46306</v>
      </c>
      <c r="E40" s="10" t="inlineStr">
        <is>
          <t>Reviews</t>
        </is>
      </c>
      <c r="F40" s="4" t="inlineStr">
        <is>
          <t>Design and print the QR review card for the treatment room</t>
        </is>
      </c>
      <c r="G40" s="10" t="inlineStr">
        <is>
          <t>Agency</t>
        </is>
      </c>
      <c r="H40" s="10" t="inlineStr">
        <is>
          <t>One-off</t>
        </is>
      </c>
      <c r="I40" s="10" t="inlineStr">
        <is>
          <t>Medium</t>
        </is>
      </c>
      <c r="J40" s="10" t="inlineStr">
        <is>
          <t>Any path</t>
        </is>
      </c>
      <c r="K40" s="10" t="inlineStr">
        <is>
          <t>Not started</t>
        </is>
      </c>
      <c r="L40" s="11" t="n"/>
      <c r="M40" s="4" t="n"/>
    </row>
    <row r="41" ht="15" customHeight="1">
      <c r="A41" s="10" t="n">
        <v>40</v>
      </c>
      <c r="B41" s="10" t="inlineStr">
        <is>
          <t>Month 2</t>
        </is>
      </c>
      <c r="C41" s="10" t="inlineStr">
        <is>
          <t>W6</t>
        </is>
      </c>
      <c r="D41" s="11" t="n">
        <v>46306</v>
      </c>
      <c r="E41" s="10" t="inlineStr">
        <is>
          <t>Google profile</t>
        </is>
      </c>
      <c r="F41" s="4" t="inlineStr">
        <is>
          <t>Fill out the GBP services list with a plain description of each treatment</t>
        </is>
      </c>
      <c r="G41" s="10" t="inlineStr">
        <is>
          <t>Agency</t>
        </is>
      </c>
      <c r="H41" s="10" t="inlineStr">
        <is>
          <t>One-off</t>
        </is>
      </c>
      <c r="I41" s="10" t="inlineStr">
        <is>
          <t>Medium</t>
        </is>
      </c>
      <c r="J41" s="10" t="inlineStr">
        <is>
          <t>Any path</t>
        </is>
      </c>
      <c r="K41" s="10" t="inlineStr">
        <is>
          <t>Not started</t>
        </is>
      </c>
      <c r="L41" s="11" t="n"/>
      <c r="M41" s="4" t="n"/>
    </row>
    <row r="42" ht="15" customHeight="1">
      <c r="A42" s="10" t="n">
        <v>41</v>
      </c>
      <c r="B42" s="10" t="inlineStr">
        <is>
          <t>Month 2</t>
        </is>
      </c>
      <c r="C42" s="10" t="inlineStr">
        <is>
          <t>W6</t>
        </is>
      </c>
      <c r="D42" s="11" t="n">
        <v>46306</v>
      </c>
      <c r="E42" s="10" t="inlineStr">
        <is>
          <t>Google profile</t>
        </is>
      </c>
      <c r="F42" s="4" t="inlineStr">
        <is>
          <t>Seed the GBP questions section with real questions and answers</t>
        </is>
      </c>
      <c r="G42" s="10" t="inlineStr">
        <is>
          <t>Both</t>
        </is>
      </c>
      <c r="H42" s="10" t="inlineStr">
        <is>
          <t>One-off</t>
        </is>
      </c>
      <c r="I42" s="10" t="inlineStr">
        <is>
          <t>Medium</t>
        </is>
      </c>
      <c r="J42" s="10" t="inlineStr">
        <is>
          <t>Any path</t>
        </is>
      </c>
      <c r="K42" s="10" t="inlineStr">
        <is>
          <t>Not started</t>
        </is>
      </c>
      <c r="L42" s="11" t="n"/>
      <c r="M42" s="4" t="n"/>
    </row>
    <row r="43" ht="15" customHeight="1">
      <c r="A43" s="10" t="n">
        <v>42</v>
      </c>
      <c r="B43" s="10" t="inlineStr">
        <is>
          <t>Month 2</t>
        </is>
      </c>
      <c r="C43" s="10" t="inlineStr">
        <is>
          <t>W6</t>
        </is>
      </c>
      <c r="D43" s="11" t="n">
        <v>46306</v>
      </c>
      <c r="E43" s="10" t="inlineStr">
        <is>
          <t>Google profile</t>
        </is>
      </c>
      <c r="F43" s="4" t="inlineStr">
        <is>
          <t>Post to GBP once a week using carousels from the content calendar</t>
        </is>
      </c>
      <c r="G43" s="10" t="inlineStr">
        <is>
          <t>Agency</t>
        </is>
      </c>
      <c r="H43" s="10" t="inlineStr">
        <is>
          <t>Weekly</t>
        </is>
      </c>
      <c r="I43" s="10" t="inlineStr">
        <is>
          <t>Medium</t>
        </is>
      </c>
      <c r="J43" s="10" t="inlineStr">
        <is>
          <t>Any path</t>
        </is>
      </c>
      <c r="K43" s="10" t="inlineStr">
        <is>
          <t>Not started</t>
        </is>
      </c>
      <c r="L43" s="11" t="n"/>
      <c r="M43" s="4" t="n"/>
    </row>
    <row r="44" ht="15" customHeight="1">
      <c r="A44" s="10" t="n">
        <v>43</v>
      </c>
      <c r="B44" s="10" t="inlineStr">
        <is>
          <t>Month 2</t>
        </is>
      </c>
      <c r="C44" s="10" t="inlineStr">
        <is>
          <t>W6</t>
        </is>
      </c>
      <c r="D44" s="11" t="n">
        <v>46306</v>
      </c>
      <c r="E44" s="10" t="inlineStr">
        <is>
          <t>Instagram</t>
        </is>
      </c>
      <c r="F44" s="4" t="inlineStr">
        <is>
          <t>Switch to locally weighted hashtag sets, clear of prescription brand names</t>
        </is>
      </c>
      <c r="G44" s="10" t="inlineStr">
        <is>
          <t>Agency</t>
        </is>
      </c>
      <c r="H44" s="10" t="inlineStr">
        <is>
          <t>One-off</t>
        </is>
      </c>
      <c r="I44" s="10" t="inlineStr">
        <is>
          <t>Medium</t>
        </is>
      </c>
      <c r="J44" s="10" t="inlineStr">
        <is>
          <t>Any path</t>
        </is>
      </c>
      <c r="K44" s="10" t="inlineStr">
        <is>
          <t>Not started</t>
        </is>
      </c>
      <c r="L44" s="11" t="n"/>
      <c r="M44" s="4" t="n"/>
    </row>
    <row r="45" ht="15" customHeight="1">
      <c r="A45" s="10" t="n">
        <v>44</v>
      </c>
      <c r="B45" s="10" t="inlineStr">
        <is>
          <t>Month 2</t>
        </is>
      </c>
      <c r="C45" s="10" t="inlineStr">
        <is>
          <t>W6</t>
        </is>
      </c>
      <c r="D45" s="11" t="n">
        <v>46306</v>
      </c>
      <c r="E45" s="10" t="inlineStr">
        <is>
          <t>Instagram</t>
        </is>
      </c>
      <c r="F45" s="4" t="inlineStr">
        <is>
          <t>Write alt text on every new post</t>
        </is>
      </c>
      <c r="G45" s="10" t="inlineStr">
        <is>
          <t>Cleo</t>
        </is>
      </c>
      <c r="H45" s="10" t="inlineStr">
        <is>
          <t>Ongoing</t>
        </is>
      </c>
      <c r="I45" s="10" t="inlineStr">
        <is>
          <t>Medium</t>
        </is>
      </c>
      <c r="J45" s="10" t="inlineStr">
        <is>
          <t>Any path</t>
        </is>
      </c>
      <c r="K45" s="10" t="inlineStr">
        <is>
          <t>Not started</t>
        </is>
      </c>
      <c r="L45" s="11" t="n"/>
      <c r="M45" s="4" t="n"/>
    </row>
    <row r="46" ht="15" customHeight="1">
      <c r="A46" s="10" t="n">
        <v>45</v>
      </c>
      <c r="B46" s="10" t="inlineStr">
        <is>
          <t>Month 2</t>
        </is>
      </c>
      <c r="C46" s="10" t="inlineStr">
        <is>
          <t>W6</t>
        </is>
      </c>
      <c r="D46" s="11" t="n">
        <v>46306</v>
      </c>
      <c r="E46" s="10" t="inlineStr">
        <is>
          <t>Instagram</t>
        </is>
      </c>
      <c r="F46" s="4" t="inlineStr">
        <is>
          <t>Reorganise Highlights by treatment</t>
        </is>
      </c>
      <c r="G46" s="10" t="inlineStr">
        <is>
          <t>Agency</t>
        </is>
      </c>
      <c r="H46" s="10" t="inlineStr">
        <is>
          <t>One-off</t>
        </is>
      </c>
      <c r="I46" s="10" t="inlineStr">
        <is>
          <t>Medium</t>
        </is>
      </c>
      <c r="J46" s="10" t="inlineStr">
        <is>
          <t>Any path</t>
        </is>
      </c>
      <c r="K46" s="10" t="inlineStr">
        <is>
          <t>Not started</t>
        </is>
      </c>
      <c r="L46" s="11" t="n"/>
      <c r="M46" s="4" t="n"/>
    </row>
    <row r="47" ht="15" customHeight="1">
      <c r="A47" s="10" t="n">
        <v>46</v>
      </c>
      <c r="B47" s="10" t="inlineStr">
        <is>
          <t>Month 2</t>
        </is>
      </c>
      <c r="C47" s="10" t="inlineStr">
        <is>
          <t>W6</t>
        </is>
      </c>
      <c r="D47" s="11" t="n">
        <v>46306</v>
      </c>
      <c r="E47" s="10" t="inlineStr">
        <is>
          <t>Instagram</t>
        </is>
      </c>
      <c r="F47" s="4" t="inlineStr">
        <is>
          <t>Build out Highlights as the full treatment menu, standing in for a website</t>
        </is>
      </c>
      <c r="G47" s="10" t="inlineStr">
        <is>
          <t>Agency</t>
        </is>
      </c>
      <c r="H47" s="10" t="inlineStr">
        <is>
          <t>One-off</t>
        </is>
      </c>
      <c r="I47" s="10" t="inlineStr">
        <is>
          <t>High</t>
        </is>
      </c>
      <c r="J47" s="10" t="inlineStr">
        <is>
          <t>Path A only</t>
        </is>
      </c>
      <c r="K47" s="10" t="inlineStr">
        <is>
          <t>Not started</t>
        </is>
      </c>
      <c r="L47" s="11" t="n"/>
      <c r="M47" s="4" t="n"/>
    </row>
    <row r="48" ht="15" customHeight="1">
      <c r="A48" s="10" t="n">
        <v>47</v>
      </c>
      <c r="B48" s="10" t="inlineStr">
        <is>
          <t>Month 2</t>
        </is>
      </c>
      <c r="C48" s="10" t="inlineStr">
        <is>
          <t>W6</t>
        </is>
      </c>
      <c r="D48" s="11" t="n">
        <v>46306</v>
      </c>
      <c r="E48" s="10" t="inlineStr">
        <is>
          <t>Ads</t>
        </is>
      </c>
      <c r="F48" s="4" t="inlineStr">
        <is>
          <t>Build the local radius audience, 15km around Oakville</t>
        </is>
      </c>
      <c r="G48" s="10" t="inlineStr">
        <is>
          <t>Agency</t>
        </is>
      </c>
      <c r="H48" s="10" t="inlineStr">
        <is>
          <t>One-off</t>
        </is>
      </c>
      <c r="I48" s="10" t="inlineStr">
        <is>
          <t>High</t>
        </is>
      </c>
      <c r="J48" s="10" t="inlineStr">
        <is>
          <t>Any path</t>
        </is>
      </c>
      <c r="K48" s="10" t="inlineStr">
        <is>
          <t>Not started</t>
        </is>
      </c>
      <c r="L48" s="11" t="n"/>
      <c r="M48" s="4" t="n"/>
    </row>
    <row r="49" ht="15" customHeight="1">
      <c r="A49" s="10" t="n">
        <v>48</v>
      </c>
      <c r="B49" s="10" t="inlineStr">
        <is>
          <t>Month 2</t>
        </is>
      </c>
      <c r="C49" s="10" t="inlineStr">
        <is>
          <t>W6</t>
        </is>
      </c>
      <c r="D49" s="11" t="n">
        <v>46306</v>
      </c>
      <c r="E49" s="10" t="inlineStr">
        <is>
          <t>Ads</t>
        </is>
      </c>
      <c r="F49" s="4" t="inlineStr">
        <is>
          <t>Build the 30-day engagement retargeting audience</t>
        </is>
      </c>
      <c r="G49" s="10" t="inlineStr">
        <is>
          <t>Agency</t>
        </is>
      </c>
      <c r="H49" s="10" t="inlineStr">
        <is>
          <t>One-off</t>
        </is>
      </c>
      <c r="I49" s="10" t="inlineStr">
        <is>
          <t>High</t>
        </is>
      </c>
      <c r="J49" s="10" t="inlineStr">
        <is>
          <t>Any path</t>
        </is>
      </c>
      <c r="K49" s="10" t="inlineStr">
        <is>
          <t>Not started</t>
        </is>
      </c>
      <c r="L49" s="11" t="n"/>
      <c r="M49" s="4" t="n"/>
    </row>
    <row r="50" ht="15" customHeight="1">
      <c r="A50" s="10" t="n">
        <v>49</v>
      </c>
      <c r="B50" s="10" t="inlineStr">
        <is>
          <t>Month 2</t>
        </is>
      </c>
      <c r="C50" s="10" t="inlineStr">
        <is>
          <t>W6</t>
        </is>
      </c>
      <c r="D50" s="11" t="n">
        <v>46306</v>
      </c>
      <c r="E50" s="10" t="inlineStr">
        <is>
          <t>Ads</t>
        </is>
      </c>
      <c r="F50" s="4" t="inlineStr">
        <is>
          <t>Launch three or four ad creatives pulled from existing carousels</t>
        </is>
      </c>
      <c r="G50" s="10" t="inlineStr">
        <is>
          <t>Agency</t>
        </is>
      </c>
      <c r="H50" s="10" t="inlineStr">
        <is>
          <t>One-off</t>
        </is>
      </c>
      <c r="I50" s="10" t="inlineStr">
        <is>
          <t>High</t>
        </is>
      </c>
      <c r="J50" s="10" t="inlineStr">
        <is>
          <t>Any path</t>
        </is>
      </c>
      <c r="K50" s="10" t="inlineStr">
        <is>
          <t>Not started</t>
        </is>
      </c>
      <c r="L50" s="11" t="n"/>
      <c r="M50" s="4" t="n"/>
    </row>
    <row r="51" ht="15" customHeight="1">
      <c r="A51" s="10" t="n">
        <v>50</v>
      </c>
      <c r="B51" s="10" t="inlineStr">
        <is>
          <t>Month 2</t>
        </is>
      </c>
      <c r="C51" s="10" t="inlineStr">
        <is>
          <t>W6</t>
        </is>
      </c>
      <c r="D51" s="11" t="n">
        <v>46306</v>
      </c>
      <c r="E51" s="10" t="inlineStr">
        <is>
          <t>Website</t>
        </is>
      </c>
      <c r="F51" s="4" t="inlineStr">
        <is>
          <t>Home and contact pages live with correct NAP, hours, booking link and schema</t>
        </is>
      </c>
      <c r="G51" s="10" t="inlineStr">
        <is>
          <t>Agency</t>
        </is>
      </c>
      <c r="H51" s="10" t="inlineStr">
        <is>
          <t>One-off</t>
        </is>
      </c>
      <c r="I51" s="10" t="inlineStr">
        <is>
          <t>High</t>
        </is>
      </c>
      <c r="J51" s="10" t="inlineStr">
        <is>
          <t>Path B or C</t>
        </is>
      </c>
      <c r="K51" s="10" t="inlineStr">
        <is>
          <t>Not started</t>
        </is>
      </c>
      <c r="L51" s="11" t="n"/>
      <c r="M51" s="4" t="n"/>
    </row>
    <row r="52" ht="15" customHeight="1">
      <c r="A52" s="10" t="n">
        <v>51</v>
      </c>
      <c r="B52" s="10" t="inlineStr">
        <is>
          <t>Month 2</t>
        </is>
      </c>
      <c r="C52" s="10" t="inlineStr">
        <is>
          <t>W7</t>
        </is>
      </c>
      <c r="D52" s="11" t="n">
        <v>46313</v>
      </c>
      <c r="E52" s="10" t="inlineStr">
        <is>
          <t>Ads</t>
        </is>
      </c>
      <c r="F52" s="4" t="inlineStr">
        <is>
          <t>Export the patient list from the booking system for the lookalike audience</t>
        </is>
      </c>
      <c r="G52" s="10" t="inlineStr">
        <is>
          <t>Cleo</t>
        </is>
      </c>
      <c r="H52" s="10" t="inlineStr">
        <is>
          <t>One-off</t>
        </is>
      </c>
      <c r="I52" s="10" t="inlineStr">
        <is>
          <t>Medium</t>
        </is>
      </c>
      <c r="J52" s="10" t="inlineStr">
        <is>
          <t>Any path</t>
        </is>
      </c>
      <c r="K52" s="10" t="inlineStr">
        <is>
          <t>Not started</t>
        </is>
      </c>
      <c r="L52" s="11" t="n"/>
      <c r="M52" s="4" t="n"/>
    </row>
    <row r="53" ht="15" customHeight="1">
      <c r="A53" s="10" t="n">
        <v>52</v>
      </c>
      <c r="B53" s="10" t="inlineStr">
        <is>
          <t>Month 2</t>
        </is>
      </c>
      <c r="C53" s="10" t="inlineStr">
        <is>
          <t>W7</t>
        </is>
      </c>
      <c r="D53" s="11" t="n">
        <v>46313</v>
      </c>
      <c r="E53" s="10" t="inlineStr">
        <is>
          <t>Ads</t>
        </is>
      </c>
      <c r="F53" s="4" t="inlineStr">
        <is>
          <t>Build the lookalike audience</t>
        </is>
      </c>
      <c r="G53" s="10" t="inlineStr">
        <is>
          <t>Agency</t>
        </is>
      </c>
      <c r="H53" s="10" t="inlineStr">
        <is>
          <t>One-off</t>
        </is>
      </c>
      <c r="I53" s="10" t="inlineStr">
        <is>
          <t>Medium</t>
        </is>
      </c>
      <c r="J53" s="10" t="inlineStr">
        <is>
          <t>Any path</t>
        </is>
      </c>
      <c r="K53" s="10" t="inlineStr">
        <is>
          <t>Not started</t>
        </is>
      </c>
      <c r="L53" s="11" t="n"/>
      <c r="M53" s="4" t="n"/>
    </row>
    <row r="54" ht="15" customHeight="1">
      <c r="A54" s="10" t="n">
        <v>53</v>
      </c>
      <c r="B54" s="10" t="inlineStr">
        <is>
          <t>Month 2</t>
        </is>
      </c>
      <c r="C54" s="10" t="inlineStr">
        <is>
          <t>W7</t>
        </is>
      </c>
      <c r="D54" s="11" t="n">
        <v>46313</v>
      </c>
      <c r="E54" s="10" t="inlineStr">
        <is>
          <t>Website</t>
        </is>
      </c>
      <c r="F54" s="4" t="inlineStr">
        <is>
          <t>Build treatment pages: lip filler, dermal filler, anti-wrinkle, skin boosters</t>
        </is>
      </c>
      <c r="G54" s="10" t="inlineStr">
        <is>
          <t>Agency</t>
        </is>
      </c>
      <c r="H54" s="10" t="inlineStr">
        <is>
          <t>One-off</t>
        </is>
      </c>
      <c r="I54" s="10" t="inlineStr">
        <is>
          <t>High</t>
        </is>
      </c>
      <c r="J54" s="10" t="inlineStr">
        <is>
          <t>Path C only</t>
        </is>
      </c>
      <c r="K54" s="10" t="inlineStr">
        <is>
          <t>Not started</t>
        </is>
      </c>
      <c r="L54" s="11" t="n"/>
      <c r="M54" s="4" t="n"/>
    </row>
    <row r="55" ht="15" customHeight="1">
      <c r="A55" s="10" t="n">
        <v>54</v>
      </c>
      <c r="B55" s="10" t="inlineStr">
        <is>
          <t>Month 2</t>
        </is>
      </c>
      <c r="C55" s="10" t="inlineStr">
        <is>
          <t>W7</t>
        </is>
      </c>
      <c r="D55" s="11" t="n">
        <v>46313</v>
      </c>
      <c r="E55" s="10" t="inlineStr">
        <is>
          <t>Website</t>
        </is>
      </c>
      <c r="F55" s="4" t="inlineStr">
        <is>
          <t>Build treatment pages: dermaplaning, electrolysis, Belkyra</t>
        </is>
      </c>
      <c r="G55" s="10" t="inlineStr">
        <is>
          <t>Agency</t>
        </is>
      </c>
      <c r="H55" s="10" t="inlineStr">
        <is>
          <t>One-off</t>
        </is>
      </c>
      <c r="I55" s="10" t="inlineStr">
        <is>
          <t>High</t>
        </is>
      </c>
      <c r="J55" s="10" t="inlineStr">
        <is>
          <t>Path C only</t>
        </is>
      </c>
      <c r="K55" s="10" t="inlineStr">
        <is>
          <t>Not started</t>
        </is>
      </c>
      <c r="L55" s="11" t="n"/>
      <c r="M55" s="4" t="n"/>
    </row>
    <row r="56" ht="15" customHeight="1">
      <c r="A56" s="10" t="n">
        <v>55</v>
      </c>
      <c r="B56" s="10" t="inlineStr">
        <is>
          <t>Month 2</t>
        </is>
      </c>
      <c r="C56" s="10" t="inlineStr">
        <is>
          <t>W8</t>
        </is>
      </c>
      <c r="D56" s="11" t="n">
        <v>46320</v>
      </c>
      <c r="E56" s="10" t="inlineStr">
        <is>
          <t>Ads</t>
        </is>
      </c>
      <c r="F56" s="4" t="inlineStr">
        <is>
          <t>Fortnightly ad review: kill anything below average cost per DM, reallocate</t>
        </is>
      </c>
      <c r="G56" s="10" t="inlineStr">
        <is>
          <t>Agency</t>
        </is>
      </c>
      <c r="H56" s="10" t="inlineStr">
        <is>
          <t>Fortnightly</t>
        </is>
      </c>
      <c r="I56" s="10" t="inlineStr">
        <is>
          <t>High</t>
        </is>
      </c>
      <c r="J56" s="10" t="inlineStr">
        <is>
          <t>Any path</t>
        </is>
      </c>
      <c r="K56" s="10" t="inlineStr">
        <is>
          <t>Not started</t>
        </is>
      </c>
      <c r="L56" s="11" t="n"/>
      <c r="M56" s="4" t="n"/>
    </row>
    <row r="57" ht="15" customHeight="1">
      <c r="A57" s="10" t="n">
        <v>56</v>
      </c>
      <c r="B57" s="10" t="inlineStr">
        <is>
          <t>Month 2</t>
        </is>
      </c>
      <c r="C57" s="10" t="inlineStr">
        <is>
          <t>W8</t>
        </is>
      </c>
      <c r="D57" s="11" t="n">
        <v>46320</v>
      </c>
      <c r="E57" s="10" t="inlineStr">
        <is>
          <t>Website</t>
        </is>
      </c>
      <c r="F57" s="4" t="inlineStr">
        <is>
          <t>Oakville and surrounding-area content, plus internal linking</t>
        </is>
      </c>
      <c r="G57" s="10" t="inlineStr">
        <is>
          <t>Agency</t>
        </is>
      </c>
      <c r="H57" s="10" t="inlineStr">
        <is>
          <t>One-off</t>
        </is>
      </c>
      <c r="I57" s="10" t="inlineStr">
        <is>
          <t>Medium</t>
        </is>
      </c>
      <c r="J57" s="10" t="inlineStr">
        <is>
          <t>Path C only</t>
        </is>
      </c>
      <c r="K57" s="10" t="inlineStr">
        <is>
          <t>Not started</t>
        </is>
      </c>
      <c r="L57" s="11" t="n"/>
      <c r="M57" s="4" t="n"/>
    </row>
    <row r="58" ht="15" customHeight="1">
      <c r="A58" s="10" t="n">
        <v>57</v>
      </c>
      <c r="B58" s="10" t="inlineStr">
        <is>
          <t>Month 2</t>
        </is>
      </c>
      <c r="C58" s="10" t="inlineStr">
        <is>
          <t>W8</t>
        </is>
      </c>
      <c r="D58" s="11" t="n">
        <v>46320</v>
      </c>
      <c r="E58" s="10" t="inlineStr">
        <is>
          <t>Website</t>
        </is>
      </c>
      <c r="F58" s="4" t="inlineStr">
        <is>
          <t>Mobile speed pass</t>
        </is>
      </c>
      <c r="G58" s="10" t="inlineStr">
        <is>
          <t>Agency</t>
        </is>
      </c>
      <c r="H58" s="10" t="inlineStr">
        <is>
          <t>One-off</t>
        </is>
      </c>
      <c r="I58" s="10" t="inlineStr">
        <is>
          <t>Medium</t>
        </is>
      </c>
      <c r="J58" s="10" t="inlineStr">
        <is>
          <t>Path B or C</t>
        </is>
      </c>
      <c r="K58" s="10" t="inlineStr">
        <is>
          <t>Not started</t>
        </is>
      </c>
      <c r="L58" s="11" t="n"/>
      <c r="M58" s="4" t="n"/>
    </row>
    <row r="59" ht="15" customHeight="1">
      <c r="A59" s="10" t="n">
        <v>58</v>
      </c>
      <c r="B59" s="10" t="inlineStr">
        <is>
          <t>Month 2</t>
        </is>
      </c>
      <c r="C59" s="10" t="inlineStr">
        <is>
          <t>W8</t>
        </is>
      </c>
      <c r="D59" s="11" t="n">
        <v>46320</v>
      </c>
      <c r="E59" s="10" t="inlineStr">
        <is>
          <t>Website</t>
        </is>
      </c>
      <c r="F59" s="4" t="inlineStr">
        <is>
          <t>Launch: verify Search Console, submit sitemap, confirm analytics running</t>
        </is>
      </c>
      <c r="G59" s="10" t="inlineStr">
        <is>
          <t>Agency</t>
        </is>
      </c>
      <c r="H59" s="10" t="inlineStr">
        <is>
          <t>One-off</t>
        </is>
      </c>
      <c r="I59" s="10" t="inlineStr">
        <is>
          <t>High</t>
        </is>
      </c>
      <c r="J59" s="10" t="inlineStr">
        <is>
          <t>Path B or C</t>
        </is>
      </c>
      <c r="K59" s="10" t="inlineStr">
        <is>
          <t>Not started</t>
        </is>
      </c>
      <c r="L59" s="11" t="n"/>
      <c r="M59" s="4" t="n"/>
    </row>
    <row r="60" ht="15" customHeight="1">
      <c r="A60" s="10" t="n">
        <v>59</v>
      </c>
      <c r="B60" s="10" t="inlineStr">
        <is>
          <t>Month 2</t>
        </is>
      </c>
      <c r="C60" s="10" t="inlineStr">
        <is>
          <t>W8</t>
        </is>
      </c>
      <c r="D60" s="11" t="n">
        <v>46320</v>
      </c>
      <c r="E60" s="10" t="inlineStr">
        <is>
          <t>Website</t>
        </is>
      </c>
      <c r="F60" s="4" t="inlineStr">
        <is>
          <t>Repoint the GBP website field at the live site</t>
        </is>
      </c>
      <c r="G60" s="10" t="inlineStr">
        <is>
          <t>Agency</t>
        </is>
      </c>
      <c r="H60" s="10" t="inlineStr">
        <is>
          <t>One-off</t>
        </is>
      </c>
      <c r="I60" s="10" t="inlineStr">
        <is>
          <t>High</t>
        </is>
      </c>
      <c r="J60" s="10" t="inlineStr">
        <is>
          <t>Path B or C</t>
        </is>
      </c>
      <c r="K60" s="10" t="inlineStr">
        <is>
          <t>Not started</t>
        </is>
      </c>
      <c r="L60" s="11" t="n"/>
      <c r="M60" s="4" t="n"/>
    </row>
    <row r="61" ht="15" customHeight="1">
      <c r="A61" s="10" t="n">
        <v>60</v>
      </c>
      <c r="B61" s="10" t="inlineStr">
        <is>
          <t>Month 2</t>
        </is>
      </c>
      <c r="C61" s="10" t="inlineStr">
        <is>
          <t>W8</t>
        </is>
      </c>
      <c r="D61" s="11" t="n">
        <v>46320</v>
      </c>
      <c r="E61" s="10" t="inlineStr">
        <is>
          <t>Citations</t>
        </is>
      </c>
      <c r="F61" s="4" t="inlineStr">
        <is>
          <t>Update every directory listing to the new website URL</t>
        </is>
      </c>
      <c r="G61" s="10" t="inlineStr">
        <is>
          <t>Agency</t>
        </is>
      </c>
      <c r="H61" s="10" t="inlineStr">
        <is>
          <t>One-off</t>
        </is>
      </c>
      <c r="I61" s="10" t="inlineStr">
        <is>
          <t>Medium</t>
        </is>
      </c>
      <c r="J61" s="10" t="inlineStr">
        <is>
          <t>Path B or C</t>
        </is>
      </c>
      <c r="K61" s="10" t="inlineStr">
        <is>
          <t>Not started</t>
        </is>
      </c>
      <c r="L61" s="11" t="n"/>
      <c r="M61" s="4" t="n"/>
    </row>
    <row r="62" ht="15" customHeight="1">
      <c r="A62" s="10" t="n">
        <v>61</v>
      </c>
      <c r="B62" s="10" t="inlineStr">
        <is>
          <t>Month 3</t>
        </is>
      </c>
      <c r="C62" s="10" t="inlineStr">
        <is>
          <t>W9</t>
        </is>
      </c>
      <c r="D62" s="11" t="n">
        <v>46327</v>
      </c>
      <c r="E62" s="10" t="inlineStr">
        <is>
          <t>Local links</t>
        </is>
      </c>
      <c r="F62" s="4" t="inlineStr">
        <is>
          <t>Submit to Oakville business directories</t>
        </is>
      </c>
      <c r="G62" s="10" t="inlineStr">
        <is>
          <t>Agency</t>
        </is>
      </c>
      <c r="H62" s="10" t="inlineStr">
        <is>
          <t>One-off</t>
        </is>
      </c>
      <c r="I62" s="10" t="inlineStr">
        <is>
          <t>Medium</t>
        </is>
      </c>
      <c r="J62" s="10" t="inlineStr">
        <is>
          <t>Any path</t>
        </is>
      </c>
      <c r="K62" s="10" t="inlineStr">
        <is>
          <t>Not started</t>
        </is>
      </c>
      <c r="L62" s="11" t="n"/>
      <c r="M62" s="4" t="n"/>
    </row>
    <row r="63" ht="15" customHeight="1">
      <c r="A63" s="10" t="n">
        <v>62</v>
      </c>
      <c r="B63" s="10" t="inlineStr">
        <is>
          <t>Month 3</t>
        </is>
      </c>
      <c r="C63" s="10" t="inlineStr">
        <is>
          <t>W9</t>
        </is>
      </c>
      <c r="D63" s="11" t="n">
        <v>46327</v>
      </c>
      <c r="E63" s="10" t="inlineStr">
        <is>
          <t>Local links</t>
        </is>
      </c>
      <c r="F63" s="4" t="inlineStr">
        <is>
          <t>Ask Allure about a cross-link between the two businesses</t>
        </is>
      </c>
      <c r="G63" s="10" t="inlineStr">
        <is>
          <t>Cleo</t>
        </is>
      </c>
      <c r="H63" s="10" t="inlineStr">
        <is>
          <t>One-off</t>
        </is>
      </c>
      <c r="I63" s="10" t="inlineStr">
        <is>
          <t>Low</t>
        </is>
      </c>
      <c r="J63" s="10" t="inlineStr">
        <is>
          <t>Any path</t>
        </is>
      </c>
      <c r="K63" s="10" t="inlineStr">
        <is>
          <t>Not started</t>
        </is>
      </c>
      <c r="L63" s="11" t="n"/>
      <c r="M63" s="4" t="n"/>
    </row>
    <row r="64" ht="15" customHeight="1">
      <c r="A64" s="10" t="n">
        <v>63</v>
      </c>
      <c r="B64" s="10" t="inlineStr">
        <is>
          <t>Month 3</t>
        </is>
      </c>
      <c r="C64" s="10" t="inlineStr">
        <is>
          <t>W9</t>
        </is>
      </c>
      <c r="D64" s="11" t="n">
        <v>46327</v>
      </c>
      <c r="E64" s="10" t="inlineStr">
        <is>
          <t>Google profile</t>
        </is>
      </c>
      <c r="F64" s="4" t="inlineStr">
        <is>
          <t>Add the weight-loss service entry to GBP ahead of the launch</t>
        </is>
      </c>
      <c r="G64" s="10" t="inlineStr">
        <is>
          <t>Agency</t>
        </is>
      </c>
      <c r="H64" s="10" t="inlineStr">
        <is>
          <t>One-off</t>
        </is>
      </c>
      <c r="I64" s="10" t="inlineStr">
        <is>
          <t>Medium</t>
        </is>
      </c>
      <c r="J64" s="10" t="inlineStr">
        <is>
          <t>Any path</t>
        </is>
      </c>
      <c r="K64" s="10" t="inlineStr">
        <is>
          <t>Not started</t>
        </is>
      </c>
      <c r="L64" s="11" t="n"/>
      <c r="M64" s="4" t="n"/>
    </row>
    <row r="65" ht="15" customHeight="1">
      <c r="A65" s="10" t="n">
        <v>64</v>
      </c>
      <c r="B65" s="10" t="inlineStr">
        <is>
          <t>Month 3</t>
        </is>
      </c>
      <c r="C65" s="10" t="inlineStr">
        <is>
          <t>W10</t>
        </is>
      </c>
      <c r="D65" s="11" t="n">
        <v>46334</v>
      </c>
      <c r="E65" s="10" t="inlineStr">
        <is>
          <t>Local links</t>
        </is>
      </c>
      <c r="F65" s="4" t="inlineStr">
        <is>
          <t>Approach Halton-area partners for mentions and links</t>
        </is>
      </c>
      <c r="G65" s="10" t="inlineStr">
        <is>
          <t>Agency</t>
        </is>
      </c>
      <c r="H65" s="10" t="inlineStr">
        <is>
          <t>One-off</t>
        </is>
      </c>
      <c r="I65" s="10" t="inlineStr">
        <is>
          <t>Medium</t>
        </is>
      </c>
      <c r="J65" s="10" t="inlineStr">
        <is>
          <t>Any path</t>
        </is>
      </c>
      <c r="K65" s="10" t="inlineStr">
        <is>
          <t>Not started</t>
        </is>
      </c>
      <c r="L65" s="11" t="n"/>
      <c r="M65" s="4" t="n"/>
    </row>
    <row r="66" ht="15" customHeight="1">
      <c r="A66" s="10" t="n">
        <v>65</v>
      </c>
      <c r="B66" s="10" t="inlineStr">
        <is>
          <t>Month 3</t>
        </is>
      </c>
      <c r="C66" s="10" t="inlineStr">
        <is>
          <t>W10</t>
        </is>
      </c>
      <c r="D66" s="11" t="n">
        <v>46334</v>
      </c>
      <c r="E66" s="10" t="inlineStr">
        <is>
          <t>Website</t>
        </is>
      </c>
      <c r="F66" s="4" t="inlineStr">
        <is>
          <t>Build the weight-loss pre-launch page</t>
        </is>
      </c>
      <c r="G66" s="10" t="inlineStr">
        <is>
          <t>Agency</t>
        </is>
      </c>
      <c r="H66" s="10" t="inlineStr">
        <is>
          <t>One-off</t>
        </is>
      </c>
      <c r="I66" s="10" t="inlineStr">
        <is>
          <t>Medium</t>
        </is>
      </c>
      <c r="J66" s="10" t="inlineStr">
        <is>
          <t>Path C only</t>
        </is>
      </c>
      <c r="K66" s="10" t="inlineStr">
        <is>
          <t>Not started</t>
        </is>
      </c>
      <c r="L66" s="11" t="n"/>
      <c r="M66" s="4" t="n"/>
    </row>
    <row r="67" ht="15" customHeight="1">
      <c r="A67" s="10" t="n">
        <v>66</v>
      </c>
      <c r="B67" s="10" t="inlineStr">
        <is>
          <t>Month 3</t>
        </is>
      </c>
      <c r="C67" s="10" t="inlineStr">
        <is>
          <t>W10</t>
        </is>
      </c>
      <c r="D67" s="11" t="n">
        <v>46334</v>
      </c>
      <c r="E67" s="10" t="inlineStr">
        <is>
          <t>Website</t>
        </is>
      </c>
      <c r="F67" s="4" t="inlineStr">
        <is>
          <t>Write the first question-intent article and link it to its treatment page</t>
        </is>
      </c>
      <c r="G67" s="10" t="inlineStr">
        <is>
          <t>Agency</t>
        </is>
      </c>
      <c r="H67" s="10" t="inlineStr">
        <is>
          <t>One-off</t>
        </is>
      </c>
      <c r="I67" s="10" t="inlineStr">
        <is>
          <t>Medium</t>
        </is>
      </c>
      <c r="J67" s="10" t="inlineStr">
        <is>
          <t>Path C only</t>
        </is>
      </c>
      <c r="K67" s="10" t="inlineStr">
        <is>
          <t>Not started</t>
        </is>
      </c>
      <c r="L67" s="11" t="n"/>
      <c r="M67" s="4" t="n"/>
    </row>
    <row r="68" ht="15" customHeight="1">
      <c r="A68" s="10" t="n">
        <v>67</v>
      </c>
      <c r="B68" s="10" t="inlineStr">
        <is>
          <t>Month 3</t>
        </is>
      </c>
      <c r="C68" s="10" t="inlineStr">
        <is>
          <t>W11</t>
        </is>
      </c>
      <c r="D68" s="11" t="n">
        <v>46341</v>
      </c>
      <c r="E68" s="10" t="inlineStr">
        <is>
          <t>Website</t>
        </is>
      </c>
      <c r="F68" s="4" t="inlineStr">
        <is>
          <t>Write two more question-intent articles from real consult questions</t>
        </is>
      </c>
      <c r="G68" s="10" t="inlineStr">
        <is>
          <t>Agency</t>
        </is>
      </c>
      <c r="H68" s="10" t="inlineStr">
        <is>
          <t>One-off</t>
        </is>
      </c>
      <c r="I68" s="10" t="inlineStr">
        <is>
          <t>Medium</t>
        </is>
      </c>
      <c r="J68" s="10" t="inlineStr">
        <is>
          <t>Path C only</t>
        </is>
      </c>
      <c r="K68" s="10" t="inlineStr">
        <is>
          <t>Not started</t>
        </is>
      </c>
      <c r="L68" s="11" t="n"/>
      <c r="M68" s="4" t="n"/>
    </row>
    <row r="69" ht="15" customHeight="1">
      <c r="A69" s="10" t="n">
        <v>68</v>
      </c>
      <c r="B69" s="10" t="inlineStr">
        <is>
          <t>Month 3</t>
        </is>
      </c>
      <c r="C69" s="10" t="inlineStr">
        <is>
          <t>W11</t>
        </is>
      </c>
      <c r="D69" s="11" t="n">
        <v>46341</v>
      </c>
      <c r="E69" s="10" t="inlineStr">
        <is>
          <t>Reviews</t>
        </is>
      </c>
      <c r="F69" s="4" t="inlineStr">
        <is>
          <t>Check progress against the 8 to 10 new reviews target and adjust the ask</t>
        </is>
      </c>
      <c r="G69" s="10" t="inlineStr">
        <is>
          <t>Agency</t>
        </is>
      </c>
      <c r="H69" s="10" t="inlineStr">
        <is>
          <t>One-off</t>
        </is>
      </c>
      <c r="I69" s="10" t="inlineStr">
        <is>
          <t>High</t>
        </is>
      </c>
      <c r="J69" s="10" t="inlineStr">
        <is>
          <t>Any path</t>
        </is>
      </c>
      <c r="K69" s="10" t="inlineStr">
        <is>
          <t>Not started</t>
        </is>
      </c>
      <c r="L69" s="11" t="n"/>
      <c r="M69" s="4" t="n"/>
    </row>
    <row r="70" ht="15" customHeight="1">
      <c r="A70" s="10" t="n">
        <v>69</v>
      </c>
      <c r="B70" s="10" t="inlineStr">
        <is>
          <t>Month 3</t>
        </is>
      </c>
      <c r="C70" s="10" t="inlineStr">
        <is>
          <t>W12</t>
        </is>
      </c>
      <c r="D70" s="11" t="n">
        <v>46348</v>
      </c>
      <c r="E70" s="10" t="inlineStr">
        <is>
          <t>Measurement</t>
        </is>
      </c>
      <c r="F70" s="4" t="inlineStr">
        <is>
          <t>Full review of every number against the week-one baseline</t>
        </is>
      </c>
      <c r="G70" s="10" t="inlineStr">
        <is>
          <t>Agency</t>
        </is>
      </c>
      <c r="H70" s="10" t="inlineStr">
        <is>
          <t>One-off</t>
        </is>
      </c>
      <c r="I70" s="10" t="inlineStr">
        <is>
          <t>High</t>
        </is>
      </c>
      <c r="J70" s="10" t="inlineStr">
        <is>
          <t>Any path</t>
        </is>
      </c>
      <c r="K70" s="10" t="inlineStr">
        <is>
          <t>Not started</t>
        </is>
      </c>
      <c r="L70" s="11" t="n"/>
      <c r="M70" s="4" t="n"/>
    </row>
    <row r="71" ht="15" customHeight="1">
      <c r="A71" s="10" t="n">
        <v>70</v>
      </c>
      <c r="B71" s="10" t="inlineStr">
        <is>
          <t>Month 3</t>
        </is>
      </c>
      <c r="C71" s="10" t="inlineStr">
        <is>
          <t>W12</t>
        </is>
      </c>
      <c r="D71" s="11" t="n">
        <v>46348</v>
      </c>
      <c r="E71" s="10" t="inlineStr">
        <is>
          <t>Measurement</t>
        </is>
      </c>
      <c r="F71" s="4" t="inlineStr">
        <is>
          <t>Write the recommendation for Q1 2027</t>
        </is>
      </c>
      <c r="G71" s="10" t="inlineStr">
        <is>
          <t>Agency</t>
        </is>
      </c>
      <c r="H71" s="10" t="inlineStr">
        <is>
          <t>One-off</t>
        </is>
      </c>
      <c r="I71" s="10" t="inlineStr">
        <is>
          <t>High</t>
        </is>
      </c>
      <c r="J71" s="10" t="inlineStr">
        <is>
          <t>Any path</t>
        </is>
      </c>
      <c r="K71" s="10" t="inlineStr">
        <is>
          <t>Not started</t>
        </is>
      </c>
      <c r="L71" s="11" t="n"/>
      <c r="M71" s="4" t="n"/>
    </row>
  </sheetData>
  <autoFilter ref="A1:M71"/>
  <conditionalFormatting sqref="A2:M71">
    <cfRule type="expression" priority="1" dxfId="0" stopIfTrue="0">
      <formula>$K2="Done"</formula>
    </cfRule>
    <cfRule type="expression" priority="2" dxfId="1" stopIfTrue="0">
      <formula>$K2="Blocked"</formula>
    </cfRule>
    <cfRule type="expression" priority="3" dxfId="2" stopIfTrue="0">
      <formula>$K2="In progress"</formula>
    </cfRule>
    <cfRule type="expression" priority="4" dxfId="3" stopIfTrue="0">
      <formula>AND($D2&lt;TODAY(),$K2&lt;&gt;"Done",$K2&lt;&gt;"Not applicable")</formula>
    </cfRule>
  </conditionalFormatting>
  <dataValidations count="5">
    <dataValidation sqref="G2:G71" showDropDown="0" showInputMessage="0" showErrorMessage="0" allowBlank="1" type="list">
      <formula1>"Agency,Cleo,Both"</formula1>
    </dataValidation>
    <dataValidation sqref="H2:H71" showDropDown="0" showInputMessage="0" showErrorMessage="0" allowBlank="1" type="list">
      <formula1>"One-off,Weekly,Fortnightly,Ongoing"</formula1>
    </dataValidation>
    <dataValidation sqref="I2:I71" showDropDown="0" showInputMessage="0" showErrorMessage="0" allowBlank="1" type="list">
      <formula1>"High,Medium,Low"</formula1>
    </dataValidation>
    <dataValidation sqref="J2:J71" showDropDown="0" showInputMessage="0" showErrorMessage="0" allowBlank="1" type="list">
      <formula1>"Any path,Path B or C,Path C only,Path A only"</formula1>
    </dataValidation>
    <dataValidation sqref="K2:K71" showDropDown="0" showInputMessage="0" showErrorMessage="0" allowBlank="1" type="list">
      <formula1>"Not started,In progress,Blocked,Done,Not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6" customWidth="1" min="3" max="3"/>
    <col width="11" customWidth="1" min="4" max="4"/>
    <col width="15" customWidth="1" min="5" max="5"/>
    <col width="13" customWidth="1" min="6" max="6"/>
    <col width="12" customWidth="1" min="7" max="7"/>
    <col width="10" customWidth="1" min="8" max="8"/>
    <col width="40" customWidth="1" min="9" max="9"/>
  </cols>
  <sheetData>
    <row r="1" ht="22" customHeight="1">
      <c r="A1" s="1" t="inlineStr">
        <is>
          <t>Review tracker</t>
        </is>
      </c>
    </row>
    <row r="2">
      <c r="A2" s="2" t="inlineStr">
        <is>
          <t>Baseline 12 reviews at 5.0. Target 8 to 10 new ones this quarter, roughly one every ten days.</t>
        </is>
      </c>
      <c r="F2" s="3" t="inlineStr">
        <is>
          <t>Asks sent</t>
        </is>
      </c>
      <c r="G2" s="6">
        <f>COUNTA(A5:A64)</f>
        <v/>
      </c>
      <c r="H2" s="3" t="inlineStr">
        <is>
          <t>Reviews landed</t>
        </is>
      </c>
      <c r="I2" s="3">
        <f>COUNTIF(E5:E64,"Yes")</f>
        <v/>
      </c>
    </row>
    <row r="4" ht="28" customHeight="1">
      <c r="A4" s="9" t="inlineStr">
        <is>
          <t>Date asked</t>
        </is>
      </c>
      <c r="B4" s="9" t="inlineStr">
        <is>
          <t>Patient (initials)</t>
        </is>
      </c>
      <c r="C4" s="9" t="inlineStr">
        <is>
          <t>How we asked</t>
        </is>
      </c>
      <c r="D4" s="9" t="inlineStr">
        <is>
          <t>Asked by</t>
        </is>
      </c>
      <c r="E4" s="9" t="inlineStr">
        <is>
          <t>Review received</t>
        </is>
      </c>
      <c r="F4" s="9" t="inlineStr">
        <is>
          <t>Date received</t>
        </is>
      </c>
      <c r="G4" s="9" t="inlineStr">
        <is>
          <t>Platform</t>
        </is>
      </c>
      <c r="H4" s="9" t="inlineStr">
        <is>
          <t>Replied</t>
        </is>
      </c>
      <c r="I4" s="9" t="inlineStr">
        <is>
          <t>Notes</t>
        </is>
      </c>
    </row>
    <row r="5">
      <c r="A5" s="12" t="n"/>
      <c r="B5" s="6" t="n"/>
      <c r="C5" s="6" t="n"/>
      <c r="D5" s="6" t="n"/>
      <c r="E5" s="6" t="n"/>
      <c r="F5" s="12" t="n"/>
      <c r="G5" s="6" t="n"/>
      <c r="H5" s="6" t="n"/>
      <c r="I5" s="6" t="n"/>
    </row>
    <row r="6">
      <c r="A6" s="12" t="n"/>
      <c r="B6" s="6" t="n"/>
      <c r="C6" s="6" t="n"/>
      <c r="D6" s="6" t="n"/>
      <c r="E6" s="6" t="n"/>
      <c r="F6" s="12" t="n"/>
      <c r="G6" s="6" t="n"/>
      <c r="H6" s="6" t="n"/>
      <c r="I6" s="6" t="n"/>
    </row>
    <row r="7">
      <c r="A7" s="12" t="n"/>
      <c r="B7" s="6" t="n"/>
      <c r="C7" s="6" t="n"/>
      <c r="D7" s="6" t="n"/>
      <c r="E7" s="6" t="n"/>
      <c r="F7" s="12" t="n"/>
      <c r="G7" s="6" t="n"/>
      <c r="H7" s="6" t="n"/>
      <c r="I7" s="6" t="n"/>
    </row>
    <row r="8">
      <c r="A8" s="12" t="n"/>
      <c r="B8" s="6" t="n"/>
      <c r="C8" s="6" t="n"/>
      <c r="D8" s="6" t="n"/>
      <c r="E8" s="6" t="n"/>
      <c r="F8" s="12" t="n"/>
      <c r="G8" s="6" t="n"/>
      <c r="H8" s="6" t="n"/>
      <c r="I8" s="6" t="n"/>
    </row>
    <row r="9">
      <c r="A9" s="12" t="n"/>
      <c r="B9" s="6" t="n"/>
      <c r="C9" s="6" t="n"/>
      <c r="D9" s="6" t="n"/>
      <c r="E9" s="6" t="n"/>
      <c r="F9" s="12" t="n"/>
      <c r="G9" s="6" t="n"/>
      <c r="H9" s="6" t="n"/>
      <c r="I9" s="6" t="n"/>
    </row>
    <row r="10">
      <c r="A10" s="12" t="n"/>
      <c r="B10" s="6" t="n"/>
      <c r="C10" s="6" t="n"/>
      <c r="D10" s="6" t="n"/>
      <c r="E10" s="6" t="n"/>
      <c r="F10" s="12" t="n"/>
      <c r="G10" s="6" t="n"/>
      <c r="H10" s="6" t="n"/>
      <c r="I10" s="6" t="n"/>
    </row>
    <row r="11">
      <c r="A11" s="12" t="n"/>
      <c r="B11" s="6" t="n"/>
      <c r="C11" s="6" t="n"/>
      <c r="D11" s="6" t="n"/>
      <c r="E11" s="6" t="n"/>
      <c r="F11" s="12" t="n"/>
      <c r="G11" s="6" t="n"/>
      <c r="H11" s="6" t="n"/>
      <c r="I11" s="6" t="n"/>
    </row>
    <row r="12">
      <c r="A12" s="12" t="n"/>
      <c r="B12" s="6" t="n"/>
      <c r="C12" s="6" t="n"/>
      <c r="D12" s="6" t="n"/>
      <c r="E12" s="6" t="n"/>
      <c r="F12" s="12" t="n"/>
      <c r="G12" s="6" t="n"/>
      <c r="H12" s="6" t="n"/>
      <c r="I12" s="6" t="n"/>
    </row>
    <row r="13">
      <c r="A13" s="12" t="n"/>
      <c r="B13" s="6" t="n"/>
      <c r="C13" s="6" t="n"/>
      <c r="D13" s="6" t="n"/>
      <c r="E13" s="6" t="n"/>
      <c r="F13" s="12" t="n"/>
      <c r="G13" s="6" t="n"/>
      <c r="H13" s="6" t="n"/>
      <c r="I13" s="6" t="n"/>
    </row>
    <row r="14">
      <c r="A14" s="12" t="n"/>
      <c r="B14" s="6" t="n"/>
      <c r="C14" s="6" t="n"/>
      <c r="D14" s="6" t="n"/>
      <c r="E14" s="6" t="n"/>
      <c r="F14" s="12" t="n"/>
      <c r="G14" s="6" t="n"/>
      <c r="H14" s="6" t="n"/>
      <c r="I14" s="6" t="n"/>
    </row>
    <row r="15">
      <c r="A15" s="12" t="n"/>
      <c r="B15" s="6" t="n"/>
      <c r="C15" s="6" t="n"/>
      <c r="D15" s="6" t="n"/>
      <c r="E15" s="6" t="n"/>
      <c r="F15" s="12" t="n"/>
      <c r="G15" s="6" t="n"/>
      <c r="H15" s="6" t="n"/>
      <c r="I15" s="6" t="n"/>
    </row>
    <row r="16">
      <c r="A16" s="12" t="n"/>
      <c r="B16" s="6" t="n"/>
      <c r="C16" s="6" t="n"/>
      <c r="D16" s="6" t="n"/>
      <c r="E16" s="6" t="n"/>
      <c r="F16" s="12" t="n"/>
      <c r="G16" s="6" t="n"/>
      <c r="H16" s="6" t="n"/>
      <c r="I16" s="6" t="n"/>
    </row>
    <row r="17">
      <c r="A17" s="12" t="n"/>
      <c r="B17" s="6" t="n"/>
      <c r="C17" s="6" t="n"/>
      <c r="D17" s="6" t="n"/>
      <c r="E17" s="6" t="n"/>
      <c r="F17" s="12" t="n"/>
      <c r="G17" s="6" t="n"/>
      <c r="H17" s="6" t="n"/>
      <c r="I17" s="6" t="n"/>
    </row>
    <row r="18">
      <c r="A18" s="12" t="n"/>
      <c r="B18" s="6" t="n"/>
      <c r="C18" s="6" t="n"/>
      <c r="D18" s="6" t="n"/>
      <c r="E18" s="6" t="n"/>
      <c r="F18" s="12" t="n"/>
      <c r="G18" s="6" t="n"/>
      <c r="H18" s="6" t="n"/>
      <c r="I18" s="6" t="n"/>
    </row>
    <row r="19">
      <c r="A19" s="12" t="n"/>
      <c r="B19" s="6" t="n"/>
      <c r="C19" s="6" t="n"/>
      <c r="D19" s="6" t="n"/>
      <c r="E19" s="6" t="n"/>
      <c r="F19" s="12" t="n"/>
      <c r="G19" s="6" t="n"/>
      <c r="H19" s="6" t="n"/>
      <c r="I19" s="6" t="n"/>
    </row>
    <row r="20">
      <c r="A20" s="12" t="n"/>
      <c r="B20" s="6" t="n"/>
      <c r="C20" s="6" t="n"/>
      <c r="D20" s="6" t="n"/>
      <c r="E20" s="6" t="n"/>
      <c r="F20" s="12" t="n"/>
      <c r="G20" s="6" t="n"/>
      <c r="H20" s="6" t="n"/>
      <c r="I20" s="6" t="n"/>
    </row>
    <row r="21">
      <c r="A21" s="12" t="n"/>
      <c r="B21" s="6" t="n"/>
      <c r="C21" s="6" t="n"/>
      <c r="D21" s="6" t="n"/>
      <c r="E21" s="6" t="n"/>
      <c r="F21" s="12" t="n"/>
      <c r="G21" s="6" t="n"/>
      <c r="H21" s="6" t="n"/>
      <c r="I21" s="6" t="n"/>
    </row>
    <row r="22">
      <c r="A22" s="12" t="n"/>
      <c r="B22" s="6" t="n"/>
      <c r="C22" s="6" t="n"/>
      <c r="D22" s="6" t="n"/>
      <c r="E22" s="6" t="n"/>
      <c r="F22" s="12" t="n"/>
      <c r="G22" s="6" t="n"/>
      <c r="H22" s="6" t="n"/>
      <c r="I22" s="6" t="n"/>
    </row>
    <row r="23">
      <c r="A23" s="12" t="n"/>
      <c r="B23" s="6" t="n"/>
      <c r="C23" s="6" t="n"/>
      <c r="D23" s="6" t="n"/>
      <c r="E23" s="6" t="n"/>
      <c r="F23" s="12" t="n"/>
      <c r="G23" s="6" t="n"/>
      <c r="H23" s="6" t="n"/>
      <c r="I23" s="6" t="n"/>
    </row>
    <row r="24">
      <c r="A24" s="12" t="n"/>
      <c r="B24" s="6" t="n"/>
      <c r="C24" s="6" t="n"/>
      <c r="D24" s="6" t="n"/>
      <c r="E24" s="6" t="n"/>
      <c r="F24" s="12" t="n"/>
      <c r="G24" s="6" t="n"/>
      <c r="H24" s="6" t="n"/>
      <c r="I24" s="6" t="n"/>
    </row>
    <row r="25">
      <c r="A25" s="12" t="n"/>
      <c r="B25" s="6" t="n"/>
      <c r="C25" s="6" t="n"/>
      <c r="D25" s="6" t="n"/>
      <c r="E25" s="6" t="n"/>
      <c r="F25" s="12" t="n"/>
      <c r="G25" s="6" t="n"/>
      <c r="H25" s="6" t="n"/>
      <c r="I25" s="6" t="n"/>
    </row>
    <row r="26">
      <c r="A26" s="12" t="n"/>
      <c r="B26" s="6" t="n"/>
      <c r="C26" s="6" t="n"/>
      <c r="D26" s="6" t="n"/>
      <c r="E26" s="6" t="n"/>
      <c r="F26" s="12" t="n"/>
      <c r="G26" s="6" t="n"/>
      <c r="H26" s="6" t="n"/>
      <c r="I26" s="6" t="n"/>
    </row>
    <row r="27">
      <c r="A27" s="12" t="n"/>
      <c r="B27" s="6" t="n"/>
      <c r="C27" s="6" t="n"/>
      <c r="D27" s="6" t="n"/>
      <c r="E27" s="6" t="n"/>
      <c r="F27" s="12" t="n"/>
      <c r="G27" s="6" t="n"/>
      <c r="H27" s="6" t="n"/>
      <c r="I27" s="6" t="n"/>
    </row>
    <row r="28">
      <c r="A28" s="12" t="n"/>
      <c r="B28" s="6" t="n"/>
      <c r="C28" s="6" t="n"/>
      <c r="D28" s="6" t="n"/>
      <c r="E28" s="6" t="n"/>
      <c r="F28" s="12" t="n"/>
      <c r="G28" s="6" t="n"/>
      <c r="H28" s="6" t="n"/>
      <c r="I28" s="6" t="n"/>
    </row>
    <row r="29">
      <c r="A29" s="12" t="n"/>
      <c r="B29" s="6" t="n"/>
      <c r="C29" s="6" t="n"/>
      <c r="D29" s="6" t="n"/>
      <c r="E29" s="6" t="n"/>
      <c r="F29" s="12" t="n"/>
      <c r="G29" s="6" t="n"/>
      <c r="H29" s="6" t="n"/>
      <c r="I29" s="6" t="n"/>
    </row>
    <row r="30">
      <c r="A30" s="12" t="n"/>
      <c r="B30" s="6" t="n"/>
      <c r="C30" s="6" t="n"/>
      <c r="D30" s="6" t="n"/>
      <c r="E30" s="6" t="n"/>
      <c r="F30" s="12" t="n"/>
      <c r="G30" s="6" t="n"/>
      <c r="H30" s="6" t="n"/>
      <c r="I30" s="6" t="n"/>
    </row>
    <row r="31">
      <c r="A31" s="12" t="n"/>
      <c r="B31" s="6" t="n"/>
      <c r="C31" s="6" t="n"/>
      <c r="D31" s="6" t="n"/>
      <c r="E31" s="6" t="n"/>
      <c r="F31" s="12" t="n"/>
      <c r="G31" s="6" t="n"/>
      <c r="H31" s="6" t="n"/>
      <c r="I31" s="6" t="n"/>
    </row>
    <row r="32">
      <c r="A32" s="12" t="n"/>
      <c r="B32" s="6" t="n"/>
      <c r="C32" s="6" t="n"/>
      <c r="D32" s="6" t="n"/>
      <c r="E32" s="6" t="n"/>
      <c r="F32" s="12" t="n"/>
      <c r="G32" s="6" t="n"/>
      <c r="H32" s="6" t="n"/>
      <c r="I32" s="6" t="n"/>
    </row>
    <row r="33">
      <c r="A33" s="12" t="n"/>
      <c r="B33" s="6" t="n"/>
      <c r="C33" s="6" t="n"/>
      <c r="D33" s="6" t="n"/>
      <c r="E33" s="6" t="n"/>
      <c r="F33" s="12" t="n"/>
      <c r="G33" s="6" t="n"/>
      <c r="H33" s="6" t="n"/>
      <c r="I33" s="6" t="n"/>
    </row>
    <row r="34">
      <c r="A34" s="12" t="n"/>
      <c r="B34" s="6" t="n"/>
      <c r="C34" s="6" t="n"/>
      <c r="D34" s="6" t="n"/>
      <c r="E34" s="6" t="n"/>
      <c r="F34" s="12" t="n"/>
      <c r="G34" s="6" t="n"/>
      <c r="H34" s="6" t="n"/>
      <c r="I34" s="6" t="n"/>
    </row>
    <row r="35">
      <c r="A35" s="12" t="n"/>
      <c r="B35" s="6" t="n"/>
      <c r="C35" s="6" t="n"/>
      <c r="D35" s="6" t="n"/>
      <c r="E35" s="6" t="n"/>
      <c r="F35" s="12" t="n"/>
      <c r="G35" s="6" t="n"/>
      <c r="H35" s="6" t="n"/>
      <c r="I35" s="6" t="n"/>
    </row>
    <row r="36">
      <c r="A36" s="12" t="n"/>
      <c r="B36" s="6" t="n"/>
      <c r="C36" s="6" t="n"/>
      <c r="D36" s="6" t="n"/>
      <c r="E36" s="6" t="n"/>
      <c r="F36" s="12" t="n"/>
      <c r="G36" s="6" t="n"/>
      <c r="H36" s="6" t="n"/>
      <c r="I36" s="6" t="n"/>
    </row>
    <row r="37">
      <c r="A37" s="12" t="n"/>
      <c r="B37" s="6" t="n"/>
      <c r="C37" s="6" t="n"/>
      <c r="D37" s="6" t="n"/>
      <c r="E37" s="6" t="n"/>
      <c r="F37" s="12" t="n"/>
      <c r="G37" s="6" t="n"/>
      <c r="H37" s="6" t="n"/>
      <c r="I37" s="6" t="n"/>
    </row>
    <row r="38">
      <c r="A38" s="12" t="n"/>
      <c r="B38" s="6" t="n"/>
      <c r="C38" s="6" t="n"/>
      <c r="D38" s="6" t="n"/>
      <c r="E38" s="6" t="n"/>
      <c r="F38" s="12" t="n"/>
      <c r="G38" s="6" t="n"/>
      <c r="H38" s="6" t="n"/>
      <c r="I38" s="6" t="n"/>
    </row>
    <row r="39">
      <c r="A39" s="12" t="n"/>
      <c r="B39" s="6" t="n"/>
      <c r="C39" s="6" t="n"/>
      <c r="D39" s="6" t="n"/>
      <c r="E39" s="6" t="n"/>
      <c r="F39" s="12" t="n"/>
      <c r="G39" s="6" t="n"/>
      <c r="H39" s="6" t="n"/>
      <c r="I39" s="6" t="n"/>
    </row>
    <row r="40">
      <c r="A40" s="12" t="n"/>
      <c r="B40" s="6" t="n"/>
      <c r="C40" s="6" t="n"/>
      <c r="D40" s="6" t="n"/>
      <c r="E40" s="6" t="n"/>
      <c r="F40" s="12" t="n"/>
      <c r="G40" s="6" t="n"/>
      <c r="H40" s="6" t="n"/>
      <c r="I40" s="6" t="n"/>
    </row>
    <row r="41">
      <c r="A41" s="12" t="n"/>
      <c r="B41" s="6" t="n"/>
      <c r="C41" s="6" t="n"/>
      <c r="D41" s="6" t="n"/>
      <c r="E41" s="6" t="n"/>
      <c r="F41" s="12" t="n"/>
      <c r="G41" s="6" t="n"/>
      <c r="H41" s="6" t="n"/>
      <c r="I41" s="6" t="n"/>
    </row>
    <row r="42">
      <c r="A42" s="12" t="n"/>
      <c r="B42" s="6" t="n"/>
      <c r="C42" s="6" t="n"/>
      <c r="D42" s="6" t="n"/>
      <c r="E42" s="6" t="n"/>
      <c r="F42" s="12" t="n"/>
      <c r="G42" s="6" t="n"/>
      <c r="H42" s="6" t="n"/>
      <c r="I42" s="6" t="n"/>
    </row>
    <row r="43">
      <c r="A43" s="12" t="n"/>
      <c r="B43" s="6" t="n"/>
      <c r="C43" s="6" t="n"/>
      <c r="D43" s="6" t="n"/>
      <c r="E43" s="6" t="n"/>
      <c r="F43" s="12" t="n"/>
      <c r="G43" s="6" t="n"/>
      <c r="H43" s="6" t="n"/>
      <c r="I43" s="6" t="n"/>
    </row>
    <row r="44">
      <c r="A44" s="12" t="n"/>
      <c r="B44" s="6" t="n"/>
      <c r="C44" s="6" t="n"/>
      <c r="D44" s="6" t="n"/>
      <c r="E44" s="6" t="n"/>
      <c r="F44" s="12" t="n"/>
      <c r="G44" s="6" t="n"/>
      <c r="H44" s="6" t="n"/>
      <c r="I44" s="6" t="n"/>
    </row>
    <row r="45">
      <c r="A45" s="12" t="n"/>
      <c r="B45" s="6" t="n"/>
      <c r="C45" s="6" t="n"/>
      <c r="D45" s="6" t="n"/>
      <c r="E45" s="6" t="n"/>
      <c r="F45" s="12" t="n"/>
      <c r="G45" s="6" t="n"/>
      <c r="H45" s="6" t="n"/>
      <c r="I45" s="6" t="n"/>
    </row>
    <row r="46">
      <c r="A46" s="12" t="n"/>
      <c r="B46" s="6" t="n"/>
      <c r="C46" s="6" t="n"/>
      <c r="D46" s="6" t="n"/>
      <c r="E46" s="6" t="n"/>
      <c r="F46" s="12" t="n"/>
      <c r="G46" s="6" t="n"/>
      <c r="H46" s="6" t="n"/>
      <c r="I46" s="6" t="n"/>
    </row>
    <row r="47">
      <c r="A47" s="12" t="n"/>
      <c r="B47" s="6" t="n"/>
      <c r="C47" s="6" t="n"/>
      <c r="D47" s="6" t="n"/>
      <c r="E47" s="6" t="n"/>
      <c r="F47" s="12" t="n"/>
      <c r="G47" s="6" t="n"/>
      <c r="H47" s="6" t="n"/>
      <c r="I47" s="6" t="n"/>
    </row>
    <row r="48">
      <c r="A48" s="12" t="n"/>
      <c r="B48" s="6" t="n"/>
      <c r="C48" s="6" t="n"/>
      <c r="D48" s="6" t="n"/>
      <c r="E48" s="6" t="n"/>
      <c r="F48" s="12" t="n"/>
      <c r="G48" s="6" t="n"/>
      <c r="H48" s="6" t="n"/>
      <c r="I48" s="6" t="n"/>
    </row>
    <row r="49">
      <c r="A49" s="12" t="n"/>
      <c r="B49" s="6" t="n"/>
      <c r="C49" s="6" t="n"/>
      <c r="D49" s="6" t="n"/>
      <c r="E49" s="6" t="n"/>
      <c r="F49" s="12" t="n"/>
      <c r="G49" s="6" t="n"/>
      <c r="H49" s="6" t="n"/>
      <c r="I49" s="6" t="n"/>
    </row>
    <row r="50">
      <c r="A50" s="12" t="n"/>
      <c r="B50" s="6" t="n"/>
      <c r="C50" s="6" t="n"/>
      <c r="D50" s="6" t="n"/>
      <c r="E50" s="6" t="n"/>
      <c r="F50" s="12" t="n"/>
      <c r="G50" s="6" t="n"/>
      <c r="H50" s="6" t="n"/>
      <c r="I50" s="6" t="n"/>
    </row>
    <row r="51">
      <c r="A51" s="12" t="n"/>
      <c r="B51" s="6" t="n"/>
      <c r="C51" s="6" t="n"/>
      <c r="D51" s="6" t="n"/>
      <c r="E51" s="6" t="n"/>
      <c r="F51" s="12" t="n"/>
      <c r="G51" s="6" t="n"/>
      <c r="H51" s="6" t="n"/>
      <c r="I51" s="6" t="n"/>
    </row>
    <row r="52">
      <c r="A52" s="12" t="n"/>
      <c r="B52" s="6" t="n"/>
      <c r="C52" s="6" t="n"/>
      <c r="D52" s="6" t="n"/>
      <c r="E52" s="6" t="n"/>
      <c r="F52" s="12" t="n"/>
      <c r="G52" s="6" t="n"/>
      <c r="H52" s="6" t="n"/>
      <c r="I52" s="6" t="n"/>
    </row>
    <row r="53">
      <c r="A53" s="12" t="n"/>
      <c r="B53" s="6" t="n"/>
      <c r="C53" s="6" t="n"/>
      <c r="D53" s="6" t="n"/>
      <c r="E53" s="6" t="n"/>
      <c r="F53" s="12" t="n"/>
      <c r="G53" s="6" t="n"/>
      <c r="H53" s="6" t="n"/>
      <c r="I53" s="6" t="n"/>
    </row>
    <row r="54">
      <c r="A54" s="12" t="n"/>
      <c r="B54" s="6" t="n"/>
      <c r="C54" s="6" t="n"/>
      <c r="D54" s="6" t="n"/>
      <c r="E54" s="6" t="n"/>
      <c r="F54" s="12" t="n"/>
      <c r="G54" s="6" t="n"/>
      <c r="H54" s="6" t="n"/>
      <c r="I54" s="6" t="n"/>
    </row>
    <row r="55">
      <c r="A55" s="12" t="n"/>
      <c r="B55" s="6" t="n"/>
      <c r="C55" s="6" t="n"/>
      <c r="D55" s="6" t="n"/>
      <c r="E55" s="6" t="n"/>
      <c r="F55" s="12" t="n"/>
      <c r="G55" s="6" t="n"/>
      <c r="H55" s="6" t="n"/>
      <c r="I55" s="6" t="n"/>
    </row>
    <row r="56">
      <c r="A56" s="12" t="n"/>
      <c r="B56" s="6" t="n"/>
      <c r="C56" s="6" t="n"/>
      <c r="D56" s="6" t="n"/>
      <c r="E56" s="6" t="n"/>
      <c r="F56" s="12" t="n"/>
      <c r="G56" s="6" t="n"/>
      <c r="H56" s="6" t="n"/>
      <c r="I56" s="6" t="n"/>
    </row>
    <row r="57">
      <c r="A57" s="12" t="n"/>
      <c r="B57" s="6" t="n"/>
      <c r="C57" s="6" t="n"/>
      <c r="D57" s="6" t="n"/>
      <c r="E57" s="6" t="n"/>
      <c r="F57" s="12" t="n"/>
      <c r="G57" s="6" t="n"/>
      <c r="H57" s="6" t="n"/>
      <c r="I57" s="6" t="n"/>
    </row>
    <row r="58">
      <c r="A58" s="12" t="n"/>
      <c r="B58" s="6" t="n"/>
      <c r="C58" s="6" t="n"/>
      <c r="D58" s="6" t="n"/>
      <c r="E58" s="6" t="n"/>
      <c r="F58" s="12" t="n"/>
      <c r="G58" s="6" t="n"/>
      <c r="H58" s="6" t="n"/>
      <c r="I58" s="6" t="n"/>
    </row>
    <row r="59">
      <c r="A59" s="12" t="n"/>
      <c r="B59" s="6" t="n"/>
      <c r="C59" s="6" t="n"/>
      <c r="D59" s="6" t="n"/>
      <c r="E59" s="6" t="n"/>
      <c r="F59" s="12" t="n"/>
      <c r="G59" s="6" t="n"/>
      <c r="H59" s="6" t="n"/>
      <c r="I59" s="6" t="n"/>
    </row>
    <row r="60">
      <c r="A60" s="12" t="n"/>
      <c r="B60" s="6" t="n"/>
      <c r="C60" s="6" t="n"/>
      <c r="D60" s="6" t="n"/>
      <c r="E60" s="6" t="n"/>
      <c r="F60" s="12" t="n"/>
      <c r="G60" s="6" t="n"/>
      <c r="H60" s="6" t="n"/>
      <c r="I60" s="6" t="n"/>
    </row>
    <row r="61">
      <c r="A61" s="12" t="n"/>
      <c r="B61" s="6" t="n"/>
      <c r="C61" s="6" t="n"/>
      <c r="D61" s="6" t="n"/>
      <c r="E61" s="6" t="n"/>
      <c r="F61" s="12" t="n"/>
      <c r="G61" s="6" t="n"/>
      <c r="H61" s="6" t="n"/>
      <c r="I61" s="6" t="n"/>
    </row>
    <row r="62">
      <c r="A62" s="12" t="n"/>
      <c r="B62" s="6" t="n"/>
      <c r="C62" s="6" t="n"/>
      <c r="D62" s="6" t="n"/>
      <c r="E62" s="6" t="n"/>
      <c r="F62" s="12" t="n"/>
      <c r="G62" s="6" t="n"/>
      <c r="H62" s="6" t="n"/>
      <c r="I62" s="6" t="n"/>
    </row>
    <row r="63">
      <c r="A63" s="12" t="n"/>
      <c r="B63" s="6" t="n"/>
      <c r="C63" s="6" t="n"/>
      <c r="D63" s="6" t="n"/>
      <c r="E63" s="6" t="n"/>
      <c r="F63" s="12" t="n"/>
      <c r="G63" s="6" t="n"/>
      <c r="H63" s="6" t="n"/>
      <c r="I63" s="6" t="n"/>
    </row>
    <row r="64">
      <c r="A64" s="12" t="n"/>
      <c r="B64" s="6" t="n"/>
      <c r="C64" s="6" t="n"/>
      <c r="D64" s="6" t="n"/>
      <c r="E64" s="6" t="n"/>
      <c r="F64" s="12" t="n"/>
      <c r="G64" s="6" t="n"/>
      <c r="H64" s="6" t="n"/>
      <c r="I64" s="6" t="n"/>
    </row>
  </sheetData>
  <conditionalFormatting sqref="A5:I64">
    <cfRule type="expression" priority="1" dxfId="0" stopIfTrue="0">
      <formula>$E5="Yes"</formula>
    </cfRule>
  </conditionalFormatting>
  <dataValidations count="5">
    <dataValidation sqref="C5:C64" showDropDown="0" showInputMessage="0" showErrorMessage="0" allowBlank="1" type="list">
      <formula1>"WhatsApp,QR card in room,In person,Email,Text"</formula1>
    </dataValidation>
    <dataValidation sqref="D5:D64" showDropDown="0" showInputMessage="0" showErrorMessage="0" allowBlank="1" type="list">
      <formula1>"Cleo,Agency"</formula1>
    </dataValidation>
    <dataValidation sqref="E5:E64" showDropDown="0" showInputMessage="0" showErrorMessage="0" allowBlank="1" type="list">
      <formula1>"Yes,No,Waiting"</formula1>
    </dataValidation>
    <dataValidation sqref="G5:G64" showDropDown="0" showInputMessage="0" showErrorMessage="0" allowBlank="1" type="list">
      <formula1>"Google,Facebook,Birdeye,Fresha"</formula1>
    </dataValidation>
    <dataValidation sqref="H5:H6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34" customWidth="1" min="3" max="3"/>
    <col width="13" customWidth="1" min="4" max="4"/>
    <col width="13" customWidth="1" min="5" max="5"/>
    <col width="13" customWidth="1" min="6" max="6"/>
    <col width="38" customWidth="1" min="7" max="7"/>
  </cols>
  <sheetData>
    <row r="1" ht="22" customHeight="1">
      <c r="A1" s="1" t="inlineStr">
        <is>
          <t>Monthly numbers</t>
        </is>
      </c>
    </row>
    <row r="2">
      <c r="A2" s="2" t="inlineStr">
        <is>
          <t>Fill at the end of each month. Compare against the baseline column, not against last month.</t>
        </is>
      </c>
    </row>
    <row r="4" ht="28" customHeight="1">
      <c r="A4" s="9" t="inlineStr">
        <is>
          <t>What we track</t>
        </is>
      </c>
      <c r="B4" s="9" t="inlineStr">
        <is>
          <t>Baseline (week 1)</t>
        </is>
      </c>
      <c r="C4" s="9" t="inlineStr">
        <is>
          <t>Target by Nov 30</t>
        </is>
      </c>
      <c r="D4" s="9" t="inlineStr">
        <is>
          <t>End of Sept</t>
        </is>
      </c>
      <c r="E4" s="9" t="inlineStr">
        <is>
          <t>End of Oct</t>
        </is>
      </c>
      <c r="F4" s="9" t="inlineStr">
        <is>
          <t>End of Nov</t>
        </is>
      </c>
      <c r="G4" s="9" t="inlineStr">
        <is>
          <t>Notes</t>
        </is>
      </c>
    </row>
    <row r="5">
      <c r="A5" s="13" t="inlineStr">
        <is>
          <t>Google reviews</t>
        </is>
      </c>
      <c r="B5" s="4" t="inlineStr">
        <is>
          <t>12</t>
        </is>
      </c>
      <c r="C5" s="4" t="inlineStr">
        <is>
          <t>20 to 22, still at or near 5.0</t>
        </is>
      </c>
    </row>
    <row r="6">
      <c r="A6" s="13" t="inlineStr">
        <is>
          <t>Google review average</t>
        </is>
      </c>
      <c r="B6" s="4" t="inlineStr">
        <is>
          <t>5.0</t>
        </is>
      </c>
      <c r="C6" s="4" t="inlineStr">
        <is>
          <t>At or near 5.0</t>
        </is>
      </c>
    </row>
    <row r="7">
      <c r="A7" s="13" t="inlineStr">
        <is>
          <t>Calls from Google profile</t>
        </is>
      </c>
      <c r="B7" s="4" t="inlineStr"/>
      <c r="C7" s="4" t="inlineStr">
        <is>
          <t>Up on baseline</t>
        </is>
      </c>
    </row>
    <row r="8">
      <c r="A8" s="13" t="inlineStr">
        <is>
          <t>Direction requests from Google</t>
        </is>
      </c>
      <c r="B8" s="4" t="inlineStr"/>
      <c r="C8" s="4" t="inlineStr">
        <is>
          <t>Up on baseline</t>
        </is>
      </c>
    </row>
    <row r="9">
      <c r="A9" s="13" t="inlineStr">
        <is>
          <t>Google profile views</t>
        </is>
      </c>
      <c r="B9" s="4" t="inlineStr"/>
      <c r="C9" s="4" t="inlineStr">
        <is>
          <t>Up on baseline</t>
        </is>
      </c>
    </row>
    <row r="10">
      <c r="A10" s="13" t="inlineStr">
        <is>
          <t>Map pack position: nurse injector oakville</t>
        </is>
      </c>
      <c r="B10" s="4" t="inlineStr"/>
      <c r="C10" s="4" t="inlineStr">
        <is>
          <t>Visible in the pack</t>
        </is>
      </c>
    </row>
    <row r="11">
      <c r="A11" s="13" t="inlineStr">
        <is>
          <t>Map pack position: botox oakville</t>
        </is>
      </c>
      <c r="B11" s="4" t="inlineStr"/>
      <c r="C11" s="4" t="inlineStr">
        <is>
          <t>Visible in the pack</t>
        </is>
      </c>
    </row>
    <row r="12">
      <c r="A12" s="13" t="inlineStr">
        <is>
          <t>Map pack position: lip filler oakville</t>
        </is>
      </c>
      <c r="B12" s="4" t="inlineStr"/>
      <c r="C12" s="4" t="inlineStr">
        <is>
          <t>Visible in the pack</t>
        </is>
      </c>
    </row>
    <row r="13">
      <c r="A13" s="13" t="inlineStr">
        <is>
          <t>Instagram profile visits</t>
        </is>
      </c>
      <c r="B13" s="4" t="inlineStr"/>
      <c r="C13" s="4" t="inlineStr">
        <is>
          <t>Up on baseline</t>
        </is>
      </c>
    </row>
    <row r="14">
      <c r="A14" s="13" t="inlineStr">
        <is>
          <t>Instagram link taps</t>
        </is>
      </c>
      <c r="B14" s="4" t="inlineStr"/>
      <c r="C14" s="4" t="inlineStr">
        <is>
          <t>Rising faster than profile visits</t>
        </is>
      </c>
    </row>
    <row r="15">
      <c r="A15" s="13" t="inlineStr">
        <is>
          <t>DMs received</t>
        </is>
      </c>
      <c r="B15" s="4" t="inlineStr">
        <is>
          <t>Not tracked</t>
        </is>
      </c>
      <c r="C15" s="4" t="inlineStr">
        <is>
          <t>Tracked weekly from week 1</t>
        </is>
      </c>
    </row>
    <row r="16">
      <c r="A16" s="13" t="inlineStr">
        <is>
          <t>Consultations booked</t>
        </is>
      </c>
      <c r="B16" s="4" t="inlineStr">
        <is>
          <t>Not tracked</t>
        </is>
      </c>
      <c r="C16" s="4" t="inlineStr">
        <is>
          <t>Tracked weekly, attributed to source</t>
        </is>
      </c>
    </row>
    <row r="17">
      <c r="A17" s="13" t="inlineStr">
        <is>
          <t>Ad spend</t>
        </is>
      </c>
      <c r="B17" s="4" t="inlineStr">
        <is>
          <t>Not supplied</t>
        </is>
      </c>
      <c r="C17" s="4" t="inlineStr">
        <is>
          <t>Confirmed and split 70/20/10</t>
        </is>
      </c>
    </row>
    <row r="18">
      <c r="A18" s="13" t="inlineStr">
        <is>
          <t>Cost per DM from ads</t>
        </is>
      </c>
      <c r="B18" s="4" t="inlineStr"/>
      <c r="C18" s="4" t="inlineStr">
        <is>
          <t>Falling month on month</t>
        </is>
      </c>
    </row>
    <row r="19">
      <c r="A19" s="13" t="inlineStr">
        <is>
          <t>Organic website sessions</t>
        </is>
      </c>
      <c r="B19" s="4" t="inlineStr">
        <is>
          <t>No site</t>
        </is>
      </c>
      <c r="C19" s="4" t="inlineStr">
        <is>
          <t>Only applies under Path B or 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58" customWidth="1" min="2" max="2"/>
    <col width="40" customWidth="1" min="3" max="3"/>
    <col width="14" customWidth="1" min="4" max="4"/>
    <col width="11" customWidth="1" min="5" max="5"/>
    <col width="32" customWidth="1" min="6" max="6"/>
  </cols>
  <sheetData>
    <row r="1" ht="22" customHeight="1">
      <c r="A1" s="1" t="inlineStr">
        <is>
          <t>Website build timeline</t>
        </is>
      </c>
    </row>
    <row r="2">
      <c r="A2" s="2" t="inlineStr">
        <is>
          <t>Only in play if Cleo approves Path B or C. Weeks counted from her approval, not from the start of the quarter.</t>
        </is>
      </c>
    </row>
    <row r="4" ht="28" customHeight="1">
      <c r="A4" s="9" t="inlineStr">
        <is>
          <t>Week from approval</t>
        </is>
      </c>
      <c r="B4" s="9" t="inlineStr">
        <is>
          <t>What we do</t>
        </is>
      </c>
      <c r="C4" s="9" t="inlineStr">
        <is>
          <t>What we need from Cleo</t>
        </is>
      </c>
      <c r="D4" s="9" t="inlineStr">
        <is>
          <t>Status</t>
        </is>
      </c>
      <c r="E4" s="9" t="inlineStr">
        <is>
          <t>Date done</t>
        </is>
      </c>
      <c r="F4" s="9" t="inlineStr">
        <is>
          <t>Notes</t>
        </is>
      </c>
    </row>
    <row r="5" ht="34" customHeight="1">
      <c r="A5" s="13" t="inlineStr">
        <is>
          <t>1</t>
        </is>
      </c>
      <c r="B5" s="4" t="inlineStr">
        <is>
          <t>Hosting sorted, DNS pointed, platform set up, page structure agreed</t>
        </is>
      </c>
      <c r="C5" s="4" t="inlineStr">
        <is>
          <t>Registrar access, final treatment list and pricing</t>
        </is>
      </c>
      <c r="D5" s="4" t="inlineStr">
        <is>
          <t>Not started</t>
        </is>
      </c>
      <c r="E5" s="14" t="n"/>
      <c r="F5" s="4" t="n"/>
    </row>
    <row r="6" ht="34" customHeight="1">
      <c r="A6" s="13" t="inlineStr">
        <is>
          <t>2</t>
        </is>
      </c>
      <c r="B6" s="4" t="inlineStr">
        <is>
          <t>Home and contact live with correct address (L6M 0T9), hours, booking link, schema. Path B ends here and you are live</t>
        </is>
      </c>
      <c r="C6" s="4" t="inlineStr">
        <is>
          <t>Photos of the room and of Cleo, headshot, logo files</t>
        </is>
      </c>
      <c r="D6" s="4" t="inlineStr">
        <is>
          <t>Not started</t>
        </is>
      </c>
      <c r="E6" s="14" t="n"/>
      <c r="F6" s="4" t="n"/>
    </row>
    <row r="7" ht="34" customHeight="1">
      <c r="A7" s="13" t="inlineStr">
        <is>
          <t>3-4</t>
        </is>
      </c>
      <c r="B7" s="4" t="inlineStr">
        <is>
          <t>Treatment pages: lip filler, dermal filler and facial balancing, anti-wrinkle injections, skin boosters, dermaplaning, electrolysis, Belkyra</t>
        </is>
      </c>
      <c r="C7" s="4" t="inlineStr">
        <is>
          <t>Read the copy, confirm every claim is one she can stand behind</t>
        </is>
      </c>
      <c r="D7" s="4" t="inlineStr">
        <is>
          <t>Not started</t>
        </is>
      </c>
      <c r="E7" s="14" t="n"/>
      <c r="F7" s="4" t="n"/>
    </row>
    <row r="8" ht="34" customHeight="1">
      <c r="A8" s="13" t="inlineStr">
        <is>
          <t>5</t>
        </is>
      </c>
      <c r="B8" s="4" t="inlineStr">
        <is>
          <t>Oakville and surrounding-area content, internal linking, mobile speed pass, GBP repointed</t>
        </is>
      </c>
      <c r="C8" s="4" t="inlineStr">
        <is>
          <t>Nothing. This week is ours</t>
        </is>
      </c>
      <c r="D8" s="4" t="inlineStr">
        <is>
          <t>Not started</t>
        </is>
      </c>
      <c r="E8" s="14" t="n"/>
      <c r="F8" s="4" t="n"/>
    </row>
    <row r="9" ht="34" customHeight="1">
      <c r="A9" s="13" t="inlineStr">
        <is>
          <t>6</t>
        </is>
      </c>
      <c r="B9" s="4" t="inlineStr">
        <is>
          <t>Launch. Search Console verified, sitemap submitted, analytics running, citations updated</t>
        </is>
      </c>
      <c r="C9" s="4" t="inlineStr">
        <is>
          <t>Final sign-off</t>
        </is>
      </c>
      <c r="D9" s="4" t="inlineStr">
        <is>
          <t>Not started</t>
        </is>
      </c>
      <c r="E9" s="14" t="n"/>
      <c r="F9" s="4" t="n"/>
    </row>
    <row r="10" ht="34" customHeight="1">
      <c r="A10" s="13" t="inlineStr">
        <is>
          <t>7-12</t>
        </is>
      </c>
      <c r="B10" s="4" t="inlineStr">
        <is>
          <t>Indexing and iteration. Question-intent articles and the weight-loss page</t>
        </is>
      </c>
      <c r="C10" s="4" t="inlineStr">
        <is>
          <t>The questions she gets asked most in consults</t>
        </is>
      </c>
      <c r="D10" s="4" t="inlineStr">
        <is>
          <t>Not started</t>
        </is>
      </c>
      <c r="E10" s="14" t="n"/>
      <c r="F10" s="4" t="n"/>
    </row>
  </sheetData>
  <conditionalFormatting sqref="A5:F10">
    <cfRule type="expression" priority="1" dxfId="0" stopIfTrue="0">
      <formula>$D5="Done"</formula>
    </cfRule>
    <cfRule type="expression" priority="2" dxfId="1" stopIfTrue="0">
      <formula>$D5="Blocked"</formula>
    </cfRule>
  </conditionalFormatting>
  <dataValidations count="1">
    <dataValidation sqref="D5:D10" showDropDown="0" showInputMessage="0" showErrorMessage="0" allowBlank="1" type="list">
      <formula1>"Not started,In progress,Blocked,Done,Not applicable"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46" customWidth="1" min="2" max="2"/>
    <col width="46" customWidth="1" min="3" max="3"/>
    <col width="14" customWidth="1" min="4" max="4"/>
    <col width="13" customWidth="1" min="5" max="5"/>
    <col width="30" customWidth="1" min="6" max="6"/>
  </cols>
  <sheetData>
    <row r="1" ht="22" customHeight="1">
      <c r="A1" s="1" t="inlineStr">
        <is>
          <t>Waiting on Cleo</t>
        </is>
      </c>
    </row>
    <row r="2">
      <c r="A2" s="2" t="inlineStr">
        <is>
          <t>Access, assets and answers. Most delay in work like this comes from waiting on these.</t>
        </is>
      </c>
    </row>
    <row r="4" ht="28" customHeight="1">
      <c r="A4" s="9" t="inlineStr">
        <is>
          <t>Type</t>
        </is>
      </c>
      <c r="B4" s="9" t="inlineStr">
        <is>
          <t>What we need</t>
        </is>
      </c>
      <c r="C4" s="9" t="inlineStr">
        <is>
          <t>Why it blocks us</t>
        </is>
      </c>
      <c r="D4" s="9" t="inlineStr">
        <is>
          <t>Status</t>
        </is>
      </c>
      <c r="E4" s="9" t="inlineStr">
        <is>
          <t>Date received</t>
        </is>
      </c>
      <c r="F4" s="9" t="inlineStr">
        <is>
          <t>Notes</t>
        </is>
      </c>
    </row>
    <row r="5">
      <c r="A5" s="13" t="inlineStr">
        <is>
          <t>Access</t>
        </is>
      </c>
      <c r="B5" s="4" t="inlineStr">
        <is>
          <t>Google Business Profile, and which email holds it</t>
        </is>
      </c>
      <c r="C5" s="4" t="inlineStr">
        <is>
          <t>Nothing on the profile can start until this is settled</t>
        </is>
      </c>
      <c r="D5" s="4" t="inlineStr">
        <is>
          <t>Not started</t>
        </is>
      </c>
      <c r="E5" s="14" t="n"/>
      <c r="F5" s="4" t="n"/>
    </row>
    <row r="6">
      <c r="A6" s="13" t="inlineStr">
        <is>
          <t>Access</t>
        </is>
      </c>
      <c r="B6" s="4" t="inlineStr">
        <is>
          <t>Domain registrar login for luxurybeautybycleo.ca</t>
        </is>
      </c>
      <c r="C6" s="4" t="inlineStr">
        <is>
          <t>Needed to point the domain at anything live</t>
        </is>
      </c>
      <c r="D6" s="4" t="inlineStr">
        <is>
          <t>Not started</t>
        </is>
      </c>
      <c r="E6" s="14" t="n"/>
      <c r="F6" s="4" t="n"/>
    </row>
    <row r="7">
      <c r="A7" s="13" t="inlineStr">
        <is>
          <t>Access</t>
        </is>
      </c>
      <c r="B7" s="4" t="inlineStr">
        <is>
          <t>Meta Business account and ad account</t>
        </is>
      </c>
      <c r="C7" s="4" t="inlineStr">
        <is>
          <t>Needed to build audiences and run ads</t>
        </is>
      </c>
      <c r="D7" s="4" t="inlineStr">
        <is>
          <t>Not started</t>
        </is>
      </c>
      <c r="E7" s="14" t="n"/>
      <c r="F7" s="4" t="n"/>
    </row>
    <row r="8">
      <c r="A8" s="13" t="inlineStr">
        <is>
          <t>Access</t>
        </is>
      </c>
      <c r="B8" s="4" t="inlineStr">
        <is>
          <t>Instagram collaborator invitation</t>
        </is>
      </c>
      <c r="C8" s="4" t="inlineStr">
        <is>
          <t>Needed to fix the name field, bio and link</t>
        </is>
      </c>
      <c r="D8" s="4" t="inlineStr">
        <is>
          <t>Not started</t>
        </is>
      </c>
      <c r="E8" s="14" t="n"/>
      <c r="F8" s="4" t="n"/>
    </row>
    <row r="9">
      <c r="A9" s="13" t="inlineStr">
        <is>
          <t>Access</t>
        </is>
      </c>
      <c r="B9" s="4" t="inlineStr">
        <is>
          <t>Booking system login</t>
        </is>
      </c>
      <c r="C9" s="4" t="inlineStr">
        <is>
          <t>Needed for the booking link and the lookalike audience</t>
        </is>
      </c>
      <c r="D9" s="4" t="inlineStr">
        <is>
          <t>Not started</t>
        </is>
      </c>
      <c r="E9" s="14" t="n"/>
      <c r="F9" s="4" t="n"/>
    </row>
    <row r="10">
      <c r="A10" s="13" t="inlineStr">
        <is>
          <t>Asset</t>
        </is>
      </c>
      <c r="B10" s="4" t="inlineStr">
        <is>
          <t>Photos of the treatment room and the space</t>
        </is>
      </c>
      <c r="C10" s="4" t="inlineStr">
        <is>
          <t>GBP photos and any website page</t>
        </is>
      </c>
      <c r="D10" s="4" t="inlineStr">
        <is>
          <t>Not started</t>
        </is>
      </c>
      <c r="E10" s="14" t="n"/>
      <c r="F10" s="4" t="n"/>
    </row>
    <row r="11">
      <c r="A11" s="13" t="inlineStr">
        <is>
          <t>Asset</t>
        </is>
      </c>
      <c r="B11" s="4" t="inlineStr">
        <is>
          <t>A current headshot</t>
        </is>
      </c>
      <c r="C11" s="4" t="inlineStr">
        <is>
          <t>GBP, Instagram and the site</t>
        </is>
      </c>
      <c r="D11" s="4" t="inlineStr">
        <is>
          <t>Not started</t>
        </is>
      </c>
      <c r="E11" s="14" t="n"/>
      <c r="F11" s="4" t="n"/>
    </row>
    <row r="12">
      <c r="A12" s="13" t="inlineStr">
        <is>
          <t>Asset</t>
        </is>
      </c>
      <c r="B12" s="4" t="inlineStr">
        <is>
          <t>Signed before-and-after consent form</t>
        </is>
      </c>
      <c r="C12" s="4" t="inlineStr">
        <is>
          <t>Determines what we are allowed to publish</t>
        </is>
      </c>
      <c r="D12" s="4" t="inlineStr">
        <is>
          <t>Not started</t>
        </is>
      </c>
      <c r="E12" s="14" t="n"/>
      <c r="F12" s="4" t="n"/>
    </row>
    <row r="13">
      <c r="A13" s="13" t="inlineStr">
        <is>
          <t>Asset</t>
        </is>
      </c>
      <c r="B13" s="4" t="inlineStr">
        <is>
          <t>Treatment list with current pricing</t>
        </is>
      </c>
      <c r="C13" s="4" t="inlineStr">
        <is>
          <t>Service pages and GBP services list</t>
        </is>
      </c>
      <c r="D13" s="4" t="inlineStr">
        <is>
          <t>Not started</t>
        </is>
      </c>
      <c r="E13" s="14" t="n"/>
      <c r="F13" s="4" t="n"/>
    </row>
    <row r="14">
      <c r="A14" s="13" t="inlineStr">
        <is>
          <t>Answer</t>
        </is>
      </c>
      <c r="B14" s="4" t="inlineStr">
        <is>
          <t>Real opening hours for every day</t>
        </is>
      </c>
      <c r="C14" s="4" t="inlineStr">
        <is>
          <t>GBP hours are wrong until we have these</t>
        </is>
      </c>
      <c r="D14" s="4" t="inlineStr">
        <is>
          <t>Not started</t>
        </is>
      </c>
      <c r="E14" s="14" t="n"/>
      <c r="F14" s="4" t="n"/>
    </row>
    <row r="15">
      <c r="A15" s="13" t="inlineStr">
        <is>
          <t>Answer</t>
        </is>
      </c>
      <c r="B15" s="4" t="inlineStr">
        <is>
          <t>Whether Allure allows her own signage and suite designation</t>
        </is>
      </c>
      <c r="C15" s="4" t="inlineStr">
        <is>
          <t>Decides how we build the Google listing</t>
        </is>
      </c>
      <c r="D15" s="4" t="inlineStr">
        <is>
          <t>Not started</t>
        </is>
      </c>
      <c r="E15" s="14" t="n"/>
      <c r="F15" s="4" t="n"/>
    </row>
    <row r="16">
      <c r="A16" s="13" t="inlineStr">
        <is>
          <t>Answer</t>
        </is>
      </c>
      <c r="B16" s="4" t="inlineStr">
        <is>
          <t>The three competitors she wants to be measured against</t>
        </is>
      </c>
      <c r="C16" s="4" t="inlineStr">
        <is>
          <t>Shapes what we track and benchmark</t>
        </is>
      </c>
      <c r="D16" s="4" t="inlineStr">
        <is>
          <t>Not started</t>
        </is>
      </c>
      <c r="E16" s="14" t="n"/>
      <c r="F16" s="4" t="n"/>
    </row>
    <row r="17">
      <c r="A17" s="13" t="inlineStr">
        <is>
          <t>Answer</t>
        </is>
      </c>
      <c r="B17" s="4" t="inlineStr">
        <is>
          <t>Her ideal patient, in her own words</t>
        </is>
      </c>
      <c r="C17" s="4" t="inlineStr">
        <is>
          <t>Ad audiences and page copy</t>
        </is>
      </c>
      <c r="D17" s="4" t="inlineStr">
        <is>
          <t>Not started</t>
        </is>
      </c>
      <c r="E17" s="14" t="n"/>
      <c r="F17" s="4" t="n"/>
    </row>
    <row r="18">
      <c r="A18" s="13" t="inlineStr">
        <is>
          <t>Answer</t>
        </is>
      </c>
      <c r="B18" s="4" t="inlineStr">
        <is>
          <t>Current monthly spend on Instagram and Google ads</t>
        </is>
      </c>
      <c r="C18" s="4" t="inlineStr">
        <is>
          <t>Cannot recommend a budget without it</t>
        </is>
      </c>
      <c r="D18" s="4" t="inlineStr">
        <is>
          <t>Not started</t>
        </is>
      </c>
      <c r="E18" s="14" t="n"/>
      <c r="F18" s="4" t="n"/>
    </row>
    <row r="19">
      <c r="A19" s="13" t="inlineStr">
        <is>
          <t>Answer</t>
        </is>
      </c>
      <c r="B19" s="4" t="inlineStr">
        <is>
          <t>THE WEBSITE DECISION: Path A, B or C</t>
        </is>
      </c>
      <c r="C19" s="4" t="inlineStr">
        <is>
          <t>Roughly a third of the plan depends on this</t>
        </is>
      </c>
      <c r="D19" s="4" t="inlineStr">
        <is>
          <t>Not started</t>
        </is>
      </c>
      <c r="E19" s="14" t="n"/>
      <c r="F19" s="4" t="n"/>
    </row>
  </sheetData>
  <conditionalFormatting sqref="A5:F19">
    <cfRule type="expression" priority="1" dxfId="0" stopIfTrue="0">
      <formula>$D5="Received"</formula>
    </cfRule>
    <cfRule type="expression" priority="2" dxfId="2" stopIfTrue="0">
      <formula>$D5="Chased"</formula>
    </cfRule>
  </conditionalFormatting>
  <dataValidations count="1">
    <dataValidation sqref="D5:D19" showDropDown="0" showInputMessage="0" showErrorMessage="0" allowBlank="1" type="list">
      <formula1>"Not started,Asked,Chased,Received,Not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2026-08-14T06:38:39Z</dcterms:created>
  <dcterms:modified xsi:type="dcterms:W3CDTF">2026-08-14T06:38:39Z</dcterms:modified>
</cp:coreProperties>
</file>