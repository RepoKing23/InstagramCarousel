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ily Routine" sheetId="2" state="visible" r:id="rId2"/>
    <sheet name="Daily Log" sheetId="3" state="visible" r:id="rId3"/>
    <sheet name="Tasks" sheetId="4" state="visible" r:id="rId4"/>
    <sheet name="Site Build" sheetId="5" state="visible" r:id="rId5"/>
    <sheet name="Reviews" sheetId="6" state="visible" r:id="rId6"/>
    <sheet name="Citations" sheetId="7" state="visible" r:id="rId7"/>
    <sheet name="GBP Posts" sheetId="8" state="visible" r:id="rId8"/>
    <sheet name="Metrics" sheetId="9" state="visible" r:id="rId9"/>
    <sheet name="Waiting On Cleo" sheetId="10" state="visible" r:id="rId10"/>
  </sheets>
  <definedNames>
    <definedName name="_xlnm._FilterDatabase" localSheetId="3" hidden="1">'Tasks'!$A$1:$L$149</definedName>
    <definedName name="_xlnm._FilterDatabase" localSheetId="6" hidden="1">'Citations'!$A$4:$J$34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Georgia"/>
      <b val="1"/>
      <color rgb="002E2A23"/>
      <sz val="15"/>
    </font>
    <font>
      <name val="Calibri"/>
      <i val="1"/>
      <color rgb="006E6557"/>
      <sz val="10"/>
    </font>
    <font>
      <name val="Calibri"/>
      <b val="1"/>
      <color rgb="002E2A23"/>
      <sz val="10"/>
    </font>
    <font>
      <name val="Calibri"/>
      <color rgb="002E2A23"/>
      <sz val="10"/>
    </font>
    <font>
      <name val="Calibri"/>
      <b val="1"/>
      <color rgb="00B99753"/>
      <sz val="10"/>
    </font>
    <font>
      <name val="Calibri"/>
      <i val="1"/>
      <color rgb="006E6557"/>
      <sz val="9"/>
    </font>
    <font>
      <name val="Calibri"/>
      <color rgb="006E6557"/>
      <sz val="10"/>
    </font>
    <font>
      <name val="Calibri"/>
      <b val="1"/>
      <color rgb="006E6557"/>
      <sz val="9"/>
    </font>
    <font>
      <name val="Calibri"/>
      <color rgb="006E6557"/>
      <sz val="9"/>
    </font>
  </fonts>
  <fills count="3">
    <fill>
      <patternFill/>
    </fill>
    <fill>
      <patternFill patternType="gray125"/>
    </fill>
    <fill>
      <patternFill patternType="solid">
        <fgColor rgb="00E5DCCA"/>
      </patternFill>
    </fill>
  </fills>
  <borders count="2">
    <border>
      <left/>
      <right/>
      <top/>
      <bottom/>
      <diagonal/>
    </border>
    <border>
      <bottom style="thin">
        <color rgb="00C9A85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9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 wrapText="1"/>
    </xf>
    <xf numFmtId="164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DEBD8"/>
        </patternFill>
      </fill>
    </dxf>
    <dxf>
      <fill>
        <patternFill patternType="solid">
          <fgColor rgb="00F6DCDA"/>
        </patternFill>
      </fill>
    </dxf>
    <dxf>
      <fill>
        <patternFill patternType="solid">
          <fgColor rgb="00FBEFD4"/>
        </patternFill>
      </fill>
    </dxf>
    <dxf>
      <font>
        <b val="1"/>
        <color rgb="00B03A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2" customHeight="1">
      <c r="A1" s="1" t="inlineStr">
        <is>
          <t>Getting Found in Oakville — six-month tracker</t>
        </is>
      </c>
    </row>
    <row r="2">
      <c r="A2" s="2" t="inlineStr">
        <is>
          <t>Working file for Luxury Beauty by Cleo R. Companion to seo-roadmap-6-month.docx</t>
        </is>
      </c>
    </row>
    <row r="4">
      <c r="A4" s="3" t="inlineStr"/>
      <c r="B4" s="4" t="inlineStr"/>
    </row>
    <row r="5">
      <c r="A5" s="5" t="inlineStr">
        <is>
          <t>THE SHAPE OF IT</t>
        </is>
      </c>
      <c r="B5" s="4" t="inlineStr"/>
    </row>
    <row r="6">
      <c r="A6" s="3" t="inlineStr">
        <is>
          <t>Runs</t>
        </is>
      </c>
      <c r="B6" s="4" t="inlineStr">
        <is>
          <t>Monday 17 August 2026 to Sunday 14 February 2027. Twenty-six weeks, six months.</t>
        </is>
      </c>
    </row>
    <row r="7">
      <c r="A7" s="3" t="inlineStr">
        <is>
          <t>Right now</t>
        </is>
      </c>
      <c r="B7" s="4" t="inlineStr">
        <is>
          <t>The rest of August is Google Business Profile and citations. Nothing else.</t>
        </is>
      </c>
    </row>
    <row r="8">
      <c r="A8" s="3" t="inlineStr">
        <is>
          <t>Week of Aug 24</t>
        </is>
      </c>
      <c r="B8" s="4" t="inlineStr">
        <is>
          <t>Website planning and design. Sitemap, wireframes, keyword-to-page map, copy outline.</t>
        </is>
      </c>
    </row>
    <row r="9">
      <c r="A9" s="3" t="inlineStr">
        <is>
          <t>Aug 31</t>
        </is>
      </c>
      <c r="B9" s="4" t="inlineStr">
        <is>
          <t>Design sign-off. This is the date the build waits on.</t>
        </is>
      </c>
    </row>
    <row r="10">
      <c r="A10" s="3" t="inlineStr">
        <is>
          <t>Sept 1</t>
        </is>
      </c>
      <c r="B10" s="4" t="inlineStr">
        <is>
          <t>Build starts. Launch target is the week of 5 October.</t>
        </is>
      </c>
    </row>
    <row r="11">
      <c r="A11" s="3" t="inlineStr"/>
      <c r="B11" s="4" t="inlineStr"/>
    </row>
    <row r="12">
      <c r="A12" s="5" t="inlineStr">
        <is>
          <t>HOW THIS WORKS</t>
        </is>
      </c>
      <c r="B12" s="4" t="inlineStr"/>
    </row>
    <row r="13">
      <c r="A13" s="3" t="inlineStr">
        <is>
          <t>Every day</t>
        </is>
      </c>
      <c r="B13" s="4" t="inlineStr">
        <is>
          <t>Open the Daily Log. Six slots, five of them daily, the reel on Wednesday. Mark each one.</t>
        </is>
      </c>
    </row>
    <row r="14">
      <c r="A14" s="3" t="inlineStr">
        <is>
          <t>The routine</t>
        </is>
      </c>
      <c r="B14" s="4" t="inlineStr">
        <is>
          <t>The Daily Routine tab says what each slot actually means. Read it once, then work off the log.</t>
        </is>
      </c>
    </row>
    <row r="15">
      <c r="A15" s="3" t="inlineStr">
        <is>
          <t>The projects</t>
        </is>
      </c>
      <c r="B15" s="4" t="inlineStr">
        <is>
          <t>The Tasks tab holds the one-off work. Filter Status to 'In progress' and 'Not started'.</t>
        </is>
      </c>
    </row>
    <row r="16">
      <c r="A16" s="3" t="inlineStr">
        <is>
          <t>You edit</t>
        </is>
      </c>
      <c r="B16" s="4" t="inlineStr">
        <is>
          <t>Status, Date done, and Notes. Leave the rest unless the plan genuinely changes.</t>
        </is>
      </c>
    </row>
    <row r="17">
      <c r="A17" s="3" t="inlineStr">
        <is>
          <t>Blocked?</t>
        </is>
      </c>
      <c r="B17" s="4" t="inlineStr">
        <is>
          <t>Set Status to Blocked and write what you are waiting on in Notes. Blocked rows turn red.</t>
        </is>
      </c>
    </row>
    <row r="18">
      <c r="A18" s="3" t="inlineStr">
        <is>
          <t>Weekly</t>
        </is>
      </c>
      <c r="B18" s="4" t="inlineStr">
        <is>
          <t>Monday: profile insights. Wednesday: batch the content and film the reel. Friday: log the week.</t>
        </is>
      </c>
    </row>
    <row r="19">
      <c r="A19" s="3" t="inlineStr">
        <is>
          <t>Monthly</t>
        </is>
      </c>
      <c r="B19" s="4" t="inlineStr">
        <is>
          <t>Fill the Metrics tab. Compare against the baseline column, not against last month.</t>
        </is>
      </c>
    </row>
    <row r="20">
      <c r="A20" s="3" t="inlineStr"/>
      <c r="B20" s="4" t="inlineStr"/>
    </row>
    <row r="21">
      <c r="A21" s="5" t="inlineStr">
        <is>
          <t>THE TWO THINGS THAT DECIDE THIS</t>
        </is>
      </c>
      <c r="B21" s="4" t="inlineStr"/>
    </row>
    <row r="22">
      <c r="A22" s="3" t="inlineStr">
        <is>
          <t>Reviews</t>
        </is>
      </c>
      <c r="B22" s="4" t="inlineStr">
        <is>
          <t>Twelve today. The ask goes out inside 24 hours of every appointment or the number does not move.</t>
        </is>
      </c>
    </row>
    <row r="23">
      <c r="A23" s="3" t="inlineStr">
        <is>
          <t>The daily log</t>
        </is>
      </c>
      <c r="B23" s="4" t="inlineStr">
        <is>
          <t>Five slots a day is not a lot. Missing them for a fortnight undoes a month of the rest.</t>
        </is>
      </c>
    </row>
    <row r="24">
      <c r="A24" s="3" t="inlineStr"/>
      <c r="B24" s="4" t="inlineStr"/>
    </row>
    <row r="25">
      <c r="A25" s="5" t="inlineStr">
        <is>
          <t>WHERE THINGS STAND</t>
        </is>
      </c>
      <c r="B25" s="4" t="inlineStr"/>
    </row>
    <row r="26">
      <c r="A26" s="3" t="inlineStr">
        <is>
          <t>Project tasks</t>
        </is>
      </c>
      <c r="B26" s="6">
        <f>COUNTA(Tasks!F2:F149)</f>
        <v/>
      </c>
    </row>
    <row r="27">
      <c r="A27" s="3" t="inlineStr">
        <is>
          <t>Not started</t>
        </is>
      </c>
      <c r="B27" s="6">
        <f>COUNTIF(Tasks!J2:J149,"Not started")</f>
        <v/>
      </c>
    </row>
    <row r="28">
      <c r="A28" s="3" t="inlineStr">
        <is>
          <t>In progress</t>
        </is>
      </c>
      <c r="B28" s="6">
        <f>COUNTIF(Tasks!J2:J149,"In progress")</f>
        <v/>
      </c>
    </row>
    <row r="29">
      <c r="A29" s="3" t="inlineStr">
        <is>
          <t>Blocked</t>
        </is>
      </c>
      <c r="B29" s="6">
        <f>COUNTIF(Tasks!J2:J149,"Blocked")</f>
        <v/>
      </c>
    </row>
    <row r="30">
      <c r="A30" s="3" t="inlineStr">
        <is>
          <t>Done</t>
        </is>
      </c>
      <c r="B30" s="6">
        <f>COUNTIF(Tasks!J2:J149,"Done")</f>
        <v/>
      </c>
    </row>
    <row r="31">
      <c r="A31" s="3" t="inlineStr">
        <is>
          <t>Overdue and not done</t>
        </is>
      </c>
      <c r="B31" s="6">
        <f>SUMPRODUCT((Tasks!D2:D149&lt;TODAY())*(Tasks!J2:J149&lt;&gt;"Done")*(Tasks!J2:J149&lt;&gt;"Not applicable"))</f>
        <v/>
      </c>
    </row>
    <row r="32">
      <c r="A32" s="3" t="inlineStr">
        <is>
          <t>Percent complete</t>
        </is>
      </c>
      <c r="B32" s="7">
        <f>IFERROR(COUNTIF(Tasks!J2:J149,"Done")/COUNTA(Tasks!F2:F149),0)</f>
        <v/>
      </c>
    </row>
    <row r="33">
      <c r="A33" s="3" t="inlineStr">
        <is>
          <t>Daily slots done</t>
        </is>
      </c>
      <c r="B33" s="6">
        <f>'Daily Log'!G2</f>
        <v/>
      </c>
    </row>
    <row r="34">
      <c r="A34" s="3" t="inlineStr">
        <is>
          <t>Daily slots missed</t>
        </is>
      </c>
      <c r="B34" s="6">
        <f>'Daily Log'!I2</f>
        <v/>
      </c>
    </row>
    <row r="35">
      <c r="A35" s="3" t="inlineStr">
        <is>
          <t>Daily completion rate</t>
        </is>
      </c>
      <c r="B35" s="7">
        <f>'Daily Log'!K2</f>
        <v/>
      </c>
    </row>
    <row r="37">
      <c r="A37" s="8" t="inlineStr">
        <is>
          <t>Import to Google Sheets: drive.google.com &gt; New &gt; File upload &gt; pick this file &gt; open with Google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84" customWidth="1" min="4" max="4"/>
    <col width="9" customWidth="1" min="5" max="5"/>
    <col width="18" customWidth="1" min="6" max="6"/>
    <col width="15" customWidth="1" min="7" max="7"/>
  </cols>
  <sheetData>
    <row r="1" ht="22" customHeight="1">
      <c r="A1" s="1" t="inlineStr">
        <is>
          <t>The daily routine</t>
        </is>
      </c>
    </row>
    <row r="2">
      <c r="A2" s="2" t="inlineStr">
        <is>
          <t>Six slots. Five of them every weekday, the reel on Wednesday. This is the tab that explains the work; the Daily Log is the tab you tick.</t>
        </is>
      </c>
    </row>
    <row r="4" ht="28" customHeight="1">
      <c r="A4" s="9" t="inlineStr">
        <is>
          <t>Slot</t>
        </is>
      </c>
      <c r="B4" s="9" t="inlineStr">
        <is>
          <t>Task</t>
        </is>
      </c>
      <c r="C4" s="9" t="inlineStr">
        <is>
          <t>Cadence</t>
        </is>
      </c>
      <c r="D4" s="9" t="inlineStr">
        <is>
          <t>What it involves</t>
        </is>
      </c>
      <c r="E4" s="9" t="inlineStr">
        <is>
          <t>Owner</t>
        </is>
      </c>
      <c r="F4" s="9" t="inlineStr">
        <is>
          <t>Logged on</t>
        </is>
      </c>
      <c r="G4" s="9" t="inlineStr">
        <is>
          <t>Status</t>
        </is>
      </c>
    </row>
    <row r="5" ht="20" customHeight="1">
      <c r="A5" s="10" t="inlineStr">
        <is>
          <t>EVERY DAY</t>
        </is>
      </c>
      <c r="B5" s="11" t="n"/>
      <c r="C5" s="11" t="n"/>
      <c r="D5" s="11" t="n"/>
      <c r="E5" s="11" t="n"/>
      <c r="F5" s="11" t="n"/>
      <c r="G5" s="11" t="n"/>
    </row>
    <row r="6" ht="46" customHeight="1">
      <c r="A6" s="4" t="inlineStr">
        <is>
          <t>1</t>
        </is>
      </c>
      <c r="B6" s="12" t="inlineStr">
        <is>
          <t>Google Business Profile post</t>
        </is>
      </c>
      <c r="C6" s="4" t="inlineStr">
        <is>
          <t>Every weekday</t>
        </is>
      </c>
      <c r="D6" s="4" t="inlineStr">
        <is>
          <t>One post a day. Rotate the five types across the week: treatment spotlight, FAQ or myth, before and after, offer or availability, practice update. Copy and images come from the content calendar. Every post ends with the booking link.</t>
        </is>
      </c>
      <c r="E6" s="4" t="inlineStr">
        <is>
          <t>Cleo</t>
        </is>
      </c>
      <c r="F6" s="4" t="inlineStr">
        <is>
          <t>GBP Posts tab</t>
        </is>
      </c>
      <c r="G6" s="4" t="inlineStr">
        <is>
          <t>Not started</t>
        </is>
      </c>
    </row>
    <row r="7" ht="46" customHeight="1">
      <c r="A7" s="4" t="inlineStr">
        <is>
          <t>2</t>
        </is>
      </c>
      <c r="B7" s="12" t="inlineStr">
        <is>
          <t>Instagram post or stories</t>
        </is>
      </c>
      <c r="C7" s="4" t="inlineStr">
        <is>
          <t>Every weekday</t>
        </is>
      </c>
      <c r="D7" s="4" t="inlineStr">
        <is>
          <t>A feed post on the calendar days, two or three stories on the rest. Location-tag Oakville every time, write the alt text every time, use the local hashtag set.</t>
        </is>
      </c>
      <c r="E7" s="4" t="inlineStr">
        <is>
          <t>Cleo</t>
        </is>
      </c>
      <c r="F7" s="4" t="inlineStr">
        <is>
          <t>Content calendar</t>
        </is>
      </c>
      <c r="G7" s="4" t="inlineStr">
        <is>
          <t>Not started</t>
        </is>
      </c>
    </row>
    <row r="8" ht="46" customHeight="1">
      <c r="A8" s="4" t="inlineStr">
        <is>
          <t>3</t>
        </is>
      </c>
      <c r="B8" s="12" t="inlineStr">
        <is>
          <t>Reel</t>
        </is>
      </c>
      <c r="C8" s="4" t="inlineStr">
        <is>
          <t>Once a week — Wednesday</t>
        </is>
      </c>
      <c r="D8" s="4" t="inlineStr">
        <is>
          <t>One reel a week, filmed and cut in the Wednesday batch block. Rotate the four types across the month: a treatment in fifteen seconds, a myth-buster, behind the scenes in the room, a patient question answered to camera. Reuse each cut as a story and a GBP video.</t>
        </is>
      </c>
      <c r="E8" s="4" t="inlineStr">
        <is>
          <t>Cleo</t>
        </is>
      </c>
      <c r="F8" s="4" t="inlineStr">
        <is>
          <t>Daily Log tab</t>
        </is>
      </c>
      <c r="G8" s="4" t="inlineStr">
        <is>
          <t>Not started</t>
        </is>
      </c>
    </row>
    <row r="9" ht="46" customHeight="1">
      <c r="A9" s="4" t="inlineStr">
        <is>
          <t>4</t>
        </is>
      </c>
      <c r="B9" s="12" t="inlineStr">
        <is>
          <t>On-page optimisation</t>
        </is>
      </c>
      <c r="C9" s="4" t="inlineStr">
        <is>
          <t>Every weekday</t>
        </is>
      </c>
      <c r="D9" s="4" t="inlineStr">
        <is>
          <t>Before launch: keyword-to-page mapping, drafting title tags and meta descriptions, writing page copy for the build. After launch: one page improved a day on rotation — title tag, H1, internal links, image alt text, schema, thin content topped up.</t>
        </is>
      </c>
      <c r="E9" s="4" t="inlineStr">
        <is>
          <t>Agency</t>
        </is>
      </c>
      <c r="F9" s="4" t="inlineStr">
        <is>
          <t>Tasks tab</t>
        </is>
      </c>
      <c r="G9" s="4" t="inlineStr">
        <is>
          <t>Not started</t>
        </is>
      </c>
    </row>
    <row r="10" ht="46" customHeight="1">
      <c r="A10" s="4" t="inlineStr">
        <is>
          <t>5</t>
        </is>
      </c>
      <c r="B10" s="12" t="inlineStr">
        <is>
          <t>Review ask</t>
        </is>
      </c>
      <c r="C10" s="4" t="inlineStr">
        <is>
          <t>Every weekday</t>
        </is>
      </c>
      <c r="D10" s="4" t="inlineStr">
        <is>
          <t>The WhatsApp message inside 24 hours to every patient seen that day, and a reply to any review that landed. This is the single highest-return thing in the plan.</t>
        </is>
      </c>
      <c r="E10" s="4" t="inlineStr">
        <is>
          <t>Cleo</t>
        </is>
      </c>
      <c r="F10" s="4" t="inlineStr">
        <is>
          <t>Reviews tab</t>
        </is>
      </c>
      <c r="G10" s="4" t="inlineStr">
        <is>
          <t>Not started</t>
        </is>
      </c>
    </row>
    <row r="11" ht="46" customHeight="1">
      <c r="A11" s="4" t="inlineStr">
        <is>
          <t>6</t>
        </is>
      </c>
      <c r="B11" s="12" t="inlineStr">
        <is>
          <t>Citations</t>
        </is>
      </c>
      <c r="C11" s="4" t="inlineStr">
        <is>
          <t>Daily to week 4, then weekly</t>
        </is>
      </c>
      <c r="D11" s="4" t="inlineStr">
        <is>
          <t>One directory a day claimed or corrected until the list is clean, then one a week to keep it clean. Name, address and phone identical everywhere, no exceptions.</t>
        </is>
      </c>
      <c r="E11" s="4" t="inlineStr">
        <is>
          <t>Agency</t>
        </is>
      </c>
      <c r="F11" s="4" t="inlineStr">
        <is>
          <t>Citations tab</t>
        </is>
      </c>
      <c r="G11" s="4" t="inlineStr">
        <is>
          <t>Not started</t>
        </is>
      </c>
    </row>
    <row r="12" ht="20" customHeight="1">
      <c r="A12" s="10" t="inlineStr">
        <is>
          <t>EVERY WEEK</t>
        </is>
      </c>
      <c r="B12" s="11" t="n"/>
      <c r="C12" s="11" t="n"/>
      <c r="D12" s="11" t="n"/>
      <c r="E12" s="11" t="n"/>
      <c r="F12" s="11" t="n"/>
      <c r="G12" s="11" t="n"/>
    </row>
    <row r="13" ht="46" customHeight="1">
      <c r="A13" s="4" t="inlineStr">
        <is>
          <t>Mon</t>
        </is>
      </c>
      <c r="B13" s="12" t="inlineStr">
        <is>
          <t>Google profile insights and rank check</t>
        </is>
      </c>
      <c r="C13" s="4" t="inlineStr">
        <is>
          <t>Weekly</t>
        </is>
      </c>
      <c r="D13" s="4" t="inlineStr">
        <is>
          <t>Calls, views and direction requests for the week. Where the map pack has you for the three target terms. Two minutes, written down, every Monday.</t>
        </is>
      </c>
      <c r="E13" s="4" t="inlineStr">
        <is>
          <t>Agency</t>
        </is>
      </c>
      <c r="F13" s="4" t="inlineStr">
        <is>
          <t>Metrics tab</t>
        </is>
      </c>
      <c r="G13" s="4" t="inlineStr">
        <is>
          <t>Not started</t>
        </is>
      </c>
    </row>
    <row r="14" ht="46" customHeight="1">
      <c r="A14" s="4" t="inlineStr">
        <is>
          <t>Wed</t>
        </is>
      </c>
      <c r="B14" s="12" t="inlineStr">
        <is>
          <t>Content and reel batch</t>
        </is>
      </c>
      <c r="C14" s="4" t="inlineStr">
        <is>
          <t>Weekly</t>
        </is>
      </c>
      <c r="D14" s="4" t="inlineStr">
        <is>
          <t>Film the reel, batch the week's GBP posts and Instagram captions so the daily slots are a five-minute publish rather than a blank page.</t>
        </is>
      </c>
      <c r="E14" s="4" t="inlineStr">
        <is>
          <t>Both</t>
        </is>
      </c>
      <c r="F14" s="4" t="inlineStr">
        <is>
          <t>Content calendar</t>
        </is>
      </c>
      <c r="G14" s="4" t="inlineStr">
        <is>
          <t>Not started</t>
        </is>
      </c>
    </row>
    <row r="15" ht="46" customHeight="1">
      <c r="A15" s="4" t="inlineStr">
        <is>
          <t>Fri</t>
        </is>
      </c>
      <c r="B15" s="12" t="inlineStr">
        <is>
          <t>Log the week</t>
        </is>
      </c>
      <c r="C15" s="4" t="inlineStr">
        <is>
          <t>Weekly</t>
        </is>
      </c>
      <c r="D15" s="4" t="inlineStr">
        <is>
          <t>Fill in the week's numbers, close out the Tasks tab, flag anything blocked. Ad review every second Friday.</t>
        </is>
      </c>
      <c r="E15" s="4" t="inlineStr">
        <is>
          <t>Agency</t>
        </is>
      </c>
      <c r="F15" s="4" t="inlineStr">
        <is>
          <t>Tasks tab</t>
        </is>
      </c>
      <c r="G15" s="4" t="inlineStr">
        <is>
          <t>Not started</t>
        </is>
      </c>
    </row>
    <row r="16" ht="20" customHeight="1">
      <c r="A16" s="10" t="inlineStr">
        <is>
          <t>EVERY MONTH</t>
        </is>
      </c>
      <c r="B16" s="11" t="n"/>
      <c r="C16" s="11" t="n"/>
      <c r="D16" s="11" t="n"/>
      <c r="E16" s="11" t="n"/>
      <c r="F16" s="11" t="n"/>
      <c r="G16" s="11" t="n"/>
    </row>
    <row r="17" ht="46" customHeight="1">
      <c r="A17" s="4" t="inlineStr"/>
      <c r="B17" s="12" t="inlineStr">
        <is>
          <t>Fill the Metrics tab</t>
        </is>
      </c>
      <c r="C17" s="4" t="inlineStr">
        <is>
          <t>Monthly</t>
        </is>
      </c>
      <c r="D17" s="4" t="inlineStr">
        <is>
          <t>Every number for the month end. Compare against the baseline column, not against last month.</t>
        </is>
      </c>
      <c r="E17" s="4" t="inlineStr">
        <is>
          <t>Agency</t>
        </is>
      </c>
      <c r="F17" s="4" t="inlineStr">
        <is>
          <t>Metrics tab</t>
        </is>
      </c>
      <c r="G17" s="4" t="inlineStr">
        <is>
          <t>Not started</t>
        </is>
      </c>
    </row>
    <row r="18" ht="46" customHeight="1">
      <c r="A18" s="4" t="inlineStr"/>
      <c r="B18" s="12" t="inlineStr">
        <is>
          <t>Refresh the Google profile</t>
        </is>
      </c>
      <c r="C18" s="4" t="inlineStr">
        <is>
          <t>Monthly</t>
        </is>
      </c>
      <c r="D18" s="4" t="inlineStr">
        <is>
          <t>Services list, questions and answers, photo set. A profile that never changes stops earning.</t>
        </is>
      </c>
      <c r="E18" s="4" t="inlineStr">
        <is>
          <t>Agency</t>
        </is>
      </c>
      <c r="F18" s="4" t="inlineStr">
        <is>
          <t>Tasks tab</t>
        </is>
      </c>
      <c r="G18" s="4" t="inlineStr">
        <is>
          <t>Not started</t>
        </is>
      </c>
    </row>
    <row r="19" ht="46" customHeight="1">
      <c r="A19" s="4" t="inlineStr"/>
      <c r="B19" s="12" t="inlineStr">
        <is>
          <t>Competitor and query check</t>
        </is>
      </c>
      <c r="C19" s="4" t="inlineStr">
        <is>
          <t>Monthly</t>
        </is>
      </c>
      <c r="D19" s="4" t="inlineStr">
        <is>
          <t>What the three named competitors are doing, and which queries Search Console shows you sitting just outside the first page for.</t>
        </is>
      </c>
      <c r="E19" s="4" t="inlineStr">
        <is>
          <t>Agency</t>
        </is>
      </c>
      <c r="F19" s="4" t="inlineStr">
        <is>
          <t>Metrics tab</t>
        </is>
      </c>
      <c r="G19" s="4" t="inlineStr">
        <is>
          <t>Not started</t>
        </is>
      </c>
    </row>
    <row r="20" ht="46" customHeight="1">
      <c r="A20" s="4" t="inlineStr"/>
      <c r="B20" s="12" t="inlineStr">
        <is>
          <t>Review the month's best work</t>
        </is>
      </c>
      <c r="C20" s="4" t="inlineStr">
        <is>
          <t>Monthly</t>
        </is>
      </c>
      <c r="D20" s="4" t="inlineStr">
        <is>
          <t>The posts that drove profile visits and the pages that drove sessions. More of those next month.</t>
        </is>
      </c>
      <c r="E20" s="4" t="inlineStr">
        <is>
          <t>Both</t>
        </is>
      </c>
      <c r="F20" s="4" t="inlineStr">
        <is>
          <t>Metrics tab</t>
        </is>
      </c>
      <c r="G20" s="4" t="inlineStr">
        <is>
          <t>Not started</t>
        </is>
      </c>
    </row>
    <row r="22">
      <c r="B22" s="8" t="inlineStr">
        <is>
          <t>The reel is once a week, on Wednesday, filmed in the Wednesday batch block. Do not try to do one a day.</t>
        </is>
      </c>
    </row>
    <row r="23">
      <c r="B23" s="8" t="inlineStr">
        <is>
          <t>Before the site is live, the on-page slot is preparation: keyword mapping, title tags, meta descriptions, page copy.</t>
        </is>
      </c>
    </row>
    <row r="24">
      <c r="B24" s="8" t="inlineStr">
        <is>
          <t>From launch onward it is one real page improved a day, on rotation, so no page goes six months untouched.</t>
        </is>
      </c>
    </row>
    <row r="25">
      <c r="B25" s="8" t="inlineStr">
        <is>
          <t>Compliance applies to Google posts exactly as it applies to Instagram. Nothing names a prescription drug.</t>
        </is>
      </c>
    </row>
  </sheetData>
  <mergeCells count="3">
    <mergeCell ref="A16:G16"/>
    <mergeCell ref="A5:G5"/>
    <mergeCell ref="A12:G12"/>
  </mergeCells>
  <conditionalFormatting sqref="A6:G11">
    <cfRule type="expression" priority="1" dxfId="0" stopIfTrue="0">
      <formula>$G6="Done"</formula>
    </cfRule>
    <cfRule type="expression" priority="2" dxfId="1" stopIfTrue="0">
      <formula>$G6="Blocked"</formula>
    </cfRule>
    <cfRule type="expression" priority="3" dxfId="2" stopIfTrue="0">
      <formula>$G6="In progress"</formula>
    </cfRule>
  </conditionalFormatting>
  <conditionalFormatting sqref="A13:G15">
    <cfRule type="expression" priority="4" dxfId="0" stopIfTrue="0">
      <formula>$G13="Done"</formula>
    </cfRule>
    <cfRule type="expression" priority="5" dxfId="1" stopIfTrue="0">
      <formula>$G13="Blocked"</formula>
    </cfRule>
    <cfRule type="expression" priority="6" dxfId="2" stopIfTrue="0">
      <formula>$G13="In progress"</formula>
    </cfRule>
  </conditionalFormatting>
  <conditionalFormatting sqref="A17:G20">
    <cfRule type="expression" priority="7" dxfId="0" stopIfTrue="0">
      <formula>$G17="Done"</formula>
    </cfRule>
    <cfRule type="expression" priority="8" dxfId="1" stopIfTrue="0">
      <formula>$G17="Blocked"</formula>
    </cfRule>
    <cfRule type="expression" priority="9" dxfId="2" stopIfTrue="0">
      <formula>$G17="In progress"</formula>
    </cfRule>
  </conditionalFormatting>
  <dataValidations count="3">
    <dataValidation sqref="G6:G11" showDropDown="0" showInputMessage="0" showErrorMessage="0" allowBlank="1" type="list">
      <formula1>"Not started,In progress,Blocked,Done,Not applicable"</formula1>
    </dataValidation>
    <dataValidation sqref="G13:G15" showDropDown="0" showInputMessage="0" showErrorMessage="0" allowBlank="1" type="list">
      <formula1>"Not started,In progress,Blocked,Done,Not applicable"</formula1>
    </dataValidation>
    <dataValidation sqref="G17:G20" showDropDown="0" showInputMessage="0" showErrorMessage="0" allowBlank="1" type="list">
      <formula1>"Not started,In progress,Blocked,Done,Not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11" customWidth="1" min="4" max="4"/>
    <col width="14" customWidth="1" min="5" max="5"/>
    <col width="8" customWidth="1" min="6" max="6"/>
    <col width="10" customWidth="1" min="7" max="7"/>
    <col width="12" customWidth="1" min="8" max="8"/>
    <col width="10" customWidth="1" min="9" max="9"/>
    <col width="7" customWidth="1" min="10" max="10"/>
    <col width="46" customWidth="1" min="11" max="11"/>
  </cols>
  <sheetData>
    <row r="1" ht="22" customHeight="1">
      <c r="A1" s="1" t="inlineStr">
        <is>
          <t>Daily log</t>
        </is>
      </c>
    </row>
    <row r="2">
      <c r="A2" s="2" t="inlineStr">
        <is>
          <t>One row per weekday, 17 August 2026 to 12 February 2027. Mark each slot Done, Missed or N/A. The reel column is only live on Wednesdays.</t>
        </is>
      </c>
      <c r="F2" s="3" t="inlineStr">
        <is>
          <t>Slots done</t>
        </is>
      </c>
      <c r="G2" s="3">
        <f>COUNTIF(D6:I141,"Done")</f>
        <v/>
      </c>
      <c r="H2" s="3" t="inlineStr">
        <is>
          <t>Slots missed</t>
        </is>
      </c>
      <c r="I2" s="3">
        <f>COUNTIF(D6:I141,"Missed")</f>
        <v/>
      </c>
      <c r="J2" s="3" t="inlineStr">
        <is>
          <t>Completion</t>
        </is>
      </c>
      <c r="K2" s="13">
        <f>IFERROR(COUNTIF(D6:I141,"Done")/(COUNTIF(D6:I141,"Done")+COUNTIF(D6:I141,"Missed")),0)</f>
        <v/>
      </c>
    </row>
    <row r="3">
      <c r="D3" s="14" t="inlineStr">
        <is>
          <t>GBP posts</t>
        </is>
      </c>
      <c r="E3" s="15">
        <f>COUNTIF(D6:D141,"Done")</f>
        <v/>
      </c>
      <c r="F3" s="14" t="inlineStr">
        <is>
          <t>Reels</t>
        </is>
      </c>
      <c r="G3" s="15">
        <f>COUNTIF(F6:F141,"Done")</f>
        <v/>
      </c>
      <c r="H3" s="14" t="inlineStr">
        <is>
          <t>Review asks</t>
        </is>
      </c>
      <c r="I3" s="15">
        <f>COUNTIF(H6:H141,"Done")</f>
        <v/>
      </c>
      <c r="J3" s="14" t="inlineStr">
        <is>
          <t>Days logged</t>
        </is>
      </c>
      <c r="K3" s="15">
        <f>COUNTIF(J6:J141,"&gt;0")</f>
        <v/>
      </c>
    </row>
    <row r="4" ht="28" customHeight="1">
      <c r="A4" s="9" t="inlineStr">
        <is>
          <t>Date</t>
        </is>
      </c>
      <c r="B4" s="9" t="inlineStr">
        <is>
          <t>Day</t>
        </is>
      </c>
      <c r="C4" s="9" t="inlineStr">
        <is>
          <t>Week</t>
        </is>
      </c>
      <c r="D4" s="9" t="inlineStr">
        <is>
          <t>GBP post</t>
        </is>
      </c>
      <c r="E4" s="9" t="inlineStr">
        <is>
          <t>IG post / story</t>
        </is>
      </c>
      <c r="F4" s="9" t="inlineStr">
        <is>
          <t>Reel</t>
        </is>
      </c>
      <c r="G4" s="9" t="inlineStr">
        <is>
          <t>On-page</t>
        </is>
      </c>
      <c r="H4" s="9" t="inlineStr">
        <is>
          <t>Review ask</t>
        </is>
      </c>
      <c r="I4" s="9" t="inlineStr">
        <is>
          <t>Citation</t>
        </is>
      </c>
      <c r="J4" s="9" t="inlineStr">
        <is>
          <t>Done</t>
        </is>
      </c>
      <c r="K4" s="9" t="inlineStr">
        <is>
          <t>Notes</t>
        </is>
      </c>
    </row>
    <row r="5" ht="20" customHeight="1">
      <c r="A5" s="10" t="inlineStr">
        <is>
          <t>AUGUST 2026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16" t="n">
        <v>46251</v>
      </c>
      <c r="B6" s="17" t="inlineStr">
        <is>
          <t>Mon</t>
        </is>
      </c>
      <c r="C6" s="17" t="inlineStr">
        <is>
          <t>W1</t>
        </is>
      </c>
      <c r="D6" s="18" t="n"/>
      <c r="E6" s="18" t="n"/>
      <c r="F6" s="18" t="inlineStr">
        <is>
          <t>N/A</t>
        </is>
      </c>
      <c r="G6" s="18" t="n"/>
      <c r="H6" s="18" t="n"/>
      <c r="I6" s="18" t="n"/>
      <c r="J6" s="19">
        <f>COUNTIF(D6:I6,"Done")</f>
        <v/>
      </c>
      <c r="K6" s="20" t="n"/>
    </row>
    <row r="7">
      <c r="A7" s="16" t="n">
        <v>46252</v>
      </c>
      <c r="B7" s="17" t="inlineStr">
        <is>
          <t>Tue</t>
        </is>
      </c>
      <c r="C7" s="17" t="inlineStr">
        <is>
          <t>W1</t>
        </is>
      </c>
      <c r="D7" s="18" t="n"/>
      <c r="E7" s="18" t="n"/>
      <c r="F7" s="18" t="inlineStr">
        <is>
          <t>N/A</t>
        </is>
      </c>
      <c r="G7" s="18" t="n"/>
      <c r="H7" s="18" t="n"/>
      <c r="I7" s="18" t="n"/>
      <c r="J7" s="19">
        <f>COUNTIF(D7:I7,"Done")</f>
        <v/>
      </c>
      <c r="K7" s="20" t="n"/>
    </row>
    <row r="8">
      <c r="A8" s="16" t="n">
        <v>46253</v>
      </c>
      <c r="B8" s="17" t="inlineStr">
        <is>
          <t>Wed</t>
        </is>
      </c>
      <c r="C8" s="17" t="inlineStr">
        <is>
          <t>W1</t>
        </is>
      </c>
      <c r="D8" s="18" t="n"/>
      <c r="E8" s="18" t="n"/>
      <c r="F8" s="18" t="n"/>
      <c r="G8" s="18" t="n"/>
      <c r="H8" s="18" t="n"/>
      <c r="I8" s="18" t="n"/>
      <c r="J8" s="19">
        <f>COUNTIF(D8:I8,"Done")</f>
        <v/>
      </c>
      <c r="K8" s="20" t="n"/>
    </row>
    <row r="9">
      <c r="A9" s="16" t="n">
        <v>46254</v>
      </c>
      <c r="B9" s="17" t="inlineStr">
        <is>
          <t>Thu</t>
        </is>
      </c>
      <c r="C9" s="17" t="inlineStr">
        <is>
          <t>W1</t>
        </is>
      </c>
      <c r="D9" s="18" t="n"/>
      <c r="E9" s="18" t="n"/>
      <c r="F9" s="18" t="inlineStr">
        <is>
          <t>N/A</t>
        </is>
      </c>
      <c r="G9" s="18" t="n"/>
      <c r="H9" s="18" t="n"/>
      <c r="I9" s="18" t="n"/>
      <c r="J9" s="19">
        <f>COUNTIF(D9:I9,"Done")</f>
        <v/>
      </c>
      <c r="K9" s="20" t="n"/>
    </row>
    <row r="10">
      <c r="A10" s="16" t="n">
        <v>46255</v>
      </c>
      <c r="B10" s="17" t="inlineStr">
        <is>
          <t>Fri</t>
        </is>
      </c>
      <c r="C10" s="17" t="inlineStr">
        <is>
          <t>W1</t>
        </is>
      </c>
      <c r="D10" s="18" t="n"/>
      <c r="E10" s="18" t="n"/>
      <c r="F10" s="18" t="inlineStr">
        <is>
          <t>N/A</t>
        </is>
      </c>
      <c r="G10" s="18" t="n"/>
      <c r="H10" s="18" t="n"/>
      <c r="I10" s="18" t="n"/>
      <c r="J10" s="19">
        <f>COUNTIF(D10:I10,"Done")</f>
        <v/>
      </c>
      <c r="K10" s="20" t="n"/>
    </row>
    <row r="11">
      <c r="A11" s="16" t="n">
        <v>46258</v>
      </c>
      <c r="B11" s="17" t="inlineStr">
        <is>
          <t>Mon</t>
        </is>
      </c>
      <c r="C11" s="17" t="inlineStr">
        <is>
          <t>W2</t>
        </is>
      </c>
      <c r="D11" s="18" t="n"/>
      <c r="E11" s="18" t="n"/>
      <c r="F11" s="18" t="inlineStr">
        <is>
          <t>N/A</t>
        </is>
      </c>
      <c r="G11" s="18" t="n"/>
      <c r="H11" s="18" t="n"/>
      <c r="I11" s="18" t="n"/>
      <c r="J11" s="19">
        <f>COUNTIF(D11:I11,"Done")</f>
        <v/>
      </c>
      <c r="K11" s="20" t="n"/>
    </row>
    <row r="12">
      <c r="A12" s="16" t="n">
        <v>46259</v>
      </c>
      <c r="B12" s="17" t="inlineStr">
        <is>
          <t>Tue</t>
        </is>
      </c>
      <c r="C12" s="17" t="inlineStr">
        <is>
          <t>W2</t>
        </is>
      </c>
      <c r="D12" s="18" t="n"/>
      <c r="E12" s="18" t="n"/>
      <c r="F12" s="18" t="inlineStr">
        <is>
          <t>N/A</t>
        </is>
      </c>
      <c r="G12" s="18" t="n"/>
      <c r="H12" s="18" t="n"/>
      <c r="I12" s="18" t="n"/>
      <c r="J12" s="19">
        <f>COUNTIF(D12:I12,"Done")</f>
        <v/>
      </c>
      <c r="K12" s="20" t="n"/>
    </row>
    <row r="13">
      <c r="A13" s="16" t="n">
        <v>46260</v>
      </c>
      <c r="B13" s="17" t="inlineStr">
        <is>
          <t>Wed</t>
        </is>
      </c>
      <c r="C13" s="17" t="inlineStr">
        <is>
          <t>W2</t>
        </is>
      </c>
      <c r="D13" s="18" t="n"/>
      <c r="E13" s="18" t="n"/>
      <c r="F13" s="18" t="n"/>
      <c r="G13" s="18" t="n"/>
      <c r="H13" s="18" t="n"/>
      <c r="I13" s="18" t="n"/>
      <c r="J13" s="19">
        <f>COUNTIF(D13:I13,"Done")</f>
        <v/>
      </c>
      <c r="K13" s="20" t="n"/>
    </row>
    <row r="14">
      <c r="A14" s="16" t="n">
        <v>46261</v>
      </c>
      <c r="B14" s="17" t="inlineStr">
        <is>
          <t>Thu</t>
        </is>
      </c>
      <c r="C14" s="17" t="inlineStr">
        <is>
          <t>W2</t>
        </is>
      </c>
      <c r="D14" s="18" t="n"/>
      <c r="E14" s="18" t="n"/>
      <c r="F14" s="18" t="inlineStr">
        <is>
          <t>N/A</t>
        </is>
      </c>
      <c r="G14" s="18" t="n"/>
      <c r="H14" s="18" t="n"/>
      <c r="I14" s="18" t="n"/>
      <c r="J14" s="19">
        <f>COUNTIF(D14:I14,"Done")</f>
        <v/>
      </c>
      <c r="K14" s="20" t="n"/>
    </row>
    <row r="15">
      <c r="A15" s="16" t="n">
        <v>46262</v>
      </c>
      <c r="B15" s="17" t="inlineStr">
        <is>
          <t>Fri</t>
        </is>
      </c>
      <c r="C15" s="17" t="inlineStr">
        <is>
          <t>W2</t>
        </is>
      </c>
      <c r="D15" s="18" t="n"/>
      <c r="E15" s="18" t="n"/>
      <c r="F15" s="18" t="inlineStr">
        <is>
          <t>N/A</t>
        </is>
      </c>
      <c r="G15" s="18" t="n"/>
      <c r="H15" s="18" t="n"/>
      <c r="I15" s="18" t="n"/>
      <c r="J15" s="19">
        <f>COUNTIF(D15:I15,"Done")</f>
        <v/>
      </c>
      <c r="K15" s="20" t="n"/>
    </row>
    <row r="16">
      <c r="A16" s="16" t="n">
        <v>46265</v>
      </c>
      <c r="B16" s="17" t="inlineStr">
        <is>
          <t>Mon</t>
        </is>
      </c>
      <c r="C16" s="17" t="inlineStr">
        <is>
          <t>W3</t>
        </is>
      </c>
      <c r="D16" s="18" t="n"/>
      <c r="E16" s="18" t="n"/>
      <c r="F16" s="18" t="inlineStr">
        <is>
          <t>N/A</t>
        </is>
      </c>
      <c r="G16" s="18" t="n"/>
      <c r="H16" s="18" t="n"/>
      <c r="I16" s="18" t="n"/>
      <c r="J16" s="19">
        <f>COUNTIF(D16:I16,"Done")</f>
        <v/>
      </c>
      <c r="K16" s="20" t="n"/>
    </row>
    <row r="17" ht="20" customHeight="1">
      <c r="A17" s="10" t="inlineStr">
        <is>
          <t>SEPTEMBER 2026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6" t="n">
        <v>46266</v>
      </c>
      <c r="B18" s="17" t="inlineStr">
        <is>
          <t>Tue</t>
        </is>
      </c>
      <c r="C18" s="17" t="inlineStr">
        <is>
          <t>W3</t>
        </is>
      </c>
      <c r="D18" s="18" t="n"/>
      <c r="E18" s="18" t="n"/>
      <c r="F18" s="18" t="inlineStr">
        <is>
          <t>N/A</t>
        </is>
      </c>
      <c r="G18" s="18" t="n"/>
      <c r="H18" s="18" t="n"/>
      <c r="I18" s="18" t="n"/>
      <c r="J18" s="19">
        <f>COUNTIF(D18:I18,"Done")</f>
        <v/>
      </c>
      <c r="K18" s="20" t="n"/>
    </row>
    <row r="19">
      <c r="A19" s="16" t="n">
        <v>46267</v>
      </c>
      <c r="B19" s="17" t="inlineStr">
        <is>
          <t>Wed</t>
        </is>
      </c>
      <c r="C19" s="17" t="inlineStr">
        <is>
          <t>W3</t>
        </is>
      </c>
      <c r="D19" s="18" t="n"/>
      <c r="E19" s="18" t="n"/>
      <c r="F19" s="18" t="n"/>
      <c r="G19" s="18" t="n"/>
      <c r="H19" s="18" t="n"/>
      <c r="I19" s="18" t="n"/>
      <c r="J19" s="19">
        <f>COUNTIF(D19:I19,"Done")</f>
        <v/>
      </c>
      <c r="K19" s="20" t="n"/>
    </row>
    <row r="20">
      <c r="A20" s="16" t="n">
        <v>46268</v>
      </c>
      <c r="B20" s="17" t="inlineStr">
        <is>
          <t>Thu</t>
        </is>
      </c>
      <c r="C20" s="17" t="inlineStr">
        <is>
          <t>W3</t>
        </is>
      </c>
      <c r="D20" s="18" t="n"/>
      <c r="E20" s="18" t="n"/>
      <c r="F20" s="18" t="inlineStr">
        <is>
          <t>N/A</t>
        </is>
      </c>
      <c r="G20" s="18" t="n"/>
      <c r="H20" s="18" t="n"/>
      <c r="I20" s="18" t="n"/>
      <c r="J20" s="19">
        <f>COUNTIF(D20:I20,"Done")</f>
        <v/>
      </c>
      <c r="K20" s="20" t="n"/>
    </row>
    <row r="21">
      <c r="A21" s="16" t="n">
        <v>46269</v>
      </c>
      <c r="B21" s="17" t="inlineStr">
        <is>
          <t>Fri</t>
        </is>
      </c>
      <c r="C21" s="17" t="inlineStr">
        <is>
          <t>W3</t>
        </is>
      </c>
      <c r="D21" s="18" t="n"/>
      <c r="E21" s="18" t="n"/>
      <c r="F21" s="18" t="inlineStr">
        <is>
          <t>N/A</t>
        </is>
      </c>
      <c r="G21" s="18" t="n"/>
      <c r="H21" s="18" t="n"/>
      <c r="I21" s="18" t="n"/>
      <c r="J21" s="19">
        <f>COUNTIF(D21:I21,"Done")</f>
        <v/>
      </c>
      <c r="K21" s="20" t="n"/>
    </row>
    <row r="22">
      <c r="A22" s="16" t="n">
        <v>46272</v>
      </c>
      <c r="B22" s="17" t="inlineStr">
        <is>
          <t>Mon</t>
        </is>
      </c>
      <c r="C22" s="17" t="inlineStr">
        <is>
          <t>W4</t>
        </is>
      </c>
      <c r="D22" s="18" t="n"/>
      <c r="E22" s="18" t="n"/>
      <c r="F22" s="18" t="inlineStr">
        <is>
          <t>N/A</t>
        </is>
      </c>
      <c r="G22" s="18" t="n"/>
      <c r="H22" s="18" t="n"/>
      <c r="I22" s="18" t="n"/>
      <c r="J22" s="19">
        <f>COUNTIF(D22:I22,"Done")</f>
        <v/>
      </c>
      <c r="K22" s="20" t="n"/>
    </row>
    <row r="23">
      <c r="A23" s="16" t="n">
        <v>46273</v>
      </c>
      <c r="B23" s="17" t="inlineStr">
        <is>
          <t>Tue</t>
        </is>
      </c>
      <c r="C23" s="17" t="inlineStr">
        <is>
          <t>W4</t>
        </is>
      </c>
      <c r="D23" s="18" t="n"/>
      <c r="E23" s="18" t="n"/>
      <c r="F23" s="18" t="inlineStr">
        <is>
          <t>N/A</t>
        </is>
      </c>
      <c r="G23" s="18" t="n"/>
      <c r="H23" s="18" t="n"/>
      <c r="I23" s="18" t="n"/>
      <c r="J23" s="19">
        <f>COUNTIF(D23:I23,"Done")</f>
        <v/>
      </c>
      <c r="K23" s="20" t="n"/>
    </row>
    <row r="24">
      <c r="A24" s="16" t="n">
        <v>46274</v>
      </c>
      <c r="B24" s="17" t="inlineStr">
        <is>
          <t>Wed</t>
        </is>
      </c>
      <c r="C24" s="17" t="inlineStr">
        <is>
          <t>W4</t>
        </is>
      </c>
      <c r="D24" s="18" t="n"/>
      <c r="E24" s="18" t="n"/>
      <c r="F24" s="18" t="n"/>
      <c r="G24" s="18" t="n"/>
      <c r="H24" s="18" t="n"/>
      <c r="I24" s="18" t="n"/>
      <c r="J24" s="19">
        <f>COUNTIF(D24:I24,"Done")</f>
        <v/>
      </c>
      <c r="K24" s="20" t="n"/>
    </row>
    <row r="25">
      <c r="A25" s="16" t="n">
        <v>46275</v>
      </c>
      <c r="B25" s="17" t="inlineStr">
        <is>
          <t>Thu</t>
        </is>
      </c>
      <c r="C25" s="17" t="inlineStr">
        <is>
          <t>W4</t>
        </is>
      </c>
      <c r="D25" s="18" t="n"/>
      <c r="E25" s="18" t="n"/>
      <c r="F25" s="18" t="inlineStr">
        <is>
          <t>N/A</t>
        </is>
      </c>
      <c r="G25" s="18" t="n"/>
      <c r="H25" s="18" t="n"/>
      <c r="I25" s="18" t="n"/>
      <c r="J25" s="19">
        <f>COUNTIF(D25:I25,"Done")</f>
        <v/>
      </c>
      <c r="K25" s="20" t="n"/>
    </row>
    <row r="26">
      <c r="A26" s="16" t="n">
        <v>46276</v>
      </c>
      <c r="B26" s="17" t="inlineStr">
        <is>
          <t>Fri</t>
        </is>
      </c>
      <c r="C26" s="17" t="inlineStr">
        <is>
          <t>W4</t>
        </is>
      </c>
      <c r="D26" s="18" t="n"/>
      <c r="E26" s="18" t="n"/>
      <c r="F26" s="18" t="inlineStr">
        <is>
          <t>N/A</t>
        </is>
      </c>
      <c r="G26" s="18" t="n"/>
      <c r="H26" s="18" t="n"/>
      <c r="I26" s="18" t="n"/>
      <c r="J26" s="19">
        <f>COUNTIF(D26:I26,"Done")</f>
        <v/>
      </c>
      <c r="K26" s="20" t="n"/>
    </row>
    <row r="27">
      <c r="A27" s="16" t="n">
        <v>46279</v>
      </c>
      <c r="B27" s="17" t="inlineStr">
        <is>
          <t>Mon</t>
        </is>
      </c>
      <c r="C27" s="17" t="inlineStr">
        <is>
          <t>W5</t>
        </is>
      </c>
      <c r="D27" s="18" t="n"/>
      <c r="E27" s="18" t="n"/>
      <c r="F27" s="18" t="inlineStr">
        <is>
          <t>N/A</t>
        </is>
      </c>
      <c r="G27" s="18" t="n"/>
      <c r="H27" s="18" t="n"/>
      <c r="I27" s="18" t="n"/>
      <c r="J27" s="19">
        <f>COUNTIF(D27:I27,"Done")</f>
        <v/>
      </c>
      <c r="K27" s="20" t="n"/>
    </row>
    <row r="28">
      <c r="A28" s="16" t="n">
        <v>46280</v>
      </c>
      <c r="B28" s="17" t="inlineStr">
        <is>
          <t>Tue</t>
        </is>
      </c>
      <c r="C28" s="17" t="inlineStr">
        <is>
          <t>W5</t>
        </is>
      </c>
      <c r="D28" s="18" t="n"/>
      <c r="E28" s="18" t="n"/>
      <c r="F28" s="18" t="inlineStr">
        <is>
          <t>N/A</t>
        </is>
      </c>
      <c r="G28" s="18" t="n"/>
      <c r="H28" s="18" t="n"/>
      <c r="I28" s="18" t="n"/>
      <c r="J28" s="19">
        <f>COUNTIF(D28:I28,"Done")</f>
        <v/>
      </c>
      <c r="K28" s="20" t="n"/>
    </row>
    <row r="29">
      <c r="A29" s="16" t="n">
        <v>46281</v>
      </c>
      <c r="B29" s="17" t="inlineStr">
        <is>
          <t>Wed</t>
        </is>
      </c>
      <c r="C29" s="17" t="inlineStr">
        <is>
          <t>W5</t>
        </is>
      </c>
      <c r="D29" s="18" t="n"/>
      <c r="E29" s="18" t="n"/>
      <c r="F29" s="18" t="n"/>
      <c r="G29" s="18" t="n"/>
      <c r="H29" s="18" t="n"/>
      <c r="I29" s="18" t="n"/>
      <c r="J29" s="19">
        <f>COUNTIF(D29:I29,"Done")</f>
        <v/>
      </c>
      <c r="K29" s="20" t="n"/>
    </row>
    <row r="30">
      <c r="A30" s="16" t="n">
        <v>46282</v>
      </c>
      <c r="B30" s="17" t="inlineStr">
        <is>
          <t>Thu</t>
        </is>
      </c>
      <c r="C30" s="17" t="inlineStr">
        <is>
          <t>W5</t>
        </is>
      </c>
      <c r="D30" s="18" t="n"/>
      <c r="E30" s="18" t="n"/>
      <c r="F30" s="18" t="inlineStr">
        <is>
          <t>N/A</t>
        </is>
      </c>
      <c r="G30" s="18" t="n"/>
      <c r="H30" s="18" t="n"/>
      <c r="I30" s="18" t="n"/>
      <c r="J30" s="19">
        <f>COUNTIF(D30:I30,"Done")</f>
        <v/>
      </c>
      <c r="K30" s="20" t="n"/>
    </row>
    <row r="31">
      <c r="A31" s="16" t="n">
        <v>46283</v>
      </c>
      <c r="B31" s="17" t="inlineStr">
        <is>
          <t>Fri</t>
        </is>
      </c>
      <c r="C31" s="17" t="inlineStr">
        <is>
          <t>W5</t>
        </is>
      </c>
      <c r="D31" s="18" t="n"/>
      <c r="E31" s="18" t="n"/>
      <c r="F31" s="18" t="inlineStr">
        <is>
          <t>N/A</t>
        </is>
      </c>
      <c r="G31" s="18" t="n"/>
      <c r="H31" s="18" t="n"/>
      <c r="I31" s="18" t="n"/>
      <c r="J31" s="19">
        <f>COUNTIF(D31:I31,"Done")</f>
        <v/>
      </c>
      <c r="K31" s="20" t="n"/>
    </row>
    <row r="32">
      <c r="A32" s="16" t="n">
        <v>46286</v>
      </c>
      <c r="B32" s="17" t="inlineStr">
        <is>
          <t>Mon</t>
        </is>
      </c>
      <c r="C32" s="17" t="inlineStr">
        <is>
          <t>W6</t>
        </is>
      </c>
      <c r="D32" s="18" t="n"/>
      <c r="E32" s="18" t="n"/>
      <c r="F32" s="18" t="inlineStr">
        <is>
          <t>N/A</t>
        </is>
      </c>
      <c r="G32" s="18" t="n"/>
      <c r="H32" s="18" t="n"/>
      <c r="I32" s="18" t="n"/>
      <c r="J32" s="19">
        <f>COUNTIF(D32:I32,"Done")</f>
        <v/>
      </c>
      <c r="K32" s="20" t="n"/>
    </row>
    <row r="33">
      <c r="A33" s="16" t="n">
        <v>46287</v>
      </c>
      <c r="B33" s="17" t="inlineStr">
        <is>
          <t>Tue</t>
        </is>
      </c>
      <c r="C33" s="17" t="inlineStr">
        <is>
          <t>W6</t>
        </is>
      </c>
      <c r="D33" s="18" t="n"/>
      <c r="E33" s="18" t="n"/>
      <c r="F33" s="18" t="inlineStr">
        <is>
          <t>N/A</t>
        </is>
      </c>
      <c r="G33" s="18" t="n"/>
      <c r="H33" s="18" t="n"/>
      <c r="I33" s="18" t="n"/>
      <c r="J33" s="19">
        <f>COUNTIF(D33:I33,"Done")</f>
        <v/>
      </c>
      <c r="K33" s="20" t="n"/>
    </row>
    <row r="34">
      <c r="A34" s="16" t="n">
        <v>46288</v>
      </c>
      <c r="B34" s="17" t="inlineStr">
        <is>
          <t>Wed</t>
        </is>
      </c>
      <c r="C34" s="17" t="inlineStr">
        <is>
          <t>W6</t>
        </is>
      </c>
      <c r="D34" s="18" t="n"/>
      <c r="E34" s="18" t="n"/>
      <c r="F34" s="18" t="n"/>
      <c r="G34" s="18" t="n"/>
      <c r="H34" s="18" t="n"/>
      <c r="I34" s="18" t="n"/>
      <c r="J34" s="19">
        <f>COUNTIF(D34:I34,"Done")</f>
        <v/>
      </c>
      <c r="K34" s="20" t="n"/>
    </row>
    <row r="35">
      <c r="A35" s="16" t="n">
        <v>46289</v>
      </c>
      <c r="B35" s="17" t="inlineStr">
        <is>
          <t>Thu</t>
        </is>
      </c>
      <c r="C35" s="17" t="inlineStr">
        <is>
          <t>W6</t>
        </is>
      </c>
      <c r="D35" s="18" t="n"/>
      <c r="E35" s="18" t="n"/>
      <c r="F35" s="18" t="inlineStr">
        <is>
          <t>N/A</t>
        </is>
      </c>
      <c r="G35" s="18" t="n"/>
      <c r="H35" s="18" t="n"/>
      <c r="I35" s="18" t="n"/>
      <c r="J35" s="19">
        <f>COUNTIF(D35:I35,"Done")</f>
        <v/>
      </c>
      <c r="K35" s="20" t="n"/>
    </row>
    <row r="36">
      <c r="A36" s="16" t="n">
        <v>46290</v>
      </c>
      <c r="B36" s="17" t="inlineStr">
        <is>
          <t>Fri</t>
        </is>
      </c>
      <c r="C36" s="17" t="inlineStr">
        <is>
          <t>W6</t>
        </is>
      </c>
      <c r="D36" s="18" t="n"/>
      <c r="E36" s="18" t="n"/>
      <c r="F36" s="18" t="inlineStr">
        <is>
          <t>N/A</t>
        </is>
      </c>
      <c r="G36" s="18" t="n"/>
      <c r="H36" s="18" t="n"/>
      <c r="I36" s="18" t="n"/>
      <c r="J36" s="19">
        <f>COUNTIF(D36:I36,"Done")</f>
        <v/>
      </c>
      <c r="K36" s="20" t="n"/>
    </row>
    <row r="37">
      <c r="A37" s="16" t="n">
        <v>46293</v>
      </c>
      <c r="B37" s="17" t="inlineStr">
        <is>
          <t>Mon</t>
        </is>
      </c>
      <c r="C37" s="17" t="inlineStr">
        <is>
          <t>W7</t>
        </is>
      </c>
      <c r="D37" s="18" t="n"/>
      <c r="E37" s="18" t="n"/>
      <c r="F37" s="18" t="inlineStr">
        <is>
          <t>N/A</t>
        </is>
      </c>
      <c r="G37" s="18" t="n"/>
      <c r="H37" s="18" t="n"/>
      <c r="I37" s="18" t="n"/>
      <c r="J37" s="19">
        <f>COUNTIF(D37:I37,"Done")</f>
        <v/>
      </c>
      <c r="K37" s="20" t="n"/>
    </row>
    <row r="38">
      <c r="A38" s="16" t="n">
        <v>46294</v>
      </c>
      <c r="B38" s="17" t="inlineStr">
        <is>
          <t>Tue</t>
        </is>
      </c>
      <c r="C38" s="17" t="inlineStr">
        <is>
          <t>W7</t>
        </is>
      </c>
      <c r="D38" s="18" t="n"/>
      <c r="E38" s="18" t="n"/>
      <c r="F38" s="18" t="inlineStr">
        <is>
          <t>N/A</t>
        </is>
      </c>
      <c r="G38" s="18" t="n"/>
      <c r="H38" s="18" t="n"/>
      <c r="I38" s="18" t="n"/>
      <c r="J38" s="19">
        <f>COUNTIF(D38:I38,"Done")</f>
        <v/>
      </c>
      <c r="K38" s="20" t="n"/>
    </row>
    <row r="39">
      <c r="A39" s="16" t="n">
        <v>46295</v>
      </c>
      <c r="B39" s="17" t="inlineStr">
        <is>
          <t>Wed</t>
        </is>
      </c>
      <c r="C39" s="17" t="inlineStr">
        <is>
          <t>W7</t>
        </is>
      </c>
      <c r="D39" s="18" t="n"/>
      <c r="E39" s="18" t="n"/>
      <c r="F39" s="18" t="n"/>
      <c r="G39" s="18" t="n"/>
      <c r="H39" s="18" t="n"/>
      <c r="I39" s="18" t="n"/>
      <c r="J39" s="19">
        <f>COUNTIF(D39:I39,"Done")</f>
        <v/>
      </c>
      <c r="K39" s="20" t="n"/>
    </row>
    <row r="40" ht="20" customHeight="1">
      <c r="A40" s="10" t="inlineStr">
        <is>
          <t>OCTOBER 2026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6" t="n">
        <v>46296</v>
      </c>
      <c r="B41" s="17" t="inlineStr">
        <is>
          <t>Thu</t>
        </is>
      </c>
      <c r="C41" s="17" t="inlineStr">
        <is>
          <t>W7</t>
        </is>
      </c>
      <c r="D41" s="18" t="n"/>
      <c r="E41" s="18" t="n"/>
      <c r="F41" s="18" t="inlineStr">
        <is>
          <t>N/A</t>
        </is>
      </c>
      <c r="G41" s="18" t="n"/>
      <c r="H41" s="18" t="n"/>
      <c r="I41" s="18" t="n"/>
      <c r="J41" s="19">
        <f>COUNTIF(D41:I41,"Done")</f>
        <v/>
      </c>
      <c r="K41" s="20" t="n"/>
    </row>
    <row r="42">
      <c r="A42" s="16" t="n">
        <v>46297</v>
      </c>
      <c r="B42" s="17" t="inlineStr">
        <is>
          <t>Fri</t>
        </is>
      </c>
      <c r="C42" s="17" t="inlineStr">
        <is>
          <t>W7</t>
        </is>
      </c>
      <c r="D42" s="18" t="n"/>
      <c r="E42" s="18" t="n"/>
      <c r="F42" s="18" t="inlineStr">
        <is>
          <t>N/A</t>
        </is>
      </c>
      <c r="G42" s="18" t="n"/>
      <c r="H42" s="18" t="n"/>
      <c r="I42" s="18" t="n"/>
      <c r="J42" s="19">
        <f>COUNTIF(D42:I42,"Done")</f>
        <v/>
      </c>
      <c r="K42" s="20" t="n"/>
    </row>
    <row r="43">
      <c r="A43" s="16" t="n">
        <v>46300</v>
      </c>
      <c r="B43" s="17" t="inlineStr">
        <is>
          <t>Mon</t>
        </is>
      </c>
      <c r="C43" s="17" t="inlineStr">
        <is>
          <t>W8</t>
        </is>
      </c>
      <c r="D43" s="18" t="n"/>
      <c r="E43" s="18" t="n"/>
      <c r="F43" s="18" t="inlineStr">
        <is>
          <t>N/A</t>
        </is>
      </c>
      <c r="G43" s="18" t="n"/>
      <c r="H43" s="18" t="n"/>
      <c r="I43" s="18" t="n"/>
      <c r="J43" s="19">
        <f>COUNTIF(D43:I43,"Done")</f>
        <v/>
      </c>
      <c r="K43" s="20" t="n"/>
    </row>
    <row r="44">
      <c r="A44" s="16" t="n">
        <v>46301</v>
      </c>
      <c r="B44" s="17" t="inlineStr">
        <is>
          <t>Tue</t>
        </is>
      </c>
      <c r="C44" s="17" t="inlineStr">
        <is>
          <t>W8</t>
        </is>
      </c>
      <c r="D44" s="18" t="n"/>
      <c r="E44" s="18" t="n"/>
      <c r="F44" s="18" t="inlineStr">
        <is>
          <t>N/A</t>
        </is>
      </c>
      <c r="G44" s="18" t="n"/>
      <c r="H44" s="18" t="n"/>
      <c r="I44" s="18" t="n"/>
      <c r="J44" s="19">
        <f>COUNTIF(D44:I44,"Done")</f>
        <v/>
      </c>
      <c r="K44" s="20" t="n"/>
    </row>
    <row r="45">
      <c r="A45" s="16" t="n">
        <v>46302</v>
      </c>
      <c r="B45" s="17" t="inlineStr">
        <is>
          <t>Wed</t>
        </is>
      </c>
      <c r="C45" s="17" t="inlineStr">
        <is>
          <t>W8</t>
        </is>
      </c>
      <c r="D45" s="18" t="n"/>
      <c r="E45" s="18" t="n"/>
      <c r="F45" s="18" t="n"/>
      <c r="G45" s="18" t="n"/>
      <c r="H45" s="18" t="n"/>
      <c r="I45" s="18" t="n"/>
      <c r="J45" s="19">
        <f>COUNTIF(D45:I45,"Done")</f>
        <v/>
      </c>
      <c r="K45" s="20" t="n"/>
    </row>
    <row r="46">
      <c r="A46" s="16" t="n">
        <v>46303</v>
      </c>
      <c r="B46" s="17" t="inlineStr">
        <is>
          <t>Thu</t>
        </is>
      </c>
      <c r="C46" s="17" t="inlineStr">
        <is>
          <t>W8</t>
        </is>
      </c>
      <c r="D46" s="18" t="n"/>
      <c r="E46" s="18" t="n"/>
      <c r="F46" s="18" t="inlineStr">
        <is>
          <t>N/A</t>
        </is>
      </c>
      <c r="G46" s="18" t="n"/>
      <c r="H46" s="18" t="n"/>
      <c r="I46" s="18" t="n"/>
      <c r="J46" s="19">
        <f>COUNTIF(D46:I46,"Done")</f>
        <v/>
      </c>
      <c r="K46" s="20" t="n"/>
    </row>
    <row r="47">
      <c r="A47" s="16" t="n">
        <v>46304</v>
      </c>
      <c r="B47" s="17" t="inlineStr">
        <is>
          <t>Fri</t>
        </is>
      </c>
      <c r="C47" s="17" t="inlineStr">
        <is>
          <t>W8</t>
        </is>
      </c>
      <c r="D47" s="18" t="n"/>
      <c r="E47" s="18" t="n"/>
      <c r="F47" s="18" t="inlineStr">
        <is>
          <t>N/A</t>
        </is>
      </c>
      <c r="G47" s="18" t="n"/>
      <c r="H47" s="18" t="n"/>
      <c r="I47" s="18" t="n"/>
      <c r="J47" s="19">
        <f>COUNTIF(D47:I47,"Done")</f>
        <v/>
      </c>
      <c r="K47" s="20" t="n"/>
    </row>
    <row r="48">
      <c r="A48" s="16" t="n">
        <v>46307</v>
      </c>
      <c r="B48" s="17" t="inlineStr">
        <is>
          <t>Mon</t>
        </is>
      </c>
      <c r="C48" s="17" t="inlineStr">
        <is>
          <t>W9</t>
        </is>
      </c>
      <c r="D48" s="18" t="n"/>
      <c r="E48" s="18" t="n"/>
      <c r="F48" s="18" t="inlineStr">
        <is>
          <t>N/A</t>
        </is>
      </c>
      <c r="G48" s="18" t="n"/>
      <c r="H48" s="18" t="n"/>
      <c r="I48" s="18" t="n"/>
      <c r="J48" s="19">
        <f>COUNTIF(D48:I48,"Done")</f>
        <v/>
      </c>
      <c r="K48" s="20" t="n"/>
    </row>
    <row r="49">
      <c r="A49" s="16" t="n">
        <v>46308</v>
      </c>
      <c r="B49" s="17" t="inlineStr">
        <is>
          <t>Tue</t>
        </is>
      </c>
      <c r="C49" s="17" t="inlineStr">
        <is>
          <t>W9</t>
        </is>
      </c>
      <c r="D49" s="18" t="n"/>
      <c r="E49" s="18" t="n"/>
      <c r="F49" s="18" t="inlineStr">
        <is>
          <t>N/A</t>
        </is>
      </c>
      <c r="G49" s="18" t="n"/>
      <c r="H49" s="18" t="n"/>
      <c r="I49" s="18" t="n"/>
      <c r="J49" s="19">
        <f>COUNTIF(D49:I49,"Done")</f>
        <v/>
      </c>
      <c r="K49" s="20" t="n"/>
    </row>
    <row r="50">
      <c r="A50" s="16" t="n">
        <v>46309</v>
      </c>
      <c r="B50" s="17" t="inlineStr">
        <is>
          <t>Wed</t>
        </is>
      </c>
      <c r="C50" s="17" t="inlineStr">
        <is>
          <t>W9</t>
        </is>
      </c>
      <c r="D50" s="18" t="n"/>
      <c r="E50" s="18" t="n"/>
      <c r="F50" s="18" t="n"/>
      <c r="G50" s="18" t="n"/>
      <c r="H50" s="18" t="n"/>
      <c r="I50" s="18" t="n"/>
      <c r="J50" s="19">
        <f>COUNTIF(D50:I50,"Done")</f>
        <v/>
      </c>
      <c r="K50" s="20" t="n"/>
    </row>
    <row r="51">
      <c r="A51" s="16" t="n">
        <v>46310</v>
      </c>
      <c r="B51" s="17" t="inlineStr">
        <is>
          <t>Thu</t>
        </is>
      </c>
      <c r="C51" s="17" t="inlineStr">
        <is>
          <t>W9</t>
        </is>
      </c>
      <c r="D51" s="18" t="n"/>
      <c r="E51" s="18" t="n"/>
      <c r="F51" s="18" t="inlineStr">
        <is>
          <t>N/A</t>
        </is>
      </c>
      <c r="G51" s="18" t="n"/>
      <c r="H51" s="18" t="n"/>
      <c r="I51" s="18" t="n"/>
      <c r="J51" s="19">
        <f>COUNTIF(D51:I51,"Done")</f>
        <v/>
      </c>
      <c r="K51" s="20" t="n"/>
    </row>
    <row r="52">
      <c r="A52" s="16" t="n">
        <v>46311</v>
      </c>
      <c r="B52" s="17" t="inlineStr">
        <is>
          <t>Fri</t>
        </is>
      </c>
      <c r="C52" s="17" t="inlineStr">
        <is>
          <t>W9</t>
        </is>
      </c>
      <c r="D52" s="18" t="n"/>
      <c r="E52" s="18" t="n"/>
      <c r="F52" s="18" t="inlineStr">
        <is>
          <t>N/A</t>
        </is>
      </c>
      <c r="G52" s="18" t="n"/>
      <c r="H52" s="18" t="n"/>
      <c r="I52" s="18" t="n"/>
      <c r="J52" s="19">
        <f>COUNTIF(D52:I52,"Done")</f>
        <v/>
      </c>
      <c r="K52" s="20" t="n"/>
    </row>
    <row r="53">
      <c r="A53" s="16" t="n">
        <v>46314</v>
      </c>
      <c r="B53" s="17" t="inlineStr">
        <is>
          <t>Mon</t>
        </is>
      </c>
      <c r="C53" s="17" t="inlineStr">
        <is>
          <t>W10</t>
        </is>
      </c>
      <c r="D53" s="18" t="n"/>
      <c r="E53" s="18" t="n"/>
      <c r="F53" s="18" t="inlineStr">
        <is>
          <t>N/A</t>
        </is>
      </c>
      <c r="G53" s="18" t="n"/>
      <c r="H53" s="18" t="n"/>
      <c r="I53" s="18" t="n"/>
      <c r="J53" s="19">
        <f>COUNTIF(D53:I53,"Done")</f>
        <v/>
      </c>
      <c r="K53" s="20" t="n"/>
    </row>
    <row r="54">
      <c r="A54" s="16" t="n">
        <v>46315</v>
      </c>
      <c r="B54" s="17" t="inlineStr">
        <is>
          <t>Tue</t>
        </is>
      </c>
      <c r="C54" s="17" t="inlineStr">
        <is>
          <t>W10</t>
        </is>
      </c>
      <c r="D54" s="18" t="n"/>
      <c r="E54" s="18" t="n"/>
      <c r="F54" s="18" t="inlineStr">
        <is>
          <t>N/A</t>
        </is>
      </c>
      <c r="G54" s="18" t="n"/>
      <c r="H54" s="18" t="n"/>
      <c r="I54" s="18" t="n"/>
      <c r="J54" s="19">
        <f>COUNTIF(D54:I54,"Done")</f>
        <v/>
      </c>
      <c r="K54" s="20" t="n"/>
    </row>
    <row r="55">
      <c r="A55" s="16" t="n">
        <v>46316</v>
      </c>
      <c r="B55" s="17" t="inlineStr">
        <is>
          <t>Wed</t>
        </is>
      </c>
      <c r="C55" s="17" t="inlineStr">
        <is>
          <t>W10</t>
        </is>
      </c>
      <c r="D55" s="18" t="n"/>
      <c r="E55" s="18" t="n"/>
      <c r="F55" s="18" t="n"/>
      <c r="G55" s="18" t="n"/>
      <c r="H55" s="18" t="n"/>
      <c r="I55" s="18" t="n"/>
      <c r="J55" s="19">
        <f>COUNTIF(D55:I55,"Done")</f>
        <v/>
      </c>
      <c r="K55" s="20" t="n"/>
    </row>
    <row r="56">
      <c r="A56" s="16" t="n">
        <v>46317</v>
      </c>
      <c r="B56" s="17" t="inlineStr">
        <is>
          <t>Thu</t>
        </is>
      </c>
      <c r="C56" s="17" t="inlineStr">
        <is>
          <t>W10</t>
        </is>
      </c>
      <c r="D56" s="18" t="n"/>
      <c r="E56" s="18" t="n"/>
      <c r="F56" s="18" t="inlineStr">
        <is>
          <t>N/A</t>
        </is>
      </c>
      <c r="G56" s="18" t="n"/>
      <c r="H56" s="18" t="n"/>
      <c r="I56" s="18" t="n"/>
      <c r="J56" s="19">
        <f>COUNTIF(D56:I56,"Done")</f>
        <v/>
      </c>
      <c r="K56" s="20" t="n"/>
    </row>
    <row r="57">
      <c r="A57" s="16" t="n">
        <v>46318</v>
      </c>
      <c r="B57" s="17" t="inlineStr">
        <is>
          <t>Fri</t>
        </is>
      </c>
      <c r="C57" s="17" t="inlineStr">
        <is>
          <t>W10</t>
        </is>
      </c>
      <c r="D57" s="18" t="n"/>
      <c r="E57" s="18" t="n"/>
      <c r="F57" s="18" t="inlineStr">
        <is>
          <t>N/A</t>
        </is>
      </c>
      <c r="G57" s="18" t="n"/>
      <c r="H57" s="18" t="n"/>
      <c r="I57" s="18" t="n"/>
      <c r="J57" s="19">
        <f>COUNTIF(D57:I57,"Done")</f>
        <v/>
      </c>
      <c r="K57" s="20" t="n"/>
    </row>
    <row r="58">
      <c r="A58" s="16" t="n">
        <v>46321</v>
      </c>
      <c r="B58" s="17" t="inlineStr">
        <is>
          <t>Mon</t>
        </is>
      </c>
      <c r="C58" s="17" t="inlineStr">
        <is>
          <t>W11</t>
        </is>
      </c>
      <c r="D58" s="18" t="n"/>
      <c r="E58" s="18" t="n"/>
      <c r="F58" s="18" t="inlineStr">
        <is>
          <t>N/A</t>
        </is>
      </c>
      <c r="G58" s="18" t="n"/>
      <c r="H58" s="18" t="n"/>
      <c r="I58" s="18" t="n"/>
      <c r="J58" s="19">
        <f>COUNTIF(D58:I58,"Done")</f>
        <v/>
      </c>
      <c r="K58" s="20" t="n"/>
    </row>
    <row r="59">
      <c r="A59" s="16" t="n">
        <v>46322</v>
      </c>
      <c r="B59" s="17" t="inlineStr">
        <is>
          <t>Tue</t>
        </is>
      </c>
      <c r="C59" s="17" t="inlineStr">
        <is>
          <t>W11</t>
        </is>
      </c>
      <c r="D59" s="18" t="n"/>
      <c r="E59" s="18" t="n"/>
      <c r="F59" s="18" t="inlineStr">
        <is>
          <t>N/A</t>
        </is>
      </c>
      <c r="G59" s="18" t="n"/>
      <c r="H59" s="18" t="n"/>
      <c r="I59" s="18" t="n"/>
      <c r="J59" s="19">
        <f>COUNTIF(D59:I59,"Done")</f>
        <v/>
      </c>
      <c r="K59" s="20" t="n"/>
    </row>
    <row r="60">
      <c r="A60" s="16" t="n">
        <v>46323</v>
      </c>
      <c r="B60" s="17" t="inlineStr">
        <is>
          <t>Wed</t>
        </is>
      </c>
      <c r="C60" s="17" t="inlineStr">
        <is>
          <t>W11</t>
        </is>
      </c>
      <c r="D60" s="18" t="n"/>
      <c r="E60" s="18" t="n"/>
      <c r="F60" s="18" t="n"/>
      <c r="G60" s="18" t="n"/>
      <c r="H60" s="18" t="n"/>
      <c r="I60" s="18" t="n"/>
      <c r="J60" s="19">
        <f>COUNTIF(D60:I60,"Done")</f>
        <v/>
      </c>
      <c r="K60" s="20" t="n"/>
    </row>
    <row r="61">
      <c r="A61" s="16" t="n">
        <v>46324</v>
      </c>
      <c r="B61" s="17" t="inlineStr">
        <is>
          <t>Thu</t>
        </is>
      </c>
      <c r="C61" s="17" t="inlineStr">
        <is>
          <t>W11</t>
        </is>
      </c>
      <c r="D61" s="18" t="n"/>
      <c r="E61" s="18" t="n"/>
      <c r="F61" s="18" t="inlineStr">
        <is>
          <t>N/A</t>
        </is>
      </c>
      <c r="G61" s="18" t="n"/>
      <c r="H61" s="18" t="n"/>
      <c r="I61" s="18" t="n"/>
      <c r="J61" s="19">
        <f>COUNTIF(D61:I61,"Done")</f>
        <v/>
      </c>
      <c r="K61" s="20" t="n"/>
    </row>
    <row r="62">
      <c r="A62" s="16" t="n">
        <v>46325</v>
      </c>
      <c r="B62" s="17" t="inlineStr">
        <is>
          <t>Fri</t>
        </is>
      </c>
      <c r="C62" s="17" t="inlineStr">
        <is>
          <t>W11</t>
        </is>
      </c>
      <c r="D62" s="18" t="n"/>
      <c r="E62" s="18" t="n"/>
      <c r="F62" s="18" t="inlineStr">
        <is>
          <t>N/A</t>
        </is>
      </c>
      <c r="G62" s="18" t="n"/>
      <c r="H62" s="18" t="n"/>
      <c r="I62" s="18" t="n"/>
      <c r="J62" s="19">
        <f>COUNTIF(D62:I62,"Done")</f>
        <v/>
      </c>
      <c r="K62" s="20" t="n"/>
    </row>
    <row r="63" ht="20" customHeight="1">
      <c r="A63" s="10" t="inlineStr">
        <is>
          <t>NOVEMBER 2026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16" t="n">
        <v>46328</v>
      </c>
      <c r="B64" s="17" t="inlineStr">
        <is>
          <t>Mon</t>
        </is>
      </c>
      <c r="C64" s="17" t="inlineStr">
        <is>
          <t>W12</t>
        </is>
      </c>
      <c r="D64" s="18" t="n"/>
      <c r="E64" s="18" t="n"/>
      <c r="F64" s="18" t="inlineStr">
        <is>
          <t>N/A</t>
        </is>
      </c>
      <c r="G64" s="18" t="n"/>
      <c r="H64" s="18" t="n"/>
      <c r="I64" s="18" t="n"/>
      <c r="J64" s="19">
        <f>COUNTIF(D64:I64,"Done")</f>
        <v/>
      </c>
      <c r="K64" s="20" t="n"/>
    </row>
    <row r="65">
      <c r="A65" s="16" t="n">
        <v>46329</v>
      </c>
      <c r="B65" s="17" t="inlineStr">
        <is>
          <t>Tue</t>
        </is>
      </c>
      <c r="C65" s="17" t="inlineStr">
        <is>
          <t>W12</t>
        </is>
      </c>
      <c r="D65" s="18" t="n"/>
      <c r="E65" s="18" t="n"/>
      <c r="F65" s="18" t="inlineStr">
        <is>
          <t>N/A</t>
        </is>
      </c>
      <c r="G65" s="18" t="n"/>
      <c r="H65" s="18" t="n"/>
      <c r="I65" s="18" t="n"/>
      <c r="J65" s="19">
        <f>COUNTIF(D65:I65,"Done")</f>
        <v/>
      </c>
      <c r="K65" s="20" t="n"/>
    </row>
    <row r="66">
      <c r="A66" s="16" t="n">
        <v>46330</v>
      </c>
      <c r="B66" s="17" t="inlineStr">
        <is>
          <t>Wed</t>
        </is>
      </c>
      <c r="C66" s="17" t="inlineStr">
        <is>
          <t>W12</t>
        </is>
      </c>
      <c r="D66" s="18" t="n"/>
      <c r="E66" s="18" t="n"/>
      <c r="F66" s="18" t="n"/>
      <c r="G66" s="18" t="n"/>
      <c r="H66" s="18" t="n"/>
      <c r="I66" s="18" t="n"/>
      <c r="J66" s="19">
        <f>COUNTIF(D66:I66,"Done")</f>
        <v/>
      </c>
      <c r="K66" s="20" t="n"/>
    </row>
    <row r="67">
      <c r="A67" s="16" t="n">
        <v>46331</v>
      </c>
      <c r="B67" s="17" t="inlineStr">
        <is>
          <t>Thu</t>
        </is>
      </c>
      <c r="C67" s="17" t="inlineStr">
        <is>
          <t>W12</t>
        </is>
      </c>
      <c r="D67" s="18" t="n"/>
      <c r="E67" s="18" t="n"/>
      <c r="F67" s="18" t="inlineStr">
        <is>
          <t>N/A</t>
        </is>
      </c>
      <c r="G67" s="18" t="n"/>
      <c r="H67" s="18" t="n"/>
      <c r="I67" s="18" t="n"/>
      <c r="J67" s="19">
        <f>COUNTIF(D67:I67,"Done")</f>
        <v/>
      </c>
      <c r="K67" s="20" t="n"/>
    </row>
    <row r="68">
      <c r="A68" s="16" t="n">
        <v>46332</v>
      </c>
      <c r="B68" s="17" t="inlineStr">
        <is>
          <t>Fri</t>
        </is>
      </c>
      <c r="C68" s="17" t="inlineStr">
        <is>
          <t>W12</t>
        </is>
      </c>
      <c r="D68" s="18" t="n"/>
      <c r="E68" s="18" t="n"/>
      <c r="F68" s="18" t="inlineStr">
        <is>
          <t>N/A</t>
        </is>
      </c>
      <c r="G68" s="18" t="n"/>
      <c r="H68" s="18" t="n"/>
      <c r="I68" s="18" t="n"/>
      <c r="J68" s="19">
        <f>COUNTIF(D68:I68,"Done")</f>
        <v/>
      </c>
      <c r="K68" s="20" t="n"/>
    </row>
    <row r="69">
      <c r="A69" s="16" t="n">
        <v>46335</v>
      </c>
      <c r="B69" s="17" t="inlineStr">
        <is>
          <t>Mon</t>
        </is>
      </c>
      <c r="C69" s="17" t="inlineStr">
        <is>
          <t>W13</t>
        </is>
      </c>
      <c r="D69" s="18" t="n"/>
      <c r="E69" s="18" t="n"/>
      <c r="F69" s="18" t="inlineStr">
        <is>
          <t>N/A</t>
        </is>
      </c>
      <c r="G69" s="18" t="n"/>
      <c r="H69" s="18" t="n"/>
      <c r="I69" s="18" t="n"/>
      <c r="J69" s="19">
        <f>COUNTIF(D69:I69,"Done")</f>
        <v/>
      </c>
      <c r="K69" s="20" t="n"/>
    </row>
    <row r="70">
      <c r="A70" s="16" t="n">
        <v>46336</v>
      </c>
      <c r="B70" s="17" t="inlineStr">
        <is>
          <t>Tue</t>
        </is>
      </c>
      <c r="C70" s="17" t="inlineStr">
        <is>
          <t>W13</t>
        </is>
      </c>
      <c r="D70" s="18" t="n"/>
      <c r="E70" s="18" t="n"/>
      <c r="F70" s="18" t="inlineStr">
        <is>
          <t>N/A</t>
        </is>
      </c>
      <c r="G70" s="18" t="n"/>
      <c r="H70" s="18" t="n"/>
      <c r="I70" s="18" t="n"/>
      <c r="J70" s="19">
        <f>COUNTIF(D70:I70,"Done")</f>
        <v/>
      </c>
      <c r="K70" s="20" t="n"/>
    </row>
    <row r="71">
      <c r="A71" s="16" t="n">
        <v>46337</v>
      </c>
      <c r="B71" s="17" t="inlineStr">
        <is>
          <t>Wed</t>
        </is>
      </c>
      <c r="C71" s="17" t="inlineStr">
        <is>
          <t>W13</t>
        </is>
      </c>
      <c r="D71" s="18" t="n"/>
      <c r="E71" s="18" t="n"/>
      <c r="F71" s="18" t="n"/>
      <c r="G71" s="18" t="n"/>
      <c r="H71" s="18" t="n"/>
      <c r="I71" s="18" t="n"/>
      <c r="J71" s="19">
        <f>COUNTIF(D71:I71,"Done")</f>
        <v/>
      </c>
      <c r="K71" s="20" t="n"/>
    </row>
    <row r="72">
      <c r="A72" s="16" t="n">
        <v>46338</v>
      </c>
      <c r="B72" s="17" t="inlineStr">
        <is>
          <t>Thu</t>
        </is>
      </c>
      <c r="C72" s="17" t="inlineStr">
        <is>
          <t>W13</t>
        </is>
      </c>
      <c r="D72" s="18" t="n"/>
      <c r="E72" s="18" t="n"/>
      <c r="F72" s="18" t="inlineStr">
        <is>
          <t>N/A</t>
        </is>
      </c>
      <c r="G72" s="18" t="n"/>
      <c r="H72" s="18" t="n"/>
      <c r="I72" s="18" t="n"/>
      <c r="J72" s="19">
        <f>COUNTIF(D72:I72,"Done")</f>
        <v/>
      </c>
      <c r="K72" s="20" t="n"/>
    </row>
    <row r="73">
      <c r="A73" s="16" t="n">
        <v>46339</v>
      </c>
      <c r="B73" s="17" t="inlineStr">
        <is>
          <t>Fri</t>
        </is>
      </c>
      <c r="C73" s="17" t="inlineStr">
        <is>
          <t>W13</t>
        </is>
      </c>
      <c r="D73" s="18" t="n"/>
      <c r="E73" s="18" t="n"/>
      <c r="F73" s="18" t="inlineStr">
        <is>
          <t>N/A</t>
        </is>
      </c>
      <c r="G73" s="18" t="n"/>
      <c r="H73" s="18" t="n"/>
      <c r="I73" s="18" t="n"/>
      <c r="J73" s="19">
        <f>COUNTIF(D73:I73,"Done")</f>
        <v/>
      </c>
      <c r="K73" s="20" t="n"/>
    </row>
    <row r="74">
      <c r="A74" s="16" t="n">
        <v>46342</v>
      </c>
      <c r="B74" s="17" t="inlineStr">
        <is>
          <t>Mon</t>
        </is>
      </c>
      <c r="C74" s="17" t="inlineStr">
        <is>
          <t>W14</t>
        </is>
      </c>
      <c r="D74" s="18" t="n"/>
      <c r="E74" s="18" t="n"/>
      <c r="F74" s="18" t="inlineStr">
        <is>
          <t>N/A</t>
        </is>
      </c>
      <c r="G74" s="18" t="n"/>
      <c r="H74" s="18" t="n"/>
      <c r="I74" s="18" t="n"/>
      <c r="J74" s="19">
        <f>COUNTIF(D74:I74,"Done")</f>
        <v/>
      </c>
      <c r="K74" s="20" t="n"/>
    </row>
    <row r="75">
      <c r="A75" s="16" t="n">
        <v>46343</v>
      </c>
      <c r="B75" s="17" t="inlineStr">
        <is>
          <t>Tue</t>
        </is>
      </c>
      <c r="C75" s="17" t="inlineStr">
        <is>
          <t>W14</t>
        </is>
      </c>
      <c r="D75" s="18" t="n"/>
      <c r="E75" s="18" t="n"/>
      <c r="F75" s="18" t="inlineStr">
        <is>
          <t>N/A</t>
        </is>
      </c>
      <c r="G75" s="18" t="n"/>
      <c r="H75" s="18" t="n"/>
      <c r="I75" s="18" t="n"/>
      <c r="J75" s="19">
        <f>COUNTIF(D75:I75,"Done")</f>
        <v/>
      </c>
      <c r="K75" s="20" t="n"/>
    </row>
    <row r="76">
      <c r="A76" s="16" t="n">
        <v>46344</v>
      </c>
      <c r="B76" s="17" t="inlineStr">
        <is>
          <t>Wed</t>
        </is>
      </c>
      <c r="C76" s="17" t="inlineStr">
        <is>
          <t>W14</t>
        </is>
      </c>
      <c r="D76" s="18" t="n"/>
      <c r="E76" s="18" t="n"/>
      <c r="F76" s="18" t="n"/>
      <c r="G76" s="18" t="n"/>
      <c r="H76" s="18" t="n"/>
      <c r="I76" s="18" t="n"/>
      <c r="J76" s="19">
        <f>COUNTIF(D76:I76,"Done")</f>
        <v/>
      </c>
      <c r="K76" s="20" t="n"/>
    </row>
    <row r="77">
      <c r="A77" s="16" t="n">
        <v>46345</v>
      </c>
      <c r="B77" s="17" t="inlineStr">
        <is>
          <t>Thu</t>
        </is>
      </c>
      <c r="C77" s="17" t="inlineStr">
        <is>
          <t>W14</t>
        </is>
      </c>
      <c r="D77" s="18" t="n"/>
      <c r="E77" s="18" t="n"/>
      <c r="F77" s="18" t="inlineStr">
        <is>
          <t>N/A</t>
        </is>
      </c>
      <c r="G77" s="18" t="n"/>
      <c r="H77" s="18" t="n"/>
      <c r="I77" s="18" t="n"/>
      <c r="J77" s="19">
        <f>COUNTIF(D77:I77,"Done")</f>
        <v/>
      </c>
      <c r="K77" s="20" t="n"/>
    </row>
    <row r="78">
      <c r="A78" s="16" t="n">
        <v>46346</v>
      </c>
      <c r="B78" s="17" t="inlineStr">
        <is>
          <t>Fri</t>
        </is>
      </c>
      <c r="C78" s="17" t="inlineStr">
        <is>
          <t>W14</t>
        </is>
      </c>
      <c r="D78" s="18" t="n"/>
      <c r="E78" s="18" t="n"/>
      <c r="F78" s="18" t="inlineStr">
        <is>
          <t>N/A</t>
        </is>
      </c>
      <c r="G78" s="18" t="n"/>
      <c r="H78" s="18" t="n"/>
      <c r="I78" s="18" t="n"/>
      <c r="J78" s="19">
        <f>COUNTIF(D78:I78,"Done")</f>
        <v/>
      </c>
      <c r="K78" s="20" t="n"/>
    </row>
    <row r="79">
      <c r="A79" s="16" t="n">
        <v>46349</v>
      </c>
      <c r="B79" s="17" t="inlineStr">
        <is>
          <t>Mon</t>
        </is>
      </c>
      <c r="C79" s="17" t="inlineStr">
        <is>
          <t>W15</t>
        </is>
      </c>
      <c r="D79" s="18" t="n"/>
      <c r="E79" s="18" t="n"/>
      <c r="F79" s="18" t="inlineStr">
        <is>
          <t>N/A</t>
        </is>
      </c>
      <c r="G79" s="18" t="n"/>
      <c r="H79" s="18" t="n"/>
      <c r="I79" s="18" t="n"/>
      <c r="J79" s="19">
        <f>COUNTIF(D79:I79,"Done")</f>
        <v/>
      </c>
      <c r="K79" s="20" t="n"/>
    </row>
    <row r="80">
      <c r="A80" s="16" t="n">
        <v>46350</v>
      </c>
      <c r="B80" s="17" t="inlineStr">
        <is>
          <t>Tue</t>
        </is>
      </c>
      <c r="C80" s="17" t="inlineStr">
        <is>
          <t>W15</t>
        </is>
      </c>
      <c r="D80" s="18" t="n"/>
      <c r="E80" s="18" t="n"/>
      <c r="F80" s="18" t="inlineStr">
        <is>
          <t>N/A</t>
        </is>
      </c>
      <c r="G80" s="18" t="n"/>
      <c r="H80" s="18" t="n"/>
      <c r="I80" s="18" t="n"/>
      <c r="J80" s="19">
        <f>COUNTIF(D80:I80,"Done")</f>
        <v/>
      </c>
      <c r="K80" s="20" t="n"/>
    </row>
    <row r="81">
      <c r="A81" s="16" t="n">
        <v>46351</v>
      </c>
      <c r="B81" s="17" t="inlineStr">
        <is>
          <t>Wed</t>
        </is>
      </c>
      <c r="C81" s="17" t="inlineStr">
        <is>
          <t>W15</t>
        </is>
      </c>
      <c r="D81" s="18" t="n"/>
      <c r="E81" s="18" t="n"/>
      <c r="F81" s="18" t="n"/>
      <c r="G81" s="18" t="n"/>
      <c r="H81" s="18" t="n"/>
      <c r="I81" s="18" t="n"/>
      <c r="J81" s="19">
        <f>COUNTIF(D81:I81,"Done")</f>
        <v/>
      </c>
      <c r="K81" s="20" t="n"/>
    </row>
    <row r="82">
      <c r="A82" s="16" t="n">
        <v>46352</v>
      </c>
      <c r="B82" s="17" t="inlineStr">
        <is>
          <t>Thu</t>
        </is>
      </c>
      <c r="C82" s="17" t="inlineStr">
        <is>
          <t>W15</t>
        </is>
      </c>
      <c r="D82" s="18" t="n"/>
      <c r="E82" s="18" t="n"/>
      <c r="F82" s="18" t="inlineStr">
        <is>
          <t>N/A</t>
        </is>
      </c>
      <c r="G82" s="18" t="n"/>
      <c r="H82" s="18" t="n"/>
      <c r="I82" s="18" t="n"/>
      <c r="J82" s="19">
        <f>COUNTIF(D82:I82,"Done")</f>
        <v/>
      </c>
      <c r="K82" s="20" t="n"/>
    </row>
    <row r="83">
      <c r="A83" s="16" t="n">
        <v>46353</v>
      </c>
      <c r="B83" s="17" t="inlineStr">
        <is>
          <t>Fri</t>
        </is>
      </c>
      <c r="C83" s="17" t="inlineStr">
        <is>
          <t>W15</t>
        </is>
      </c>
      <c r="D83" s="18" t="n"/>
      <c r="E83" s="18" t="n"/>
      <c r="F83" s="18" t="inlineStr">
        <is>
          <t>N/A</t>
        </is>
      </c>
      <c r="G83" s="18" t="n"/>
      <c r="H83" s="18" t="n"/>
      <c r="I83" s="18" t="n"/>
      <c r="J83" s="19">
        <f>COUNTIF(D83:I83,"Done")</f>
        <v/>
      </c>
      <c r="K83" s="20" t="n"/>
    </row>
    <row r="84">
      <c r="A84" s="16" t="n">
        <v>46356</v>
      </c>
      <c r="B84" s="17" t="inlineStr">
        <is>
          <t>Mon</t>
        </is>
      </c>
      <c r="C84" s="17" t="inlineStr">
        <is>
          <t>W16</t>
        </is>
      </c>
      <c r="D84" s="18" t="n"/>
      <c r="E84" s="18" t="n"/>
      <c r="F84" s="18" t="inlineStr">
        <is>
          <t>N/A</t>
        </is>
      </c>
      <c r="G84" s="18" t="n"/>
      <c r="H84" s="18" t="n"/>
      <c r="I84" s="18" t="n"/>
      <c r="J84" s="19">
        <f>COUNTIF(D84:I84,"Done")</f>
        <v/>
      </c>
      <c r="K84" s="20" t="n"/>
    </row>
    <row r="85" ht="20" customHeight="1">
      <c r="A85" s="10" t="inlineStr">
        <is>
          <t>DECEMBER 2026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16" t="n">
        <v>46357</v>
      </c>
      <c r="B86" s="17" t="inlineStr">
        <is>
          <t>Tue</t>
        </is>
      </c>
      <c r="C86" s="17" t="inlineStr">
        <is>
          <t>W16</t>
        </is>
      </c>
      <c r="D86" s="18" t="n"/>
      <c r="E86" s="18" t="n"/>
      <c r="F86" s="18" t="inlineStr">
        <is>
          <t>N/A</t>
        </is>
      </c>
      <c r="G86" s="18" t="n"/>
      <c r="H86" s="18" t="n"/>
      <c r="I86" s="18" t="n"/>
      <c r="J86" s="19">
        <f>COUNTIF(D86:I86,"Done")</f>
        <v/>
      </c>
      <c r="K86" s="20" t="n"/>
    </row>
    <row r="87">
      <c r="A87" s="16" t="n">
        <v>46358</v>
      </c>
      <c r="B87" s="17" t="inlineStr">
        <is>
          <t>Wed</t>
        </is>
      </c>
      <c r="C87" s="17" t="inlineStr">
        <is>
          <t>W16</t>
        </is>
      </c>
      <c r="D87" s="18" t="n"/>
      <c r="E87" s="18" t="n"/>
      <c r="F87" s="18" t="n"/>
      <c r="G87" s="18" t="n"/>
      <c r="H87" s="18" t="n"/>
      <c r="I87" s="18" t="n"/>
      <c r="J87" s="19">
        <f>COUNTIF(D87:I87,"Done")</f>
        <v/>
      </c>
      <c r="K87" s="20" t="n"/>
    </row>
    <row r="88">
      <c r="A88" s="16" t="n">
        <v>46359</v>
      </c>
      <c r="B88" s="17" t="inlineStr">
        <is>
          <t>Thu</t>
        </is>
      </c>
      <c r="C88" s="17" t="inlineStr">
        <is>
          <t>W16</t>
        </is>
      </c>
      <c r="D88" s="18" t="n"/>
      <c r="E88" s="18" t="n"/>
      <c r="F88" s="18" t="inlineStr">
        <is>
          <t>N/A</t>
        </is>
      </c>
      <c r="G88" s="18" t="n"/>
      <c r="H88" s="18" t="n"/>
      <c r="I88" s="18" t="n"/>
      <c r="J88" s="19">
        <f>COUNTIF(D88:I88,"Done")</f>
        <v/>
      </c>
      <c r="K88" s="20" t="n"/>
    </row>
    <row r="89">
      <c r="A89" s="16" t="n">
        <v>46360</v>
      </c>
      <c r="B89" s="17" t="inlineStr">
        <is>
          <t>Fri</t>
        </is>
      </c>
      <c r="C89" s="17" t="inlineStr">
        <is>
          <t>W16</t>
        </is>
      </c>
      <c r="D89" s="18" t="n"/>
      <c r="E89" s="18" t="n"/>
      <c r="F89" s="18" t="inlineStr">
        <is>
          <t>N/A</t>
        </is>
      </c>
      <c r="G89" s="18" t="n"/>
      <c r="H89" s="18" t="n"/>
      <c r="I89" s="18" t="n"/>
      <c r="J89" s="19">
        <f>COUNTIF(D89:I89,"Done")</f>
        <v/>
      </c>
      <c r="K89" s="20" t="n"/>
    </row>
    <row r="90">
      <c r="A90" s="16" t="n">
        <v>46363</v>
      </c>
      <c r="B90" s="17" t="inlineStr">
        <is>
          <t>Mon</t>
        </is>
      </c>
      <c r="C90" s="17" t="inlineStr">
        <is>
          <t>W17</t>
        </is>
      </c>
      <c r="D90" s="18" t="n"/>
      <c r="E90" s="18" t="n"/>
      <c r="F90" s="18" t="inlineStr">
        <is>
          <t>N/A</t>
        </is>
      </c>
      <c r="G90" s="18" t="n"/>
      <c r="H90" s="18" t="n"/>
      <c r="I90" s="18" t="n"/>
      <c r="J90" s="19">
        <f>COUNTIF(D90:I90,"Done")</f>
        <v/>
      </c>
      <c r="K90" s="20" t="n"/>
    </row>
    <row r="91">
      <c r="A91" s="16" t="n">
        <v>46364</v>
      </c>
      <c r="B91" s="17" t="inlineStr">
        <is>
          <t>Tue</t>
        </is>
      </c>
      <c r="C91" s="17" t="inlineStr">
        <is>
          <t>W17</t>
        </is>
      </c>
      <c r="D91" s="18" t="n"/>
      <c r="E91" s="18" t="n"/>
      <c r="F91" s="18" t="inlineStr">
        <is>
          <t>N/A</t>
        </is>
      </c>
      <c r="G91" s="18" t="n"/>
      <c r="H91" s="18" t="n"/>
      <c r="I91" s="18" t="n"/>
      <c r="J91" s="19">
        <f>COUNTIF(D91:I91,"Done")</f>
        <v/>
      </c>
      <c r="K91" s="20" t="n"/>
    </row>
    <row r="92">
      <c r="A92" s="16" t="n">
        <v>46365</v>
      </c>
      <c r="B92" s="17" t="inlineStr">
        <is>
          <t>Wed</t>
        </is>
      </c>
      <c r="C92" s="17" t="inlineStr">
        <is>
          <t>W17</t>
        </is>
      </c>
      <c r="D92" s="18" t="n"/>
      <c r="E92" s="18" t="n"/>
      <c r="F92" s="18" t="n"/>
      <c r="G92" s="18" t="n"/>
      <c r="H92" s="18" t="n"/>
      <c r="I92" s="18" t="n"/>
      <c r="J92" s="19">
        <f>COUNTIF(D92:I92,"Done")</f>
        <v/>
      </c>
      <c r="K92" s="20" t="n"/>
    </row>
    <row r="93">
      <c r="A93" s="16" t="n">
        <v>46366</v>
      </c>
      <c r="B93" s="17" t="inlineStr">
        <is>
          <t>Thu</t>
        </is>
      </c>
      <c r="C93" s="17" t="inlineStr">
        <is>
          <t>W17</t>
        </is>
      </c>
      <c r="D93" s="18" t="n"/>
      <c r="E93" s="18" t="n"/>
      <c r="F93" s="18" t="inlineStr">
        <is>
          <t>N/A</t>
        </is>
      </c>
      <c r="G93" s="18" t="n"/>
      <c r="H93" s="18" t="n"/>
      <c r="I93" s="18" t="n"/>
      <c r="J93" s="19">
        <f>COUNTIF(D93:I93,"Done")</f>
        <v/>
      </c>
      <c r="K93" s="20" t="n"/>
    </row>
    <row r="94">
      <c r="A94" s="16" t="n">
        <v>46367</v>
      </c>
      <c r="B94" s="17" t="inlineStr">
        <is>
          <t>Fri</t>
        </is>
      </c>
      <c r="C94" s="17" t="inlineStr">
        <is>
          <t>W17</t>
        </is>
      </c>
      <c r="D94" s="18" t="n"/>
      <c r="E94" s="18" t="n"/>
      <c r="F94" s="18" t="inlineStr">
        <is>
          <t>N/A</t>
        </is>
      </c>
      <c r="G94" s="18" t="n"/>
      <c r="H94" s="18" t="n"/>
      <c r="I94" s="18" t="n"/>
      <c r="J94" s="19">
        <f>COUNTIF(D94:I94,"Done")</f>
        <v/>
      </c>
      <c r="K94" s="20" t="n"/>
    </row>
    <row r="95">
      <c r="A95" s="16" t="n">
        <v>46370</v>
      </c>
      <c r="B95" s="17" t="inlineStr">
        <is>
          <t>Mon</t>
        </is>
      </c>
      <c r="C95" s="17" t="inlineStr">
        <is>
          <t>W18</t>
        </is>
      </c>
      <c r="D95" s="18" t="n"/>
      <c r="E95" s="18" t="n"/>
      <c r="F95" s="18" t="inlineStr">
        <is>
          <t>N/A</t>
        </is>
      </c>
      <c r="G95" s="18" t="n"/>
      <c r="H95" s="18" t="n"/>
      <c r="I95" s="18" t="n"/>
      <c r="J95" s="19">
        <f>COUNTIF(D95:I95,"Done")</f>
        <v/>
      </c>
      <c r="K95" s="20" t="n"/>
    </row>
    <row r="96">
      <c r="A96" s="16" t="n">
        <v>46371</v>
      </c>
      <c r="B96" s="17" t="inlineStr">
        <is>
          <t>Tue</t>
        </is>
      </c>
      <c r="C96" s="17" t="inlineStr">
        <is>
          <t>W18</t>
        </is>
      </c>
      <c r="D96" s="18" t="n"/>
      <c r="E96" s="18" t="n"/>
      <c r="F96" s="18" t="inlineStr">
        <is>
          <t>N/A</t>
        </is>
      </c>
      <c r="G96" s="18" t="n"/>
      <c r="H96" s="18" t="n"/>
      <c r="I96" s="18" t="n"/>
      <c r="J96" s="19">
        <f>COUNTIF(D96:I96,"Done")</f>
        <v/>
      </c>
      <c r="K96" s="20" t="n"/>
    </row>
    <row r="97">
      <c r="A97" s="16" t="n">
        <v>46372</v>
      </c>
      <c r="B97" s="17" t="inlineStr">
        <is>
          <t>Wed</t>
        </is>
      </c>
      <c r="C97" s="17" t="inlineStr">
        <is>
          <t>W18</t>
        </is>
      </c>
      <c r="D97" s="18" t="n"/>
      <c r="E97" s="18" t="n"/>
      <c r="F97" s="18" t="n"/>
      <c r="G97" s="18" t="n"/>
      <c r="H97" s="18" t="n"/>
      <c r="I97" s="18" t="n"/>
      <c r="J97" s="19">
        <f>COUNTIF(D97:I97,"Done")</f>
        <v/>
      </c>
      <c r="K97" s="20" t="n"/>
    </row>
    <row r="98">
      <c r="A98" s="16" t="n">
        <v>46373</v>
      </c>
      <c r="B98" s="17" t="inlineStr">
        <is>
          <t>Thu</t>
        </is>
      </c>
      <c r="C98" s="17" t="inlineStr">
        <is>
          <t>W18</t>
        </is>
      </c>
      <c r="D98" s="18" t="n"/>
      <c r="E98" s="18" t="n"/>
      <c r="F98" s="18" t="inlineStr">
        <is>
          <t>N/A</t>
        </is>
      </c>
      <c r="G98" s="18" t="n"/>
      <c r="H98" s="18" t="n"/>
      <c r="I98" s="18" t="n"/>
      <c r="J98" s="19">
        <f>COUNTIF(D98:I98,"Done")</f>
        <v/>
      </c>
      <c r="K98" s="20" t="n"/>
    </row>
    <row r="99">
      <c r="A99" s="16" t="n">
        <v>46374</v>
      </c>
      <c r="B99" s="17" t="inlineStr">
        <is>
          <t>Fri</t>
        </is>
      </c>
      <c r="C99" s="17" t="inlineStr">
        <is>
          <t>W18</t>
        </is>
      </c>
      <c r="D99" s="18" t="n"/>
      <c r="E99" s="18" t="n"/>
      <c r="F99" s="18" t="inlineStr">
        <is>
          <t>N/A</t>
        </is>
      </c>
      <c r="G99" s="18" t="n"/>
      <c r="H99" s="18" t="n"/>
      <c r="I99" s="18" t="n"/>
      <c r="J99" s="19">
        <f>COUNTIF(D99:I99,"Done")</f>
        <v/>
      </c>
      <c r="K99" s="20" t="n"/>
    </row>
    <row r="100">
      <c r="A100" s="16" t="n">
        <v>46377</v>
      </c>
      <c r="B100" s="17" t="inlineStr">
        <is>
          <t>Mon</t>
        </is>
      </c>
      <c r="C100" s="17" t="inlineStr">
        <is>
          <t>W19</t>
        </is>
      </c>
      <c r="D100" s="18" t="n"/>
      <c r="E100" s="18" t="n"/>
      <c r="F100" s="18" t="inlineStr">
        <is>
          <t>N/A</t>
        </is>
      </c>
      <c r="G100" s="18" t="n"/>
      <c r="H100" s="18" t="n"/>
      <c r="I100" s="18" t="n"/>
      <c r="J100" s="19">
        <f>COUNTIF(D100:I100,"Done")</f>
        <v/>
      </c>
      <c r="K100" s="20" t="n"/>
    </row>
    <row r="101">
      <c r="A101" s="16" t="n">
        <v>46378</v>
      </c>
      <c r="B101" s="17" t="inlineStr">
        <is>
          <t>Tue</t>
        </is>
      </c>
      <c r="C101" s="17" t="inlineStr">
        <is>
          <t>W19</t>
        </is>
      </c>
      <c r="D101" s="18" t="n"/>
      <c r="E101" s="18" t="n"/>
      <c r="F101" s="18" t="inlineStr">
        <is>
          <t>N/A</t>
        </is>
      </c>
      <c r="G101" s="18" t="n"/>
      <c r="H101" s="18" t="n"/>
      <c r="I101" s="18" t="n"/>
      <c r="J101" s="19">
        <f>COUNTIF(D101:I101,"Done")</f>
        <v/>
      </c>
      <c r="K101" s="20" t="n"/>
    </row>
    <row r="102">
      <c r="A102" s="16" t="n">
        <v>46379</v>
      </c>
      <c r="B102" s="17" t="inlineStr">
        <is>
          <t>Wed</t>
        </is>
      </c>
      <c r="C102" s="17" t="inlineStr">
        <is>
          <t>W19</t>
        </is>
      </c>
      <c r="D102" s="18" t="n"/>
      <c r="E102" s="18" t="n"/>
      <c r="F102" s="18" t="n"/>
      <c r="G102" s="18" t="n"/>
      <c r="H102" s="18" t="n"/>
      <c r="I102" s="18" t="n"/>
      <c r="J102" s="19">
        <f>COUNTIF(D102:I102,"Done")</f>
        <v/>
      </c>
      <c r="K102" s="20" t="n"/>
    </row>
    <row r="103">
      <c r="A103" s="16" t="n">
        <v>46380</v>
      </c>
      <c r="B103" s="17" t="inlineStr">
        <is>
          <t>Thu</t>
        </is>
      </c>
      <c r="C103" s="17" t="inlineStr">
        <is>
          <t>W19</t>
        </is>
      </c>
      <c r="D103" s="18" t="n"/>
      <c r="E103" s="18" t="n"/>
      <c r="F103" s="18" t="inlineStr">
        <is>
          <t>N/A</t>
        </is>
      </c>
      <c r="G103" s="18" t="n"/>
      <c r="H103" s="18" t="n"/>
      <c r="I103" s="18" t="n"/>
      <c r="J103" s="19">
        <f>COUNTIF(D103:I103,"Done")</f>
        <v/>
      </c>
      <c r="K103" s="20" t="n"/>
    </row>
    <row r="104">
      <c r="A104" s="16" t="n">
        <v>46381</v>
      </c>
      <c r="B104" s="17" t="inlineStr">
        <is>
          <t>Fri</t>
        </is>
      </c>
      <c r="C104" s="17" t="inlineStr">
        <is>
          <t>W19</t>
        </is>
      </c>
      <c r="D104" s="18" t="n"/>
      <c r="E104" s="18" t="n"/>
      <c r="F104" s="18" t="inlineStr">
        <is>
          <t>N/A</t>
        </is>
      </c>
      <c r="G104" s="18" t="n"/>
      <c r="H104" s="18" t="n"/>
      <c r="I104" s="18" t="n"/>
      <c r="J104" s="19">
        <f>COUNTIF(D104:I104,"Done")</f>
        <v/>
      </c>
      <c r="K104" s="20" t="n"/>
    </row>
    <row r="105">
      <c r="A105" s="16" t="n">
        <v>46384</v>
      </c>
      <c r="B105" s="17" t="inlineStr">
        <is>
          <t>Mon</t>
        </is>
      </c>
      <c r="C105" s="17" t="inlineStr">
        <is>
          <t>W20</t>
        </is>
      </c>
      <c r="D105" s="18" t="n"/>
      <c r="E105" s="18" t="n"/>
      <c r="F105" s="18" t="inlineStr">
        <is>
          <t>N/A</t>
        </is>
      </c>
      <c r="G105" s="18" t="n"/>
      <c r="H105" s="18" t="n"/>
      <c r="I105" s="18" t="n"/>
      <c r="J105" s="19">
        <f>COUNTIF(D105:I105,"Done")</f>
        <v/>
      </c>
      <c r="K105" s="20" t="n"/>
    </row>
    <row r="106">
      <c r="A106" s="16" t="n">
        <v>46385</v>
      </c>
      <c r="B106" s="17" t="inlineStr">
        <is>
          <t>Tue</t>
        </is>
      </c>
      <c r="C106" s="17" t="inlineStr">
        <is>
          <t>W20</t>
        </is>
      </c>
      <c r="D106" s="18" t="n"/>
      <c r="E106" s="18" t="n"/>
      <c r="F106" s="18" t="inlineStr">
        <is>
          <t>N/A</t>
        </is>
      </c>
      <c r="G106" s="18" t="n"/>
      <c r="H106" s="18" t="n"/>
      <c r="I106" s="18" t="n"/>
      <c r="J106" s="19">
        <f>COUNTIF(D106:I106,"Done")</f>
        <v/>
      </c>
      <c r="K106" s="20" t="n"/>
    </row>
    <row r="107">
      <c r="A107" s="16" t="n">
        <v>46386</v>
      </c>
      <c r="B107" s="17" t="inlineStr">
        <is>
          <t>Wed</t>
        </is>
      </c>
      <c r="C107" s="17" t="inlineStr">
        <is>
          <t>W20</t>
        </is>
      </c>
      <c r="D107" s="18" t="n"/>
      <c r="E107" s="18" t="n"/>
      <c r="F107" s="18" t="n"/>
      <c r="G107" s="18" t="n"/>
      <c r="H107" s="18" t="n"/>
      <c r="I107" s="18" t="n"/>
      <c r="J107" s="19">
        <f>COUNTIF(D107:I107,"Done")</f>
        <v/>
      </c>
      <c r="K107" s="20" t="n"/>
    </row>
    <row r="108">
      <c r="A108" s="16" t="n">
        <v>46387</v>
      </c>
      <c r="B108" s="17" t="inlineStr">
        <is>
          <t>Thu</t>
        </is>
      </c>
      <c r="C108" s="17" t="inlineStr">
        <is>
          <t>W20</t>
        </is>
      </c>
      <c r="D108" s="18" t="n"/>
      <c r="E108" s="18" t="n"/>
      <c r="F108" s="18" t="inlineStr">
        <is>
          <t>N/A</t>
        </is>
      </c>
      <c r="G108" s="18" t="n"/>
      <c r="H108" s="18" t="n"/>
      <c r="I108" s="18" t="n"/>
      <c r="J108" s="19">
        <f>COUNTIF(D108:I108,"Done")</f>
        <v/>
      </c>
      <c r="K108" s="20" t="n"/>
    </row>
    <row r="109" ht="20" customHeight="1">
      <c r="A109" s="10" t="inlineStr">
        <is>
          <t>JANUARY 2027</t>
        </is>
      </c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</row>
    <row r="110">
      <c r="A110" s="16" t="n">
        <v>46388</v>
      </c>
      <c r="B110" s="17" t="inlineStr">
        <is>
          <t>Fri</t>
        </is>
      </c>
      <c r="C110" s="17" t="inlineStr">
        <is>
          <t>W20</t>
        </is>
      </c>
      <c r="D110" s="18" t="n"/>
      <c r="E110" s="18" t="n"/>
      <c r="F110" s="18" t="inlineStr">
        <is>
          <t>N/A</t>
        </is>
      </c>
      <c r="G110" s="18" t="n"/>
      <c r="H110" s="18" t="n"/>
      <c r="I110" s="18" t="n"/>
      <c r="J110" s="19">
        <f>COUNTIF(D110:I110,"Done")</f>
        <v/>
      </c>
      <c r="K110" s="20" t="n"/>
    </row>
    <row r="111">
      <c r="A111" s="16" t="n">
        <v>46391</v>
      </c>
      <c r="B111" s="17" t="inlineStr">
        <is>
          <t>Mon</t>
        </is>
      </c>
      <c r="C111" s="17" t="inlineStr">
        <is>
          <t>W21</t>
        </is>
      </c>
      <c r="D111" s="18" t="n"/>
      <c r="E111" s="18" t="n"/>
      <c r="F111" s="18" t="inlineStr">
        <is>
          <t>N/A</t>
        </is>
      </c>
      <c r="G111" s="18" t="n"/>
      <c r="H111" s="18" t="n"/>
      <c r="I111" s="18" t="n"/>
      <c r="J111" s="19">
        <f>COUNTIF(D111:I111,"Done")</f>
        <v/>
      </c>
      <c r="K111" s="20" t="n"/>
    </row>
    <row r="112">
      <c r="A112" s="16" t="n">
        <v>46392</v>
      </c>
      <c r="B112" s="17" t="inlineStr">
        <is>
          <t>Tue</t>
        </is>
      </c>
      <c r="C112" s="17" t="inlineStr">
        <is>
          <t>W21</t>
        </is>
      </c>
      <c r="D112" s="18" t="n"/>
      <c r="E112" s="18" t="n"/>
      <c r="F112" s="18" t="inlineStr">
        <is>
          <t>N/A</t>
        </is>
      </c>
      <c r="G112" s="18" t="n"/>
      <c r="H112" s="18" t="n"/>
      <c r="I112" s="18" t="n"/>
      <c r="J112" s="19">
        <f>COUNTIF(D112:I112,"Done")</f>
        <v/>
      </c>
      <c r="K112" s="20" t="n"/>
    </row>
    <row r="113">
      <c r="A113" s="16" t="n">
        <v>46393</v>
      </c>
      <c r="B113" s="17" t="inlineStr">
        <is>
          <t>Wed</t>
        </is>
      </c>
      <c r="C113" s="17" t="inlineStr">
        <is>
          <t>W21</t>
        </is>
      </c>
      <c r="D113" s="18" t="n"/>
      <c r="E113" s="18" t="n"/>
      <c r="F113" s="18" t="n"/>
      <c r="G113" s="18" t="n"/>
      <c r="H113" s="18" t="n"/>
      <c r="I113" s="18" t="n"/>
      <c r="J113" s="19">
        <f>COUNTIF(D113:I113,"Done")</f>
        <v/>
      </c>
      <c r="K113" s="20" t="n"/>
    </row>
    <row r="114">
      <c r="A114" s="16" t="n">
        <v>46394</v>
      </c>
      <c r="B114" s="17" t="inlineStr">
        <is>
          <t>Thu</t>
        </is>
      </c>
      <c r="C114" s="17" t="inlineStr">
        <is>
          <t>W21</t>
        </is>
      </c>
      <c r="D114" s="18" t="n"/>
      <c r="E114" s="18" t="n"/>
      <c r="F114" s="18" t="inlineStr">
        <is>
          <t>N/A</t>
        </is>
      </c>
      <c r="G114" s="18" t="n"/>
      <c r="H114" s="18" t="n"/>
      <c r="I114" s="18" t="n"/>
      <c r="J114" s="19">
        <f>COUNTIF(D114:I114,"Done")</f>
        <v/>
      </c>
      <c r="K114" s="20" t="n"/>
    </row>
    <row r="115">
      <c r="A115" s="16" t="n">
        <v>46395</v>
      </c>
      <c r="B115" s="17" t="inlineStr">
        <is>
          <t>Fri</t>
        </is>
      </c>
      <c r="C115" s="17" t="inlineStr">
        <is>
          <t>W21</t>
        </is>
      </c>
      <c r="D115" s="18" t="n"/>
      <c r="E115" s="18" t="n"/>
      <c r="F115" s="18" t="inlineStr">
        <is>
          <t>N/A</t>
        </is>
      </c>
      <c r="G115" s="18" t="n"/>
      <c r="H115" s="18" t="n"/>
      <c r="I115" s="18" t="n"/>
      <c r="J115" s="19">
        <f>COUNTIF(D115:I115,"Done")</f>
        <v/>
      </c>
      <c r="K115" s="20" t="n"/>
    </row>
    <row r="116">
      <c r="A116" s="16" t="n">
        <v>46398</v>
      </c>
      <c r="B116" s="17" t="inlineStr">
        <is>
          <t>Mon</t>
        </is>
      </c>
      <c r="C116" s="17" t="inlineStr">
        <is>
          <t>W22</t>
        </is>
      </c>
      <c r="D116" s="18" t="n"/>
      <c r="E116" s="18" t="n"/>
      <c r="F116" s="18" t="inlineStr">
        <is>
          <t>N/A</t>
        </is>
      </c>
      <c r="G116" s="18" t="n"/>
      <c r="H116" s="18" t="n"/>
      <c r="I116" s="18" t="n"/>
      <c r="J116" s="19">
        <f>COUNTIF(D116:I116,"Done")</f>
        <v/>
      </c>
      <c r="K116" s="20" t="n"/>
    </row>
    <row r="117">
      <c r="A117" s="16" t="n">
        <v>46399</v>
      </c>
      <c r="B117" s="17" t="inlineStr">
        <is>
          <t>Tue</t>
        </is>
      </c>
      <c r="C117" s="17" t="inlineStr">
        <is>
          <t>W22</t>
        </is>
      </c>
      <c r="D117" s="18" t="n"/>
      <c r="E117" s="18" t="n"/>
      <c r="F117" s="18" t="inlineStr">
        <is>
          <t>N/A</t>
        </is>
      </c>
      <c r="G117" s="18" t="n"/>
      <c r="H117" s="18" t="n"/>
      <c r="I117" s="18" t="n"/>
      <c r="J117" s="19">
        <f>COUNTIF(D117:I117,"Done")</f>
        <v/>
      </c>
      <c r="K117" s="20" t="n"/>
    </row>
    <row r="118">
      <c r="A118" s="16" t="n">
        <v>46400</v>
      </c>
      <c r="B118" s="17" t="inlineStr">
        <is>
          <t>Wed</t>
        </is>
      </c>
      <c r="C118" s="17" t="inlineStr">
        <is>
          <t>W22</t>
        </is>
      </c>
      <c r="D118" s="18" t="n"/>
      <c r="E118" s="18" t="n"/>
      <c r="F118" s="18" t="n"/>
      <c r="G118" s="18" t="n"/>
      <c r="H118" s="18" t="n"/>
      <c r="I118" s="18" t="n"/>
      <c r="J118" s="19">
        <f>COUNTIF(D118:I118,"Done")</f>
        <v/>
      </c>
      <c r="K118" s="20" t="n"/>
    </row>
    <row r="119">
      <c r="A119" s="16" t="n">
        <v>46401</v>
      </c>
      <c r="B119" s="17" t="inlineStr">
        <is>
          <t>Thu</t>
        </is>
      </c>
      <c r="C119" s="17" t="inlineStr">
        <is>
          <t>W22</t>
        </is>
      </c>
      <c r="D119" s="18" t="n"/>
      <c r="E119" s="18" t="n"/>
      <c r="F119" s="18" t="inlineStr">
        <is>
          <t>N/A</t>
        </is>
      </c>
      <c r="G119" s="18" t="n"/>
      <c r="H119" s="18" t="n"/>
      <c r="I119" s="18" t="n"/>
      <c r="J119" s="19">
        <f>COUNTIF(D119:I119,"Done")</f>
        <v/>
      </c>
      <c r="K119" s="20" t="n"/>
    </row>
    <row r="120">
      <c r="A120" s="16" t="n">
        <v>46402</v>
      </c>
      <c r="B120" s="17" t="inlineStr">
        <is>
          <t>Fri</t>
        </is>
      </c>
      <c r="C120" s="17" t="inlineStr">
        <is>
          <t>W22</t>
        </is>
      </c>
      <c r="D120" s="18" t="n"/>
      <c r="E120" s="18" t="n"/>
      <c r="F120" s="18" t="inlineStr">
        <is>
          <t>N/A</t>
        </is>
      </c>
      <c r="G120" s="18" t="n"/>
      <c r="H120" s="18" t="n"/>
      <c r="I120" s="18" t="n"/>
      <c r="J120" s="19">
        <f>COUNTIF(D120:I120,"Done")</f>
        <v/>
      </c>
      <c r="K120" s="20" t="n"/>
    </row>
    <row r="121">
      <c r="A121" s="16" t="n">
        <v>46405</v>
      </c>
      <c r="B121" s="17" t="inlineStr">
        <is>
          <t>Mon</t>
        </is>
      </c>
      <c r="C121" s="17" t="inlineStr">
        <is>
          <t>W23</t>
        </is>
      </c>
      <c r="D121" s="18" t="n"/>
      <c r="E121" s="18" t="n"/>
      <c r="F121" s="18" t="inlineStr">
        <is>
          <t>N/A</t>
        </is>
      </c>
      <c r="G121" s="18" t="n"/>
      <c r="H121" s="18" t="n"/>
      <c r="I121" s="18" t="n"/>
      <c r="J121" s="19">
        <f>COUNTIF(D121:I121,"Done")</f>
        <v/>
      </c>
      <c r="K121" s="20" t="n"/>
    </row>
    <row r="122">
      <c r="A122" s="16" t="n">
        <v>46406</v>
      </c>
      <c r="B122" s="17" t="inlineStr">
        <is>
          <t>Tue</t>
        </is>
      </c>
      <c r="C122" s="17" t="inlineStr">
        <is>
          <t>W23</t>
        </is>
      </c>
      <c r="D122" s="18" t="n"/>
      <c r="E122" s="18" t="n"/>
      <c r="F122" s="18" t="inlineStr">
        <is>
          <t>N/A</t>
        </is>
      </c>
      <c r="G122" s="18" t="n"/>
      <c r="H122" s="18" t="n"/>
      <c r="I122" s="18" t="n"/>
      <c r="J122" s="19">
        <f>COUNTIF(D122:I122,"Done")</f>
        <v/>
      </c>
      <c r="K122" s="20" t="n"/>
    </row>
    <row r="123">
      <c r="A123" s="16" t="n">
        <v>46407</v>
      </c>
      <c r="B123" s="17" t="inlineStr">
        <is>
          <t>Wed</t>
        </is>
      </c>
      <c r="C123" s="17" t="inlineStr">
        <is>
          <t>W23</t>
        </is>
      </c>
      <c r="D123" s="18" t="n"/>
      <c r="E123" s="18" t="n"/>
      <c r="F123" s="18" t="n"/>
      <c r="G123" s="18" t="n"/>
      <c r="H123" s="18" t="n"/>
      <c r="I123" s="18" t="n"/>
      <c r="J123" s="19">
        <f>COUNTIF(D123:I123,"Done")</f>
        <v/>
      </c>
      <c r="K123" s="20" t="n"/>
    </row>
    <row r="124">
      <c r="A124" s="16" t="n">
        <v>46408</v>
      </c>
      <c r="B124" s="17" t="inlineStr">
        <is>
          <t>Thu</t>
        </is>
      </c>
      <c r="C124" s="17" t="inlineStr">
        <is>
          <t>W23</t>
        </is>
      </c>
      <c r="D124" s="18" t="n"/>
      <c r="E124" s="18" t="n"/>
      <c r="F124" s="18" t="inlineStr">
        <is>
          <t>N/A</t>
        </is>
      </c>
      <c r="G124" s="18" t="n"/>
      <c r="H124" s="18" t="n"/>
      <c r="I124" s="18" t="n"/>
      <c r="J124" s="19">
        <f>COUNTIF(D124:I124,"Done")</f>
        <v/>
      </c>
      <c r="K124" s="20" t="n"/>
    </row>
    <row r="125">
      <c r="A125" s="16" t="n">
        <v>46409</v>
      </c>
      <c r="B125" s="17" t="inlineStr">
        <is>
          <t>Fri</t>
        </is>
      </c>
      <c r="C125" s="17" t="inlineStr">
        <is>
          <t>W23</t>
        </is>
      </c>
      <c r="D125" s="18" t="n"/>
      <c r="E125" s="18" t="n"/>
      <c r="F125" s="18" t="inlineStr">
        <is>
          <t>N/A</t>
        </is>
      </c>
      <c r="G125" s="18" t="n"/>
      <c r="H125" s="18" t="n"/>
      <c r="I125" s="18" t="n"/>
      <c r="J125" s="19">
        <f>COUNTIF(D125:I125,"Done")</f>
        <v/>
      </c>
      <c r="K125" s="20" t="n"/>
    </row>
    <row r="126">
      <c r="A126" s="16" t="n">
        <v>46412</v>
      </c>
      <c r="B126" s="17" t="inlineStr">
        <is>
          <t>Mon</t>
        </is>
      </c>
      <c r="C126" s="17" t="inlineStr">
        <is>
          <t>W24</t>
        </is>
      </c>
      <c r="D126" s="18" t="n"/>
      <c r="E126" s="18" t="n"/>
      <c r="F126" s="18" t="inlineStr">
        <is>
          <t>N/A</t>
        </is>
      </c>
      <c r="G126" s="18" t="n"/>
      <c r="H126" s="18" t="n"/>
      <c r="I126" s="18" t="n"/>
      <c r="J126" s="19">
        <f>COUNTIF(D126:I126,"Done")</f>
        <v/>
      </c>
      <c r="K126" s="20" t="n"/>
    </row>
    <row r="127">
      <c r="A127" s="16" t="n">
        <v>46413</v>
      </c>
      <c r="B127" s="17" t="inlineStr">
        <is>
          <t>Tue</t>
        </is>
      </c>
      <c r="C127" s="17" t="inlineStr">
        <is>
          <t>W24</t>
        </is>
      </c>
      <c r="D127" s="18" t="n"/>
      <c r="E127" s="18" t="n"/>
      <c r="F127" s="18" t="inlineStr">
        <is>
          <t>N/A</t>
        </is>
      </c>
      <c r="G127" s="18" t="n"/>
      <c r="H127" s="18" t="n"/>
      <c r="I127" s="18" t="n"/>
      <c r="J127" s="19">
        <f>COUNTIF(D127:I127,"Done")</f>
        <v/>
      </c>
      <c r="K127" s="20" t="n"/>
    </row>
    <row r="128">
      <c r="A128" s="16" t="n">
        <v>46414</v>
      </c>
      <c r="B128" s="17" t="inlineStr">
        <is>
          <t>Wed</t>
        </is>
      </c>
      <c r="C128" s="17" t="inlineStr">
        <is>
          <t>W24</t>
        </is>
      </c>
      <c r="D128" s="18" t="n"/>
      <c r="E128" s="18" t="n"/>
      <c r="F128" s="18" t="n"/>
      <c r="G128" s="18" t="n"/>
      <c r="H128" s="18" t="n"/>
      <c r="I128" s="18" t="n"/>
      <c r="J128" s="19">
        <f>COUNTIF(D128:I128,"Done")</f>
        <v/>
      </c>
      <c r="K128" s="20" t="n"/>
    </row>
    <row r="129">
      <c r="A129" s="16" t="n">
        <v>46415</v>
      </c>
      <c r="B129" s="17" t="inlineStr">
        <is>
          <t>Thu</t>
        </is>
      </c>
      <c r="C129" s="17" t="inlineStr">
        <is>
          <t>W24</t>
        </is>
      </c>
      <c r="D129" s="18" t="n"/>
      <c r="E129" s="18" t="n"/>
      <c r="F129" s="18" t="inlineStr">
        <is>
          <t>N/A</t>
        </is>
      </c>
      <c r="G129" s="18" t="n"/>
      <c r="H129" s="18" t="n"/>
      <c r="I129" s="18" t="n"/>
      <c r="J129" s="19">
        <f>COUNTIF(D129:I129,"Done")</f>
        <v/>
      </c>
      <c r="K129" s="20" t="n"/>
    </row>
    <row r="130">
      <c r="A130" s="16" t="n">
        <v>46416</v>
      </c>
      <c r="B130" s="17" t="inlineStr">
        <is>
          <t>Fri</t>
        </is>
      </c>
      <c r="C130" s="17" t="inlineStr">
        <is>
          <t>W24</t>
        </is>
      </c>
      <c r="D130" s="18" t="n"/>
      <c r="E130" s="18" t="n"/>
      <c r="F130" s="18" t="inlineStr">
        <is>
          <t>N/A</t>
        </is>
      </c>
      <c r="G130" s="18" t="n"/>
      <c r="H130" s="18" t="n"/>
      <c r="I130" s="18" t="n"/>
      <c r="J130" s="19">
        <f>COUNTIF(D130:I130,"Done")</f>
        <v/>
      </c>
      <c r="K130" s="20" t="n"/>
    </row>
    <row r="131" ht="20" customHeight="1">
      <c r="A131" s="10" t="inlineStr">
        <is>
          <t>FEBRUARY 2027</t>
        </is>
      </c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</row>
    <row r="132">
      <c r="A132" s="16" t="n">
        <v>46419</v>
      </c>
      <c r="B132" s="17" t="inlineStr">
        <is>
          <t>Mon</t>
        </is>
      </c>
      <c r="C132" s="17" t="inlineStr">
        <is>
          <t>W25</t>
        </is>
      </c>
      <c r="D132" s="18" t="n"/>
      <c r="E132" s="18" t="n"/>
      <c r="F132" s="18" t="inlineStr">
        <is>
          <t>N/A</t>
        </is>
      </c>
      <c r="G132" s="18" t="n"/>
      <c r="H132" s="18" t="n"/>
      <c r="I132" s="18" t="n"/>
      <c r="J132" s="19">
        <f>COUNTIF(D132:I132,"Done")</f>
        <v/>
      </c>
      <c r="K132" s="20" t="n"/>
    </row>
    <row r="133">
      <c r="A133" s="16" t="n">
        <v>46420</v>
      </c>
      <c r="B133" s="17" t="inlineStr">
        <is>
          <t>Tue</t>
        </is>
      </c>
      <c r="C133" s="17" t="inlineStr">
        <is>
          <t>W25</t>
        </is>
      </c>
      <c r="D133" s="18" t="n"/>
      <c r="E133" s="18" t="n"/>
      <c r="F133" s="18" t="inlineStr">
        <is>
          <t>N/A</t>
        </is>
      </c>
      <c r="G133" s="18" t="n"/>
      <c r="H133" s="18" t="n"/>
      <c r="I133" s="18" t="n"/>
      <c r="J133" s="19">
        <f>COUNTIF(D133:I133,"Done")</f>
        <v/>
      </c>
      <c r="K133" s="20" t="n"/>
    </row>
    <row r="134">
      <c r="A134" s="16" t="n">
        <v>46421</v>
      </c>
      <c r="B134" s="17" t="inlineStr">
        <is>
          <t>Wed</t>
        </is>
      </c>
      <c r="C134" s="17" t="inlineStr">
        <is>
          <t>W25</t>
        </is>
      </c>
      <c r="D134" s="18" t="n"/>
      <c r="E134" s="18" t="n"/>
      <c r="F134" s="18" t="n"/>
      <c r="G134" s="18" t="n"/>
      <c r="H134" s="18" t="n"/>
      <c r="I134" s="18" t="n"/>
      <c r="J134" s="19">
        <f>COUNTIF(D134:I134,"Done")</f>
        <v/>
      </c>
      <c r="K134" s="20" t="n"/>
    </row>
    <row r="135">
      <c r="A135" s="16" t="n">
        <v>46422</v>
      </c>
      <c r="B135" s="17" t="inlineStr">
        <is>
          <t>Thu</t>
        </is>
      </c>
      <c r="C135" s="17" t="inlineStr">
        <is>
          <t>W25</t>
        </is>
      </c>
      <c r="D135" s="18" t="n"/>
      <c r="E135" s="18" t="n"/>
      <c r="F135" s="18" t="inlineStr">
        <is>
          <t>N/A</t>
        </is>
      </c>
      <c r="G135" s="18" t="n"/>
      <c r="H135" s="18" t="n"/>
      <c r="I135" s="18" t="n"/>
      <c r="J135" s="19">
        <f>COUNTIF(D135:I135,"Done")</f>
        <v/>
      </c>
      <c r="K135" s="20" t="n"/>
    </row>
    <row r="136">
      <c r="A136" s="16" t="n">
        <v>46423</v>
      </c>
      <c r="B136" s="17" t="inlineStr">
        <is>
          <t>Fri</t>
        </is>
      </c>
      <c r="C136" s="17" t="inlineStr">
        <is>
          <t>W25</t>
        </is>
      </c>
      <c r="D136" s="18" t="n"/>
      <c r="E136" s="18" t="n"/>
      <c r="F136" s="18" t="inlineStr">
        <is>
          <t>N/A</t>
        </is>
      </c>
      <c r="G136" s="18" t="n"/>
      <c r="H136" s="18" t="n"/>
      <c r="I136" s="18" t="n"/>
      <c r="J136" s="19">
        <f>COUNTIF(D136:I136,"Done")</f>
        <v/>
      </c>
      <c r="K136" s="20" t="n"/>
    </row>
    <row r="137">
      <c r="A137" s="16" t="n">
        <v>46426</v>
      </c>
      <c r="B137" s="17" t="inlineStr">
        <is>
          <t>Mon</t>
        </is>
      </c>
      <c r="C137" s="17" t="inlineStr">
        <is>
          <t>W26</t>
        </is>
      </c>
      <c r="D137" s="18" t="n"/>
      <c r="E137" s="18" t="n"/>
      <c r="F137" s="18" t="inlineStr">
        <is>
          <t>N/A</t>
        </is>
      </c>
      <c r="G137" s="18" t="n"/>
      <c r="H137" s="18" t="n"/>
      <c r="I137" s="18" t="n"/>
      <c r="J137" s="19">
        <f>COUNTIF(D137:I137,"Done")</f>
        <v/>
      </c>
      <c r="K137" s="20" t="n"/>
    </row>
    <row r="138">
      <c r="A138" s="16" t="n">
        <v>46427</v>
      </c>
      <c r="B138" s="17" t="inlineStr">
        <is>
          <t>Tue</t>
        </is>
      </c>
      <c r="C138" s="17" t="inlineStr">
        <is>
          <t>W26</t>
        </is>
      </c>
      <c r="D138" s="18" t="n"/>
      <c r="E138" s="18" t="n"/>
      <c r="F138" s="18" t="inlineStr">
        <is>
          <t>N/A</t>
        </is>
      </c>
      <c r="G138" s="18" t="n"/>
      <c r="H138" s="18" t="n"/>
      <c r="I138" s="18" t="n"/>
      <c r="J138" s="19">
        <f>COUNTIF(D138:I138,"Done")</f>
        <v/>
      </c>
      <c r="K138" s="20" t="n"/>
    </row>
    <row r="139">
      <c r="A139" s="16" t="n">
        <v>46428</v>
      </c>
      <c r="B139" s="17" t="inlineStr">
        <is>
          <t>Wed</t>
        </is>
      </c>
      <c r="C139" s="17" t="inlineStr">
        <is>
          <t>W26</t>
        </is>
      </c>
      <c r="D139" s="18" t="n"/>
      <c r="E139" s="18" t="n"/>
      <c r="F139" s="18" t="n"/>
      <c r="G139" s="18" t="n"/>
      <c r="H139" s="18" t="n"/>
      <c r="I139" s="18" t="n"/>
      <c r="J139" s="19">
        <f>COUNTIF(D139:I139,"Done")</f>
        <v/>
      </c>
      <c r="K139" s="20" t="n"/>
    </row>
    <row r="140">
      <c r="A140" s="16" t="n">
        <v>46429</v>
      </c>
      <c r="B140" s="17" t="inlineStr">
        <is>
          <t>Thu</t>
        </is>
      </c>
      <c r="C140" s="17" t="inlineStr">
        <is>
          <t>W26</t>
        </is>
      </c>
      <c r="D140" s="18" t="n"/>
      <c r="E140" s="18" t="n"/>
      <c r="F140" s="18" t="inlineStr">
        <is>
          <t>N/A</t>
        </is>
      </c>
      <c r="G140" s="18" t="n"/>
      <c r="H140" s="18" t="n"/>
      <c r="I140" s="18" t="n"/>
      <c r="J140" s="19">
        <f>COUNTIF(D140:I140,"Done")</f>
        <v/>
      </c>
      <c r="K140" s="20" t="n"/>
    </row>
    <row r="141">
      <c r="A141" s="16" t="n">
        <v>46430</v>
      </c>
      <c r="B141" s="17" t="inlineStr">
        <is>
          <t>Fri</t>
        </is>
      </c>
      <c r="C141" s="17" t="inlineStr">
        <is>
          <t>W26</t>
        </is>
      </c>
      <c r="D141" s="18" t="n"/>
      <c r="E141" s="18" t="n"/>
      <c r="F141" s="18" t="inlineStr">
        <is>
          <t>N/A</t>
        </is>
      </c>
      <c r="G141" s="18" t="n"/>
      <c r="H141" s="18" t="n"/>
      <c r="I141" s="18" t="n"/>
      <c r="J141" s="19">
        <f>COUNTIF(D141:I141,"Done")</f>
        <v/>
      </c>
      <c r="K141" s="20" t="n"/>
    </row>
  </sheetData>
  <mergeCells count="7">
    <mergeCell ref="A131:K131"/>
    <mergeCell ref="A109:K109"/>
    <mergeCell ref="A17:K17"/>
    <mergeCell ref="A63:K63"/>
    <mergeCell ref="A85:K85"/>
    <mergeCell ref="A5:K5"/>
    <mergeCell ref="A40:K40"/>
  </mergeCells>
  <conditionalFormatting sqref="A6:K141">
    <cfRule type="expression" priority="1" dxfId="0" stopIfTrue="1">
      <formula>AND(COUNTIF($D6:$I6,"Done")+COUNTIF($D6:$I6,"Missed")&gt;0,$J6&gt;=IF($B6="Wed",6,5))</formula>
    </cfRule>
    <cfRule type="expression" priority="2" dxfId="2" stopIfTrue="1">
      <formula>AND(COUNTIF($D6:$I6,"Done")+COUNTIF($D6:$I6,"Missed")&gt;0,$J6=IF($B6="Wed",6,5)-1)</formula>
    </cfRule>
    <cfRule type="expression" priority="3" dxfId="1" stopIfTrue="1">
      <formula>AND(COUNTIF($D6:$I6,"Done")+COUNTIF($D6:$I6,"Missed")&gt;0,$J6&lt;IF($B6="Wed",6,5)-1)</formula>
    </cfRule>
  </conditionalFormatting>
  <dataValidations count="6">
    <dataValidation sqref="D6:D141" showDropDown="0" showInputMessage="0" showErrorMessage="0" allowBlank="1" type="list">
      <formula1>"Done,Missed,N/A"</formula1>
    </dataValidation>
    <dataValidation sqref="E6:E141" showDropDown="0" showInputMessage="0" showErrorMessage="0" allowBlank="1" type="list">
      <formula1>"Done,Missed,N/A"</formula1>
    </dataValidation>
    <dataValidation sqref="F6:F141" showDropDown="0" showInputMessage="0" showErrorMessage="0" allowBlank="1" type="list">
      <formula1>"Done,Missed,N/A"</formula1>
    </dataValidation>
    <dataValidation sqref="G6:G141" showDropDown="0" showInputMessage="0" showErrorMessage="0" allowBlank="1" type="list">
      <formula1>"Done,Missed,N/A"</formula1>
    </dataValidation>
    <dataValidation sqref="H6:H141" showDropDown="0" showInputMessage="0" showErrorMessage="0" allowBlank="1" type="list">
      <formula1>"Done,Missed,N/A"</formula1>
    </dataValidation>
    <dataValidation sqref="I6:I141" showDropDown="0" showInputMessage="0" showErrorMessage="0" allowBlank="1" type="list">
      <formula1>"Done,Missed,N/A"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11" customWidth="1" min="4" max="4"/>
    <col width="15" customWidth="1" min="5" max="5"/>
    <col width="74" customWidth="1" min="6" max="6"/>
    <col width="9" customWidth="1" min="7" max="7"/>
    <col width="13" customWidth="1" min="8" max="8"/>
    <col width="9" customWidth="1" min="9" max="9"/>
    <col width="14" customWidth="1" min="10" max="10"/>
    <col width="11" customWidth="1" min="11" max="11"/>
    <col width="40" customWidth="1" min="12" max="12"/>
  </cols>
  <sheetData>
    <row r="1" ht="28" customHeight="1">
      <c r="A1" s="9" t="inlineStr">
        <is>
          <t>ID</t>
        </is>
      </c>
      <c r="B1" s="9" t="inlineStr">
        <is>
          <t>Month</t>
        </is>
      </c>
      <c r="C1" s="9" t="inlineStr">
        <is>
          <t>Week</t>
        </is>
      </c>
      <c r="D1" s="9" t="inlineStr">
        <is>
          <t>Due</t>
        </is>
      </c>
      <c r="E1" s="9" t="inlineStr">
        <is>
          <t>Area</t>
        </is>
      </c>
      <c r="F1" s="9" t="inlineStr">
        <is>
          <t>Task</t>
        </is>
      </c>
      <c r="G1" s="9" t="inlineStr">
        <is>
          <t>Owner</t>
        </is>
      </c>
      <c r="H1" s="9" t="inlineStr">
        <is>
          <t>Cadence</t>
        </is>
      </c>
      <c r="I1" s="9" t="inlineStr">
        <is>
          <t>Priority</t>
        </is>
      </c>
      <c r="J1" s="9" t="inlineStr">
        <is>
          <t>Status</t>
        </is>
      </c>
      <c r="K1" s="9" t="inlineStr">
        <is>
          <t>Date done</t>
        </is>
      </c>
      <c r="L1" s="9" t="inlineStr">
        <is>
          <t>Notes / blockers</t>
        </is>
      </c>
    </row>
    <row r="2" ht="15" customHeight="1">
      <c r="A2" s="21" t="n">
        <v>1</v>
      </c>
      <c r="B2" s="21" t="inlineStr">
        <is>
          <t>Month 1</t>
        </is>
      </c>
      <c r="C2" s="21" t="inlineStr">
        <is>
          <t>W1</t>
        </is>
      </c>
      <c r="D2" s="22" t="n">
        <v>46257</v>
      </c>
      <c r="E2" s="21" t="inlineStr">
        <is>
          <t>Google profile</t>
        </is>
      </c>
      <c r="F2" s="4" t="inlineStr">
        <is>
          <t>Find out who owns the Google Business Profile and which email holds it</t>
        </is>
      </c>
      <c r="G2" s="21" t="inlineStr">
        <is>
          <t>Cleo</t>
        </is>
      </c>
      <c r="H2" s="21" t="inlineStr">
        <is>
          <t>One-off</t>
        </is>
      </c>
      <c r="I2" s="21" t="inlineStr">
        <is>
          <t>High</t>
        </is>
      </c>
      <c r="J2" s="21" t="inlineStr">
        <is>
          <t>Not started</t>
        </is>
      </c>
      <c r="K2" s="22" t="n"/>
      <c r="L2" s="4" t="n"/>
    </row>
    <row r="3" ht="15" customHeight="1">
      <c r="A3" s="21" t="n">
        <v>2</v>
      </c>
      <c r="B3" s="21" t="inlineStr">
        <is>
          <t>Month 1</t>
        </is>
      </c>
      <c r="C3" s="21" t="inlineStr">
        <is>
          <t>W1</t>
        </is>
      </c>
      <c r="D3" s="22" t="n">
        <v>46257</v>
      </c>
      <c r="E3" s="21" t="inlineStr">
        <is>
          <t>Google profile</t>
        </is>
      </c>
      <c r="F3" s="4" t="inlineStr">
        <is>
          <t>Confirm with Allure whether you can use your own signage and suite designation</t>
        </is>
      </c>
      <c r="G3" s="21" t="inlineStr">
        <is>
          <t>Cleo</t>
        </is>
      </c>
      <c r="H3" s="21" t="inlineStr">
        <is>
          <t>One-off</t>
        </is>
      </c>
      <c r="I3" s="21" t="inlineStr">
        <is>
          <t>High</t>
        </is>
      </c>
      <c r="J3" s="21" t="inlineStr">
        <is>
          <t>Not started</t>
        </is>
      </c>
      <c r="K3" s="22" t="n"/>
      <c r="L3" s="4" t="n"/>
    </row>
    <row r="4" ht="15" customHeight="1">
      <c r="A4" s="21" t="n">
        <v>3</v>
      </c>
      <c r="B4" s="21" t="inlineStr">
        <is>
          <t>Month 1</t>
        </is>
      </c>
      <c r="C4" s="21" t="inlineStr">
        <is>
          <t>W1</t>
        </is>
      </c>
      <c r="D4" s="22" t="n">
        <v>46257</v>
      </c>
      <c r="E4" s="21" t="inlineStr">
        <is>
          <t>Google profile</t>
        </is>
      </c>
      <c r="F4" s="4" t="inlineStr">
        <is>
          <t>Claim and verify the Google Business Profile</t>
        </is>
      </c>
      <c r="G4" s="21" t="inlineStr">
        <is>
          <t>Agency</t>
        </is>
      </c>
      <c r="H4" s="21" t="inlineStr">
        <is>
          <t>One-off</t>
        </is>
      </c>
      <c r="I4" s="21" t="inlineStr">
        <is>
          <t>High</t>
        </is>
      </c>
      <c r="J4" s="21" t="inlineStr">
        <is>
          <t>Not started</t>
        </is>
      </c>
      <c r="K4" s="22" t="n"/>
      <c r="L4" s="4" t="n"/>
    </row>
    <row r="5" ht="15" customHeight="1">
      <c r="A5" s="21" t="n">
        <v>4</v>
      </c>
      <c r="B5" s="21" t="inlineStr">
        <is>
          <t>Month 1</t>
        </is>
      </c>
      <c r="C5" s="21" t="inlineStr">
        <is>
          <t>W1</t>
        </is>
      </c>
      <c r="D5" s="22" t="n">
        <v>46257</v>
      </c>
      <c r="E5" s="21" t="inlineStr">
        <is>
          <t>Google profile</t>
        </is>
      </c>
      <c r="F5" s="4" t="inlineStr">
        <is>
          <t>Correct the GBP address to L6M 0T9 and add the suite designation</t>
        </is>
      </c>
      <c r="G5" s="21" t="inlineStr">
        <is>
          <t>Agency</t>
        </is>
      </c>
      <c r="H5" s="21" t="inlineStr">
        <is>
          <t>One-off</t>
        </is>
      </c>
      <c r="I5" s="21" t="inlineStr">
        <is>
          <t>High</t>
        </is>
      </c>
      <c r="J5" s="21" t="inlineStr">
        <is>
          <t>Not started</t>
        </is>
      </c>
      <c r="K5" s="22" t="n"/>
      <c r="L5" s="4" t="n"/>
    </row>
    <row r="6" ht="15" customHeight="1">
      <c r="A6" s="21" t="n">
        <v>5</v>
      </c>
      <c r="B6" s="21" t="inlineStr">
        <is>
          <t>Month 1</t>
        </is>
      </c>
      <c r="C6" s="21" t="inlineStr">
        <is>
          <t>W1</t>
        </is>
      </c>
      <c r="D6" s="22" t="n">
        <v>46257</v>
      </c>
      <c r="E6" s="21" t="inlineStr">
        <is>
          <t>Google profile</t>
        </is>
      </c>
      <c r="F6" s="4" t="inlineStr">
        <is>
          <t>Set real opening hours on GBP for every day of the week</t>
        </is>
      </c>
      <c r="G6" s="21" t="inlineStr">
        <is>
          <t>Agency</t>
        </is>
      </c>
      <c r="H6" s="21" t="inlineStr">
        <is>
          <t>One-off</t>
        </is>
      </c>
      <c r="I6" s="21" t="inlineStr">
        <is>
          <t>High</t>
        </is>
      </c>
      <c r="J6" s="21" t="inlineStr">
        <is>
          <t>Not started</t>
        </is>
      </c>
      <c r="K6" s="22" t="n"/>
      <c r="L6" s="4" t="n"/>
    </row>
    <row r="7" ht="15" customHeight="1">
      <c r="A7" s="21" t="n">
        <v>6</v>
      </c>
      <c r="B7" s="21" t="inlineStr">
        <is>
          <t>Month 1</t>
        </is>
      </c>
      <c r="C7" s="21" t="inlineStr">
        <is>
          <t>W1</t>
        </is>
      </c>
      <c r="D7" s="22" t="n">
        <v>46257</v>
      </c>
      <c r="E7" s="21" t="inlineStr">
        <is>
          <t>Google profile</t>
        </is>
      </c>
      <c r="F7" s="4" t="inlineStr">
        <is>
          <t>Choose the primary GBP category</t>
        </is>
      </c>
      <c r="G7" s="21" t="inlineStr">
        <is>
          <t>Agency</t>
        </is>
      </c>
      <c r="H7" s="21" t="inlineStr">
        <is>
          <t>One-off</t>
        </is>
      </c>
      <c r="I7" s="21" t="inlineStr">
        <is>
          <t>High</t>
        </is>
      </c>
      <c r="J7" s="21" t="inlineStr">
        <is>
          <t>Not started</t>
        </is>
      </c>
      <c r="K7" s="22" t="n"/>
      <c r="L7" s="4" t="n"/>
    </row>
    <row r="8" ht="15" customHeight="1">
      <c r="A8" s="21" t="n">
        <v>7</v>
      </c>
      <c r="B8" s="21" t="inlineStr">
        <is>
          <t>Month 1</t>
        </is>
      </c>
      <c r="C8" s="21" t="inlineStr">
        <is>
          <t>W1</t>
        </is>
      </c>
      <c r="D8" s="22" t="n">
        <v>46257</v>
      </c>
      <c r="E8" s="21" t="inlineStr">
        <is>
          <t>Google profile</t>
        </is>
      </c>
      <c r="F8" s="4" t="inlineStr">
        <is>
          <t>Choose secondary categories that avoid colliding with Allure's listing</t>
        </is>
      </c>
      <c r="G8" s="21" t="inlineStr">
        <is>
          <t>Agency</t>
        </is>
      </c>
      <c r="H8" s="21" t="inlineStr">
        <is>
          <t>One-off</t>
        </is>
      </c>
      <c r="I8" s="21" t="inlineStr">
        <is>
          <t>High</t>
        </is>
      </c>
      <c r="J8" s="21" t="inlineStr">
        <is>
          <t>Not started</t>
        </is>
      </c>
      <c r="K8" s="22" t="n"/>
      <c r="L8" s="4" t="n"/>
    </row>
    <row r="9" ht="15" customHeight="1">
      <c r="A9" s="21" t="n">
        <v>8</v>
      </c>
      <c r="B9" s="21" t="inlineStr">
        <is>
          <t>Month 1</t>
        </is>
      </c>
      <c r="C9" s="21" t="inlineStr">
        <is>
          <t>W1</t>
        </is>
      </c>
      <c r="D9" s="22" t="n">
        <v>46257</v>
      </c>
      <c r="E9" s="21" t="inlineStr">
        <is>
          <t>Google profile</t>
        </is>
      </c>
      <c r="F9" s="4" t="inlineStr">
        <is>
          <t>Replace the dead website link on GBP with the booking link until the site is live</t>
        </is>
      </c>
      <c r="G9" s="21" t="inlineStr">
        <is>
          <t>Agency</t>
        </is>
      </c>
      <c r="H9" s="21" t="inlineStr">
        <is>
          <t>One-off</t>
        </is>
      </c>
      <c r="I9" s="21" t="inlineStr">
        <is>
          <t>High</t>
        </is>
      </c>
      <c r="J9" s="21" t="inlineStr">
        <is>
          <t>Not started</t>
        </is>
      </c>
      <c r="K9" s="22" t="n"/>
      <c r="L9" s="4" t="n"/>
    </row>
    <row r="10" ht="15" customHeight="1">
      <c r="A10" s="21" t="n">
        <v>9</v>
      </c>
      <c r="B10" s="21" t="inlineStr">
        <is>
          <t>Month 1</t>
        </is>
      </c>
      <c r="C10" s="21" t="inlineStr">
        <is>
          <t>W1</t>
        </is>
      </c>
      <c r="D10" s="22" t="n">
        <v>46257</v>
      </c>
      <c r="E10" s="21" t="inlineStr">
        <is>
          <t>Google profile</t>
        </is>
      </c>
      <c r="F10" s="4" t="inlineStr">
        <is>
          <t>Upload real photos to GBP: treatment room, you, the space</t>
        </is>
      </c>
      <c r="G10" s="21" t="inlineStr">
        <is>
          <t>Both</t>
        </is>
      </c>
      <c r="H10" s="21" t="inlineStr">
        <is>
          <t>One-off</t>
        </is>
      </c>
      <c r="I10" s="21" t="inlineStr">
        <is>
          <t>High</t>
        </is>
      </c>
      <c r="J10" s="21" t="inlineStr">
        <is>
          <t>Not started</t>
        </is>
      </c>
      <c r="K10" s="22" t="n"/>
      <c r="L10" s="4" t="n"/>
    </row>
    <row r="11" ht="15" customHeight="1">
      <c r="A11" s="21" t="n">
        <v>10</v>
      </c>
      <c r="B11" s="21" t="inlineStr">
        <is>
          <t>Month 1</t>
        </is>
      </c>
      <c r="C11" s="21" t="inlineStr">
        <is>
          <t>W1</t>
        </is>
      </c>
      <c r="D11" s="22" t="n">
        <v>46257</v>
      </c>
      <c r="E11" s="21" t="inlineStr">
        <is>
          <t>Citations</t>
        </is>
      </c>
      <c r="F11" s="4" t="inlineStr">
        <is>
          <t>Decide on one email address and one phone number to use everywhere</t>
        </is>
      </c>
      <c r="G11" s="21" t="inlineStr">
        <is>
          <t>Cleo</t>
        </is>
      </c>
      <c r="H11" s="21" t="inlineStr">
        <is>
          <t>One-off</t>
        </is>
      </c>
      <c r="I11" s="21" t="inlineStr">
        <is>
          <t>High</t>
        </is>
      </c>
      <c r="J11" s="21" t="inlineStr">
        <is>
          <t>Not started</t>
        </is>
      </c>
      <c r="K11" s="22" t="n"/>
      <c r="L11" s="4" t="n"/>
    </row>
    <row r="12" ht="15" customHeight="1">
      <c r="A12" s="21" t="n">
        <v>11</v>
      </c>
      <c r="B12" s="21" t="inlineStr">
        <is>
          <t>Month 1</t>
        </is>
      </c>
      <c r="C12" s="21" t="inlineStr">
        <is>
          <t>W1</t>
        </is>
      </c>
      <c r="D12" s="22" t="n">
        <v>46257</v>
      </c>
      <c r="E12" s="21" t="inlineStr">
        <is>
          <t>Citations</t>
        </is>
      </c>
      <c r="F12" s="4" t="inlineStr">
        <is>
          <t>Audit every listing that mentions the practice and record the wrong NAP on the Citations tab</t>
        </is>
      </c>
      <c r="G12" s="21" t="inlineStr">
        <is>
          <t>Agency</t>
        </is>
      </c>
      <c r="H12" s="21" t="inlineStr">
        <is>
          <t>One-off</t>
        </is>
      </c>
      <c r="I12" s="21" t="inlineStr">
        <is>
          <t>High</t>
        </is>
      </c>
      <c r="J12" s="21" t="inlineStr">
        <is>
          <t>Not started</t>
        </is>
      </c>
      <c r="K12" s="22" t="n"/>
      <c r="L12" s="4" t="n"/>
    </row>
    <row r="13" ht="15" customHeight="1">
      <c r="A13" s="21" t="n">
        <v>12</v>
      </c>
      <c r="B13" s="21" t="inlineStr">
        <is>
          <t>Month 1</t>
        </is>
      </c>
      <c r="C13" s="21" t="inlineStr">
        <is>
          <t>W1</t>
        </is>
      </c>
      <c r="D13" s="22" t="n">
        <v>46257</v>
      </c>
      <c r="E13" s="21" t="inlineStr">
        <is>
          <t>Daily routine</t>
        </is>
      </c>
      <c r="F13" s="4" t="inlineStr">
        <is>
          <t>Start the daily routine: GBP post, Instagram, on-page, review ask, citation</t>
        </is>
      </c>
      <c r="G13" s="21" t="inlineStr">
        <is>
          <t>Cleo</t>
        </is>
      </c>
      <c r="H13" s="21" t="inlineStr">
        <is>
          <t>Daily</t>
        </is>
      </c>
      <c r="I13" s="21" t="inlineStr">
        <is>
          <t>High</t>
        </is>
      </c>
      <c r="J13" s="21" t="inlineStr">
        <is>
          <t>Not started</t>
        </is>
      </c>
      <c r="K13" s="22" t="n"/>
      <c r="L13" s="4" t="n"/>
    </row>
    <row r="14" ht="15" customHeight="1">
      <c r="A14" s="21" t="n">
        <v>13</v>
      </c>
      <c r="B14" s="21" t="inlineStr">
        <is>
          <t>Month 1</t>
        </is>
      </c>
      <c r="C14" s="21" t="inlineStr">
        <is>
          <t>W1</t>
        </is>
      </c>
      <c r="D14" s="22" t="n">
        <v>46257</v>
      </c>
      <c r="E14" s="21" t="inlineStr">
        <is>
          <t>Daily routine</t>
        </is>
      </c>
      <c r="F14" s="4" t="inlineStr">
        <is>
          <t>Agree who does which daily slot and put it in the calendar</t>
        </is>
      </c>
      <c r="G14" s="21" t="inlineStr">
        <is>
          <t>Both</t>
        </is>
      </c>
      <c r="H14" s="21" t="inlineStr">
        <is>
          <t>One-off</t>
        </is>
      </c>
      <c r="I14" s="21" t="inlineStr">
        <is>
          <t>High</t>
        </is>
      </c>
      <c r="J14" s="21" t="inlineStr">
        <is>
          <t>Not started</t>
        </is>
      </c>
      <c r="K14" s="22" t="n"/>
      <c r="L14" s="4" t="n"/>
    </row>
    <row r="15" ht="15" customHeight="1">
      <c r="A15" s="21" t="n">
        <v>14</v>
      </c>
      <c r="B15" s="21" t="inlineStr">
        <is>
          <t>Month 1</t>
        </is>
      </c>
      <c r="C15" s="21" t="inlineStr">
        <is>
          <t>W1</t>
        </is>
      </c>
      <c r="D15" s="22" t="n">
        <v>46257</v>
      </c>
      <c r="E15" s="21" t="inlineStr">
        <is>
          <t>Measurement</t>
        </is>
      </c>
      <c r="F15" s="4" t="inlineStr">
        <is>
          <t>Record the baseline: 12 reviews, 5.0 average, GBP calls, views and direction requests</t>
        </is>
      </c>
      <c r="G15" s="21" t="inlineStr">
        <is>
          <t>Agency</t>
        </is>
      </c>
      <c r="H15" s="21" t="inlineStr">
        <is>
          <t>One-off</t>
        </is>
      </c>
      <c r="I15" s="21" t="inlineStr">
        <is>
          <t>High</t>
        </is>
      </c>
      <c r="J15" s="21" t="inlineStr">
        <is>
          <t>Not started</t>
        </is>
      </c>
      <c r="K15" s="22" t="n"/>
      <c r="L15" s="4" t="n"/>
    </row>
    <row r="16" ht="15" customHeight="1">
      <c r="A16" s="21" t="n">
        <v>15</v>
      </c>
      <c r="B16" s="21" t="inlineStr">
        <is>
          <t>Month 1</t>
        </is>
      </c>
      <c r="C16" s="21" t="inlineStr">
        <is>
          <t>W1</t>
        </is>
      </c>
      <c r="D16" s="22" t="n">
        <v>46257</v>
      </c>
      <c r="E16" s="21" t="inlineStr">
        <is>
          <t>Measurement</t>
        </is>
      </c>
      <c r="F16" s="4" t="inlineStr">
        <is>
          <t>Send us your real opening hours for every day of the week</t>
        </is>
      </c>
      <c r="G16" s="21" t="inlineStr">
        <is>
          <t>Cleo</t>
        </is>
      </c>
      <c r="H16" s="21" t="inlineStr">
        <is>
          <t>One-off</t>
        </is>
      </c>
      <c r="I16" s="21" t="inlineStr">
        <is>
          <t>High</t>
        </is>
      </c>
      <c r="J16" s="21" t="inlineStr">
        <is>
          <t>Not started</t>
        </is>
      </c>
      <c r="K16" s="22" t="n"/>
      <c r="L16" s="4" t="n"/>
    </row>
    <row r="17" ht="15" customHeight="1">
      <c r="A17" s="21" t="n">
        <v>16</v>
      </c>
      <c r="B17" s="21" t="inlineStr">
        <is>
          <t>Month 1</t>
        </is>
      </c>
      <c r="C17" s="21" t="inlineStr">
        <is>
          <t>W1</t>
        </is>
      </c>
      <c r="D17" s="22" t="n">
        <v>46257</v>
      </c>
      <c r="E17" s="21" t="inlineStr">
        <is>
          <t>Measurement</t>
        </is>
      </c>
      <c r="F17" s="4" t="inlineStr">
        <is>
          <t>Name the three competitors you want to be measured against</t>
        </is>
      </c>
      <c r="G17" s="21" t="inlineStr">
        <is>
          <t>Cleo</t>
        </is>
      </c>
      <c r="H17" s="21" t="inlineStr">
        <is>
          <t>One-off</t>
        </is>
      </c>
      <c r="I17" s="21" t="inlineStr">
        <is>
          <t>Medium</t>
        </is>
      </c>
      <c r="J17" s="21" t="inlineStr">
        <is>
          <t>Not started</t>
        </is>
      </c>
      <c r="K17" s="22" t="n"/>
      <c r="L17" s="4" t="n"/>
    </row>
    <row r="18" ht="15" customHeight="1">
      <c r="A18" s="21" t="n">
        <v>17</v>
      </c>
      <c r="B18" s="21" t="inlineStr">
        <is>
          <t>Month 1</t>
        </is>
      </c>
      <c r="C18" s="21" t="inlineStr">
        <is>
          <t>W2</t>
        </is>
      </c>
      <c r="D18" s="22" t="n">
        <v>46264</v>
      </c>
      <c r="E18" s="21" t="inlineStr">
        <is>
          <t>Citations</t>
        </is>
      </c>
      <c r="F18" s="4" t="inlineStr">
        <is>
          <t>Correct postal code to L6M 0T9 on Birdeye</t>
        </is>
      </c>
      <c r="G18" s="21" t="inlineStr">
        <is>
          <t>Agency</t>
        </is>
      </c>
      <c r="H18" s="21" t="inlineStr">
        <is>
          <t>One-off</t>
        </is>
      </c>
      <c r="I18" s="21" t="inlineStr">
        <is>
          <t>High</t>
        </is>
      </c>
      <c r="J18" s="21" t="inlineStr">
        <is>
          <t>Not started</t>
        </is>
      </c>
      <c r="K18" s="22" t="n"/>
      <c r="L18" s="4" t="n"/>
    </row>
    <row r="19" ht="15" customHeight="1">
      <c r="A19" s="21" t="n">
        <v>18</v>
      </c>
      <c r="B19" s="21" t="inlineStr">
        <is>
          <t>Month 1</t>
        </is>
      </c>
      <c r="C19" s="21" t="inlineStr">
        <is>
          <t>W2</t>
        </is>
      </c>
      <c r="D19" s="22" t="n">
        <v>46264</v>
      </c>
      <c r="E19" s="21" t="inlineStr">
        <is>
          <t>Citations</t>
        </is>
      </c>
      <c r="F19" s="4" t="inlineStr">
        <is>
          <t>Correct postal code to L6M 0T9 on Facebook</t>
        </is>
      </c>
      <c r="G19" s="21" t="inlineStr">
        <is>
          <t>Agency</t>
        </is>
      </c>
      <c r="H19" s="21" t="inlineStr">
        <is>
          <t>One-off</t>
        </is>
      </c>
      <c r="I19" s="21" t="inlineStr">
        <is>
          <t>High</t>
        </is>
      </c>
      <c r="J19" s="21" t="inlineStr">
        <is>
          <t>Not started</t>
        </is>
      </c>
      <c r="K19" s="22" t="n"/>
      <c r="L19" s="4" t="n"/>
    </row>
    <row r="20" ht="15" customHeight="1">
      <c r="A20" s="21" t="n">
        <v>19</v>
      </c>
      <c r="B20" s="21" t="inlineStr">
        <is>
          <t>Month 1</t>
        </is>
      </c>
      <c r="C20" s="21" t="inlineStr">
        <is>
          <t>W2</t>
        </is>
      </c>
      <c r="D20" s="22" t="n">
        <v>46264</v>
      </c>
      <c r="E20" s="21" t="inlineStr">
        <is>
          <t>Citations</t>
        </is>
      </c>
      <c r="F20" s="4" t="inlineStr">
        <is>
          <t>Correct postal code to L6M 0T9 on Fresha</t>
        </is>
      </c>
      <c r="G20" s="21" t="inlineStr">
        <is>
          <t>Agency</t>
        </is>
      </c>
      <c r="H20" s="21" t="inlineStr">
        <is>
          <t>One-off</t>
        </is>
      </c>
      <c r="I20" s="21" t="inlineStr">
        <is>
          <t>High</t>
        </is>
      </c>
      <c r="J20" s="21" t="inlineStr">
        <is>
          <t>Not started</t>
        </is>
      </c>
      <c r="K20" s="22" t="n"/>
      <c r="L20" s="4" t="n"/>
    </row>
    <row r="21" ht="15" customHeight="1">
      <c r="A21" s="21" t="n">
        <v>20</v>
      </c>
      <c r="B21" s="21" t="inlineStr">
        <is>
          <t>Month 1</t>
        </is>
      </c>
      <c r="C21" s="21" t="inlineStr">
        <is>
          <t>W2</t>
        </is>
      </c>
      <c r="D21" s="22" t="n">
        <v>46264</v>
      </c>
      <c r="E21" s="21" t="inlineStr">
        <is>
          <t>Citations</t>
        </is>
      </c>
      <c r="F21" s="4" t="inlineStr">
        <is>
          <t>Correct postal code to L6M 0T9 on Yelp.ca</t>
        </is>
      </c>
      <c r="G21" s="21" t="inlineStr">
        <is>
          <t>Agency</t>
        </is>
      </c>
      <c r="H21" s="21" t="inlineStr">
        <is>
          <t>One-off</t>
        </is>
      </c>
      <c r="I21" s="21" t="inlineStr">
        <is>
          <t>Medium</t>
        </is>
      </c>
      <c r="J21" s="21" t="inlineStr">
        <is>
          <t>Not started</t>
        </is>
      </c>
      <c r="K21" s="22" t="n"/>
      <c r="L21" s="4" t="n"/>
    </row>
    <row r="22" ht="15" customHeight="1">
      <c r="A22" s="21" t="n">
        <v>21</v>
      </c>
      <c r="B22" s="21" t="inlineStr">
        <is>
          <t>Month 1</t>
        </is>
      </c>
      <c r="C22" s="21" t="inlineStr">
        <is>
          <t>W2</t>
        </is>
      </c>
      <c r="D22" s="22" t="n">
        <v>46264</v>
      </c>
      <c r="E22" s="21" t="inlineStr">
        <is>
          <t>Citations</t>
        </is>
      </c>
      <c r="F22" s="4" t="inlineStr">
        <is>
          <t>Correct postal code to L6M 0T9 on Yellow Pages</t>
        </is>
      </c>
      <c r="G22" s="21" t="inlineStr">
        <is>
          <t>Agency</t>
        </is>
      </c>
      <c r="H22" s="21" t="inlineStr">
        <is>
          <t>One-off</t>
        </is>
      </c>
      <c r="I22" s="21" t="inlineStr">
        <is>
          <t>Medium</t>
        </is>
      </c>
      <c r="J22" s="21" t="inlineStr">
        <is>
          <t>Not started</t>
        </is>
      </c>
      <c r="K22" s="22" t="n"/>
      <c r="L22" s="4" t="n"/>
    </row>
    <row r="23" ht="15" customHeight="1">
      <c r="A23" s="21" t="n">
        <v>22</v>
      </c>
      <c r="B23" s="21" t="inlineStr">
        <is>
          <t>Month 1</t>
        </is>
      </c>
      <c r="C23" s="21" t="inlineStr">
        <is>
          <t>W2</t>
        </is>
      </c>
      <c r="D23" s="22" t="n">
        <v>46264</v>
      </c>
      <c r="E23" s="21" t="inlineStr">
        <is>
          <t>Website</t>
        </is>
      </c>
      <c r="F23" s="4" t="inlineStr">
        <is>
          <t>PLANNING WEEK: agree the sitemap and the full page inventory</t>
        </is>
      </c>
      <c r="G23" s="21" t="inlineStr">
        <is>
          <t>Both</t>
        </is>
      </c>
      <c r="H23" s="21" t="inlineStr">
        <is>
          <t>One-off</t>
        </is>
      </c>
      <c r="I23" s="21" t="inlineStr">
        <is>
          <t>High</t>
        </is>
      </c>
      <c r="J23" s="21" t="inlineStr">
        <is>
          <t>Not started</t>
        </is>
      </c>
      <c r="K23" s="22" t="n"/>
      <c r="L23" s="4" t="n"/>
    </row>
    <row r="24" ht="15" customHeight="1">
      <c r="A24" s="21" t="n">
        <v>23</v>
      </c>
      <c r="B24" s="21" t="inlineStr">
        <is>
          <t>Month 1</t>
        </is>
      </c>
      <c r="C24" s="21" t="inlineStr">
        <is>
          <t>W2</t>
        </is>
      </c>
      <c r="D24" s="22" t="n">
        <v>46264</v>
      </c>
      <c r="E24" s="21" t="inlineStr">
        <is>
          <t>Website</t>
        </is>
      </c>
      <c r="F24" s="4" t="inlineStr">
        <is>
          <t>Build the keyword-to-page map so every page has one job</t>
        </is>
      </c>
      <c r="G24" s="21" t="inlineStr">
        <is>
          <t>Agency</t>
        </is>
      </c>
      <c r="H24" s="21" t="inlineStr">
        <is>
          <t>One-off</t>
        </is>
      </c>
      <c r="I24" s="21" t="inlineStr">
        <is>
          <t>High</t>
        </is>
      </c>
      <c r="J24" s="21" t="inlineStr">
        <is>
          <t>Not started</t>
        </is>
      </c>
      <c r="K24" s="22" t="n"/>
      <c r="L24" s="4" t="n"/>
    </row>
    <row r="25" ht="15" customHeight="1">
      <c r="A25" s="21" t="n">
        <v>24</v>
      </c>
      <c r="B25" s="21" t="inlineStr">
        <is>
          <t>Month 1</t>
        </is>
      </c>
      <c r="C25" s="21" t="inlineStr">
        <is>
          <t>W2</t>
        </is>
      </c>
      <c r="D25" s="22" t="n">
        <v>46264</v>
      </c>
      <c r="E25" s="21" t="inlineStr">
        <is>
          <t>Website</t>
        </is>
      </c>
      <c r="F25" s="4" t="inlineStr">
        <is>
          <t>Wireframe the home page, the contact page and the treatment page template</t>
        </is>
      </c>
      <c r="G25" s="21" t="inlineStr">
        <is>
          <t>Agency</t>
        </is>
      </c>
      <c r="H25" s="21" t="inlineStr">
        <is>
          <t>One-off</t>
        </is>
      </c>
      <c r="I25" s="21" t="inlineStr">
        <is>
          <t>High</t>
        </is>
      </c>
      <c r="J25" s="21" t="inlineStr">
        <is>
          <t>Not started</t>
        </is>
      </c>
      <c r="K25" s="22" t="n"/>
      <c r="L25" s="4" t="n"/>
    </row>
    <row r="26" ht="15" customHeight="1">
      <c r="A26" s="21" t="n">
        <v>25</v>
      </c>
      <c r="B26" s="21" t="inlineStr">
        <is>
          <t>Month 1</t>
        </is>
      </c>
      <c r="C26" s="21" t="inlineStr">
        <is>
          <t>W2</t>
        </is>
      </c>
      <c r="D26" s="22" t="n">
        <v>46264</v>
      </c>
      <c r="E26" s="21" t="inlineStr">
        <is>
          <t>Website</t>
        </is>
      </c>
      <c r="F26" s="4" t="inlineStr">
        <is>
          <t>Pull the brand kit — colours, type, logo — from design/brand</t>
        </is>
      </c>
      <c r="G26" s="21" t="inlineStr">
        <is>
          <t>Agency</t>
        </is>
      </c>
      <c r="H26" s="21" t="inlineStr">
        <is>
          <t>One-off</t>
        </is>
      </c>
      <c r="I26" s="21" t="inlineStr">
        <is>
          <t>Medium</t>
        </is>
      </c>
      <c r="J26" s="21" t="inlineStr">
        <is>
          <t>Not started</t>
        </is>
      </c>
      <c r="K26" s="22" t="n"/>
      <c r="L26" s="4" t="n"/>
    </row>
    <row r="27" ht="15" customHeight="1">
      <c r="A27" s="21" t="n">
        <v>26</v>
      </c>
      <c r="B27" s="21" t="inlineStr">
        <is>
          <t>Month 1</t>
        </is>
      </c>
      <c r="C27" s="21" t="inlineStr">
        <is>
          <t>W2</t>
        </is>
      </c>
      <c r="D27" s="22" t="n">
        <v>46264</v>
      </c>
      <c r="E27" s="21" t="inlineStr">
        <is>
          <t>Website</t>
        </is>
      </c>
      <c r="F27" s="4" t="inlineStr">
        <is>
          <t>Send the domain registrar login for luxurybeautybycleo.ca</t>
        </is>
      </c>
      <c r="G27" s="21" t="inlineStr">
        <is>
          <t>Cleo</t>
        </is>
      </c>
      <c r="H27" s="21" t="inlineStr">
        <is>
          <t>One-off</t>
        </is>
      </c>
      <c r="I27" s="21" t="inlineStr">
        <is>
          <t>High</t>
        </is>
      </c>
      <c r="J27" s="21" t="inlineStr">
        <is>
          <t>Not started</t>
        </is>
      </c>
      <c r="K27" s="22" t="n"/>
      <c r="L27" s="4" t="n"/>
    </row>
    <row r="28" ht="15" customHeight="1">
      <c r="A28" s="21" t="n">
        <v>27</v>
      </c>
      <c r="B28" s="21" t="inlineStr">
        <is>
          <t>Month 1</t>
        </is>
      </c>
      <c r="C28" s="21" t="inlineStr">
        <is>
          <t>W2</t>
        </is>
      </c>
      <c r="D28" s="22" t="n">
        <v>46264</v>
      </c>
      <c r="E28" s="21" t="inlineStr">
        <is>
          <t>Website</t>
        </is>
      </c>
      <c r="F28" s="4" t="inlineStr">
        <is>
          <t>Send the treatment list with current pricing</t>
        </is>
      </c>
      <c r="G28" s="21" t="inlineStr">
        <is>
          <t>Cleo</t>
        </is>
      </c>
      <c r="H28" s="21" t="inlineStr">
        <is>
          <t>One-off</t>
        </is>
      </c>
      <c r="I28" s="21" t="inlineStr">
        <is>
          <t>High</t>
        </is>
      </c>
      <c r="J28" s="21" t="inlineStr">
        <is>
          <t>Not started</t>
        </is>
      </c>
      <c r="K28" s="22" t="n"/>
      <c r="L28" s="4" t="n"/>
    </row>
    <row r="29" ht="15" customHeight="1">
      <c r="A29" s="21" t="n">
        <v>28</v>
      </c>
      <c r="B29" s="21" t="inlineStr">
        <is>
          <t>Month 1</t>
        </is>
      </c>
      <c r="C29" s="21" t="inlineStr">
        <is>
          <t>W2</t>
        </is>
      </c>
      <c r="D29" s="22" t="n">
        <v>46264</v>
      </c>
      <c r="E29" s="21" t="inlineStr">
        <is>
          <t>Website</t>
        </is>
      </c>
      <c r="F29" s="4" t="inlineStr">
        <is>
          <t>DESIGN REVIEW with Cleo. Sign-off due Friday 28 August</t>
        </is>
      </c>
      <c r="G29" s="21" t="inlineStr">
        <is>
          <t>Both</t>
        </is>
      </c>
      <c r="H29" s="21" t="inlineStr">
        <is>
          <t>One-off</t>
        </is>
      </c>
      <c r="I29" s="21" t="inlineStr">
        <is>
          <t>High</t>
        </is>
      </c>
      <c r="J29" s="21" t="inlineStr">
        <is>
          <t>Not started</t>
        </is>
      </c>
      <c r="K29" s="22" t="n"/>
      <c r="L29" s="4" t="n"/>
    </row>
    <row r="30" ht="15" customHeight="1">
      <c r="A30" s="21" t="n">
        <v>29</v>
      </c>
      <c r="B30" s="21" t="inlineStr">
        <is>
          <t>Month 1</t>
        </is>
      </c>
      <c r="C30" s="21" t="inlineStr">
        <is>
          <t>W2</t>
        </is>
      </c>
      <c r="D30" s="22" t="n">
        <v>46264</v>
      </c>
      <c r="E30" s="21" t="inlineStr">
        <is>
          <t>Instagram</t>
        </is>
      </c>
      <c r="F30" s="4" t="inlineStr">
        <is>
          <t>Rewrite the Instagram name field to read 'Cleo | Nurse Injector Oakville'</t>
        </is>
      </c>
      <c r="G30" s="21" t="inlineStr">
        <is>
          <t>Agency</t>
        </is>
      </c>
      <c r="H30" s="21" t="inlineStr">
        <is>
          <t>One-off</t>
        </is>
      </c>
      <c r="I30" s="21" t="inlineStr">
        <is>
          <t>High</t>
        </is>
      </c>
      <c r="J30" s="21" t="inlineStr">
        <is>
          <t>Not started</t>
        </is>
      </c>
      <c r="K30" s="22" t="n"/>
      <c r="L30" s="4" t="n"/>
    </row>
    <row r="31" ht="15" customHeight="1">
      <c r="A31" s="21" t="n">
        <v>30</v>
      </c>
      <c r="B31" s="21" t="inlineStr">
        <is>
          <t>Month 1</t>
        </is>
      </c>
      <c r="C31" s="21" t="inlineStr">
        <is>
          <t>W2</t>
        </is>
      </c>
      <c r="D31" s="22" t="n">
        <v>46264</v>
      </c>
      <c r="E31" s="21" t="inlineStr">
        <is>
          <t>Instagram</t>
        </is>
      </c>
      <c r="F31" s="4" t="inlineStr">
        <is>
          <t>Rewrite the Instagram bio to name the town and the treatments</t>
        </is>
      </c>
      <c r="G31" s="21" t="inlineStr">
        <is>
          <t>Agency</t>
        </is>
      </c>
      <c r="H31" s="21" t="inlineStr">
        <is>
          <t>One-off</t>
        </is>
      </c>
      <c r="I31" s="21" t="inlineStr">
        <is>
          <t>High</t>
        </is>
      </c>
      <c r="J31" s="21" t="inlineStr">
        <is>
          <t>Not started</t>
        </is>
      </c>
      <c r="K31" s="22" t="n"/>
      <c r="L31" s="4" t="n"/>
    </row>
    <row r="32" ht="15" customHeight="1">
      <c r="A32" s="21" t="n">
        <v>31</v>
      </c>
      <c r="B32" s="21" t="inlineStr">
        <is>
          <t>Month 1</t>
        </is>
      </c>
      <c r="C32" s="21" t="inlineStr">
        <is>
          <t>W2</t>
        </is>
      </c>
      <c r="D32" s="22" t="n">
        <v>46264</v>
      </c>
      <c r="E32" s="21" t="inlineStr">
        <is>
          <t>Instagram</t>
        </is>
      </c>
      <c r="F32" s="4" t="inlineStr">
        <is>
          <t>Fix the link in bio so it no longer points at the dead domain</t>
        </is>
      </c>
      <c r="G32" s="21" t="inlineStr">
        <is>
          <t>Agency</t>
        </is>
      </c>
      <c r="H32" s="21" t="inlineStr">
        <is>
          <t>One-off</t>
        </is>
      </c>
      <c r="I32" s="21" t="inlineStr">
        <is>
          <t>High</t>
        </is>
      </c>
      <c r="J32" s="21" t="inlineStr">
        <is>
          <t>Not started</t>
        </is>
      </c>
      <c r="K32" s="22" t="n"/>
      <c r="L32" s="4" t="n"/>
    </row>
    <row r="33" ht="15" customHeight="1">
      <c r="A33" s="21" t="n">
        <v>32</v>
      </c>
      <c r="B33" s="21" t="inlineStr">
        <is>
          <t>Month 1</t>
        </is>
      </c>
      <c r="C33" s="21" t="inlineStr">
        <is>
          <t>W2</t>
        </is>
      </c>
      <c r="D33" s="22" t="n">
        <v>46264</v>
      </c>
      <c r="E33" s="21" t="inlineStr">
        <is>
          <t>Instagram</t>
        </is>
      </c>
      <c r="F33" s="4" t="inlineStr">
        <is>
          <t>Start location-tagging Oakville on every post</t>
        </is>
      </c>
      <c r="G33" s="21" t="inlineStr">
        <is>
          <t>Cleo</t>
        </is>
      </c>
      <c r="H33" s="21" t="inlineStr">
        <is>
          <t>Ongoing</t>
        </is>
      </c>
      <c r="I33" s="21" t="inlineStr">
        <is>
          <t>High</t>
        </is>
      </c>
      <c r="J33" s="21" t="inlineStr">
        <is>
          <t>Not started</t>
        </is>
      </c>
      <c r="K33" s="22" t="n"/>
      <c r="L33" s="4" t="n"/>
    </row>
    <row r="34" ht="15" customHeight="1">
      <c r="A34" s="21" t="n">
        <v>33</v>
      </c>
      <c r="B34" s="21" t="inlineStr">
        <is>
          <t>Month 1</t>
        </is>
      </c>
      <c r="C34" s="21" t="inlineStr">
        <is>
          <t>W2</t>
        </is>
      </c>
      <c r="D34" s="22" t="n">
        <v>46264</v>
      </c>
      <c r="E34" s="21" t="inlineStr">
        <is>
          <t>Reviews</t>
        </is>
      </c>
      <c r="F34" s="4" t="inlineStr">
        <is>
          <t>Write the WhatsApp review-ask message</t>
        </is>
      </c>
      <c r="G34" s="21" t="inlineStr">
        <is>
          <t>Agency</t>
        </is>
      </c>
      <c r="H34" s="21" t="inlineStr">
        <is>
          <t>One-off</t>
        </is>
      </c>
      <c r="I34" s="21" t="inlineStr">
        <is>
          <t>High</t>
        </is>
      </c>
      <c r="J34" s="21" t="inlineStr">
        <is>
          <t>Not started</t>
        </is>
      </c>
      <c r="K34" s="22" t="n"/>
      <c r="L34" s="4" t="n"/>
    </row>
    <row r="35" ht="15" customHeight="1">
      <c r="A35" s="21" t="n">
        <v>34</v>
      </c>
      <c r="B35" s="21" t="inlineStr">
        <is>
          <t>Month 1</t>
        </is>
      </c>
      <c r="C35" s="21" t="inlineStr">
        <is>
          <t>W2</t>
        </is>
      </c>
      <c r="D35" s="22" t="n">
        <v>46264</v>
      </c>
      <c r="E35" s="21" t="inlineStr">
        <is>
          <t>Reviews</t>
        </is>
      </c>
      <c r="F35" s="4" t="inlineStr">
        <is>
          <t>Reply to all 12 existing reviews</t>
        </is>
      </c>
      <c r="G35" s="21" t="inlineStr">
        <is>
          <t>Cleo</t>
        </is>
      </c>
      <c r="H35" s="21" t="inlineStr">
        <is>
          <t>One-off</t>
        </is>
      </c>
      <c r="I35" s="21" t="inlineStr">
        <is>
          <t>Medium</t>
        </is>
      </c>
      <c r="J35" s="21" t="inlineStr">
        <is>
          <t>Not started</t>
        </is>
      </c>
      <c r="K35" s="22" t="n"/>
      <c r="L35" s="4" t="n"/>
    </row>
    <row r="36" ht="15" customHeight="1">
      <c r="A36" s="21" t="n">
        <v>35</v>
      </c>
      <c r="B36" s="21" t="inlineStr">
        <is>
          <t>Month 1</t>
        </is>
      </c>
      <c r="C36" s="21" t="inlineStr">
        <is>
          <t>W3</t>
        </is>
      </c>
      <c r="D36" s="22" t="n">
        <v>46271</v>
      </c>
      <c r="E36" s="21" t="inlineStr">
        <is>
          <t>Website</t>
        </is>
      </c>
      <c r="F36" s="4" t="inlineStr">
        <is>
          <t>DESIGN SIGN-OFF DUE Monday 31 August</t>
        </is>
      </c>
      <c r="G36" s="21" t="inlineStr">
        <is>
          <t>Cleo</t>
        </is>
      </c>
      <c r="H36" s="21" t="inlineStr">
        <is>
          <t>One-off</t>
        </is>
      </c>
      <c r="I36" s="21" t="inlineStr">
        <is>
          <t>High</t>
        </is>
      </c>
      <c r="J36" s="21" t="inlineStr">
        <is>
          <t>Not started</t>
        </is>
      </c>
      <c r="K36" s="22" t="n"/>
      <c r="L36" s="4" t="n"/>
    </row>
    <row r="37" ht="15" customHeight="1">
      <c r="A37" s="21" t="n">
        <v>36</v>
      </c>
      <c r="B37" s="21" t="inlineStr">
        <is>
          <t>Month 1</t>
        </is>
      </c>
      <c r="C37" s="21" t="inlineStr">
        <is>
          <t>W3</t>
        </is>
      </c>
      <c r="D37" s="22" t="n">
        <v>46271</v>
      </c>
      <c r="E37" s="21" t="inlineStr">
        <is>
          <t>Website</t>
        </is>
      </c>
      <c r="F37" s="4" t="inlineStr">
        <is>
          <t>BUILD STARTS 1 SEPTEMBER: hosting sorted, DNS pointed, platform set up</t>
        </is>
      </c>
      <c r="G37" s="21" t="inlineStr">
        <is>
          <t>Agency</t>
        </is>
      </c>
      <c r="H37" s="21" t="inlineStr">
        <is>
          <t>One-off</t>
        </is>
      </c>
      <c r="I37" s="21" t="inlineStr">
        <is>
          <t>High</t>
        </is>
      </c>
      <c r="J37" s="21" t="inlineStr">
        <is>
          <t>Not started</t>
        </is>
      </c>
      <c r="K37" s="22" t="n"/>
      <c r="L37" s="4" t="n"/>
    </row>
    <row r="38" ht="15" customHeight="1">
      <c r="A38" s="21" t="n">
        <v>37</v>
      </c>
      <c r="B38" s="21" t="inlineStr">
        <is>
          <t>Month 1</t>
        </is>
      </c>
      <c r="C38" s="21" t="inlineStr">
        <is>
          <t>W3</t>
        </is>
      </c>
      <c r="D38" s="22" t="n">
        <v>46271</v>
      </c>
      <c r="E38" s="21" t="inlineStr">
        <is>
          <t>Website</t>
        </is>
      </c>
      <c r="F38" s="4" t="inlineStr">
        <is>
          <t>Scaffold the page structure agreed in planning</t>
        </is>
      </c>
      <c r="G38" s="21" t="inlineStr">
        <is>
          <t>Agency</t>
        </is>
      </c>
      <c r="H38" s="21" t="inlineStr">
        <is>
          <t>One-off</t>
        </is>
      </c>
      <c r="I38" s="21" t="inlineStr">
        <is>
          <t>High</t>
        </is>
      </c>
      <c r="J38" s="21" t="inlineStr">
        <is>
          <t>Not started</t>
        </is>
      </c>
      <c r="K38" s="22" t="n"/>
      <c r="L38" s="4" t="n"/>
    </row>
    <row r="39" ht="15" customHeight="1">
      <c r="A39" s="21" t="n">
        <v>38</v>
      </c>
      <c r="B39" s="21" t="inlineStr">
        <is>
          <t>Month 1</t>
        </is>
      </c>
      <c r="C39" s="21" t="inlineStr">
        <is>
          <t>W3</t>
        </is>
      </c>
      <c r="D39" s="22" t="n">
        <v>46271</v>
      </c>
      <c r="E39" s="21" t="inlineStr">
        <is>
          <t>Website</t>
        </is>
      </c>
      <c r="F39" s="4" t="inlineStr">
        <is>
          <t>Write the home page copy and get it approved</t>
        </is>
      </c>
      <c r="G39" s="21" t="inlineStr">
        <is>
          <t>Both</t>
        </is>
      </c>
      <c r="H39" s="21" t="inlineStr">
        <is>
          <t>One-off</t>
        </is>
      </c>
      <c r="I39" s="21" t="inlineStr">
        <is>
          <t>High</t>
        </is>
      </c>
      <c r="J39" s="21" t="inlineStr">
        <is>
          <t>Not started</t>
        </is>
      </c>
      <c r="K39" s="22" t="n"/>
      <c r="L39" s="4" t="n"/>
    </row>
    <row r="40" ht="15" customHeight="1">
      <c r="A40" s="21" t="n">
        <v>39</v>
      </c>
      <c r="B40" s="21" t="inlineStr">
        <is>
          <t>Month 1</t>
        </is>
      </c>
      <c r="C40" s="21" t="inlineStr">
        <is>
          <t>W3</t>
        </is>
      </c>
      <c r="D40" s="22" t="n">
        <v>46271</v>
      </c>
      <c r="E40" s="21" t="inlineStr">
        <is>
          <t>Website</t>
        </is>
      </c>
      <c r="F40" s="4" t="inlineStr">
        <is>
          <t>Write the contact page copy with the corrected NAP and hours</t>
        </is>
      </c>
      <c r="G40" s="21" t="inlineStr">
        <is>
          <t>Agency</t>
        </is>
      </c>
      <c r="H40" s="21" t="inlineStr">
        <is>
          <t>One-off</t>
        </is>
      </c>
      <c r="I40" s="21" t="inlineStr">
        <is>
          <t>High</t>
        </is>
      </c>
      <c r="J40" s="21" t="inlineStr">
        <is>
          <t>Not started</t>
        </is>
      </c>
      <c r="K40" s="22" t="n"/>
      <c r="L40" s="4" t="n"/>
    </row>
    <row r="41" ht="15" customHeight="1">
      <c r="A41" s="21" t="n">
        <v>40</v>
      </c>
      <c r="B41" s="21" t="inlineStr">
        <is>
          <t>Month 1</t>
        </is>
      </c>
      <c r="C41" s="21" t="inlineStr">
        <is>
          <t>W3</t>
        </is>
      </c>
      <c r="D41" s="22" t="n">
        <v>46271</v>
      </c>
      <c r="E41" s="21" t="inlineStr">
        <is>
          <t>Citations</t>
        </is>
      </c>
      <c r="F41" s="4" t="inlineStr">
        <is>
          <t>Correct postal code to L6M 0T9 on Apple Maps</t>
        </is>
      </c>
      <c r="G41" s="21" t="inlineStr">
        <is>
          <t>Agency</t>
        </is>
      </c>
      <c r="H41" s="21" t="inlineStr">
        <is>
          <t>One-off</t>
        </is>
      </c>
      <c r="I41" s="21" t="inlineStr">
        <is>
          <t>Medium</t>
        </is>
      </c>
      <c r="J41" s="21" t="inlineStr">
        <is>
          <t>Not started</t>
        </is>
      </c>
      <c r="K41" s="22" t="n"/>
      <c r="L41" s="4" t="n"/>
    </row>
    <row r="42" ht="15" customHeight="1">
      <c r="A42" s="21" t="n">
        <v>41</v>
      </c>
      <c r="B42" s="21" t="inlineStr">
        <is>
          <t>Month 1</t>
        </is>
      </c>
      <c r="C42" s="21" t="inlineStr">
        <is>
          <t>W3</t>
        </is>
      </c>
      <c r="D42" s="22" t="n">
        <v>46271</v>
      </c>
      <c r="E42" s="21" t="inlineStr">
        <is>
          <t>Citations</t>
        </is>
      </c>
      <c r="F42" s="4" t="inlineStr">
        <is>
          <t>Correct postal code to L6M 0T9 on Bing Places</t>
        </is>
      </c>
      <c r="G42" s="21" t="inlineStr">
        <is>
          <t>Agency</t>
        </is>
      </c>
      <c r="H42" s="21" t="inlineStr">
        <is>
          <t>One-off</t>
        </is>
      </c>
      <c r="I42" s="21" t="inlineStr">
        <is>
          <t>Medium</t>
        </is>
      </c>
      <c r="J42" s="21" t="inlineStr">
        <is>
          <t>Not started</t>
        </is>
      </c>
      <c r="K42" s="22" t="n"/>
      <c r="L42" s="4" t="n"/>
    </row>
    <row r="43" ht="15" customHeight="1">
      <c r="A43" s="21" t="n">
        <v>42</v>
      </c>
      <c r="B43" s="21" t="inlineStr">
        <is>
          <t>Month 1</t>
        </is>
      </c>
      <c r="C43" s="21" t="inlineStr">
        <is>
          <t>W3</t>
        </is>
      </c>
      <c r="D43" s="22" t="n">
        <v>46271</v>
      </c>
      <c r="E43" s="21" t="inlineStr">
        <is>
          <t>Citations</t>
        </is>
      </c>
      <c r="F43" s="4" t="inlineStr">
        <is>
          <t>Correct postal code to L6M 0T9 on RateMDs</t>
        </is>
      </c>
      <c r="G43" s="21" t="inlineStr">
        <is>
          <t>Agency</t>
        </is>
      </c>
      <c r="H43" s="21" t="inlineStr">
        <is>
          <t>One-off</t>
        </is>
      </c>
      <c r="I43" s="21" t="inlineStr">
        <is>
          <t>Low</t>
        </is>
      </c>
      <c r="J43" s="21" t="inlineStr">
        <is>
          <t>Not started</t>
        </is>
      </c>
      <c r="K43" s="22" t="n"/>
      <c r="L43" s="4" t="n"/>
    </row>
    <row r="44" ht="15" customHeight="1">
      <c r="A44" s="21" t="n">
        <v>43</v>
      </c>
      <c r="B44" s="21" t="inlineStr">
        <is>
          <t>Month 1</t>
        </is>
      </c>
      <c r="C44" s="21" t="inlineStr">
        <is>
          <t>W3</t>
        </is>
      </c>
      <c r="D44" s="22" t="n">
        <v>46271</v>
      </c>
      <c r="E44" s="21" t="inlineStr">
        <is>
          <t>Google profile</t>
        </is>
      </c>
      <c r="F44" s="4" t="inlineStr">
        <is>
          <t>Fill out the GBP services list with a plain description of each treatment</t>
        </is>
      </c>
      <c r="G44" s="21" t="inlineStr">
        <is>
          <t>Agency</t>
        </is>
      </c>
      <c r="H44" s="21" t="inlineStr">
        <is>
          <t>One-off</t>
        </is>
      </c>
      <c r="I44" s="21" t="inlineStr">
        <is>
          <t>Medium</t>
        </is>
      </c>
      <c r="J44" s="21" t="inlineStr">
        <is>
          <t>Not started</t>
        </is>
      </c>
      <c r="K44" s="22" t="n"/>
      <c r="L44" s="4" t="n"/>
    </row>
    <row r="45" ht="15" customHeight="1">
      <c r="A45" s="21" t="n">
        <v>44</v>
      </c>
      <c r="B45" s="21" t="inlineStr">
        <is>
          <t>Month 1</t>
        </is>
      </c>
      <c r="C45" s="21" t="inlineStr">
        <is>
          <t>W3</t>
        </is>
      </c>
      <c r="D45" s="22" t="n">
        <v>46271</v>
      </c>
      <c r="E45" s="21" t="inlineStr">
        <is>
          <t>Google profile</t>
        </is>
      </c>
      <c r="F45" s="4" t="inlineStr">
        <is>
          <t>Add a working booking link to GBP</t>
        </is>
      </c>
      <c r="G45" s="21" t="inlineStr">
        <is>
          <t>Agency</t>
        </is>
      </c>
      <c r="H45" s="21" t="inlineStr">
        <is>
          <t>One-off</t>
        </is>
      </c>
      <c r="I45" s="21" t="inlineStr">
        <is>
          <t>High</t>
        </is>
      </c>
      <c r="J45" s="21" t="inlineStr">
        <is>
          <t>Not started</t>
        </is>
      </c>
      <c r="K45" s="22" t="n"/>
      <c r="L45" s="4" t="n"/>
    </row>
    <row r="46" ht="15" customHeight="1">
      <c r="A46" s="21" t="n">
        <v>45</v>
      </c>
      <c r="B46" s="21" t="inlineStr">
        <is>
          <t>Month 1</t>
        </is>
      </c>
      <c r="C46" s="21" t="inlineStr">
        <is>
          <t>W3</t>
        </is>
      </c>
      <c r="D46" s="22" t="n">
        <v>46271</v>
      </c>
      <c r="E46" s="21" t="inlineStr">
        <is>
          <t>Reviews</t>
        </is>
      </c>
      <c r="F46" s="4" t="inlineStr">
        <is>
          <t>Start sending the review ask within 24 hours of every appointment</t>
        </is>
      </c>
      <c r="G46" s="21" t="inlineStr">
        <is>
          <t>Cleo</t>
        </is>
      </c>
      <c r="H46" s="21" t="inlineStr">
        <is>
          <t>Daily</t>
        </is>
      </c>
      <c r="I46" s="21" t="inlineStr">
        <is>
          <t>High</t>
        </is>
      </c>
      <c r="J46" s="21" t="inlineStr">
        <is>
          <t>Not started</t>
        </is>
      </c>
      <c r="K46" s="22" t="n"/>
      <c r="L46" s="4" t="n"/>
    </row>
    <row r="47" ht="15" customHeight="1">
      <c r="A47" s="21" t="n">
        <v>46</v>
      </c>
      <c r="B47" s="21" t="inlineStr">
        <is>
          <t>Month 1</t>
        </is>
      </c>
      <c r="C47" s="21" t="inlineStr">
        <is>
          <t>W3</t>
        </is>
      </c>
      <c r="D47" s="22" t="n">
        <v>46271</v>
      </c>
      <c r="E47" s="21" t="inlineStr">
        <is>
          <t>Compliance</t>
        </is>
      </c>
      <c r="F47" s="4" t="inlineStr">
        <is>
          <t>Confirm the signed before-and-after consent form is on file</t>
        </is>
      </c>
      <c r="G47" s="21" t="inlineStr">
        <is>
          <t>Cleo</t>
        </is>
      </c>
      <c r="H47" s="21" t="inlineStr">
        <is>
          <t>One-off</t>
        </is>
      </c>
      <c r="I47" s="21" t="inlineStr">
        <is>
          <t>High</t>
        </is>
      </c>
      <c r="J47" s="21" t="inlineStr">
        <is>
          <t>Not started</t>
        </is>
      </c>
      <c r="K47" s="22" t="n"/>
      <c r="L47" s="4" t="n"/>
    </row>
    <row r="48" ht="15" customHeight="1">
      <c r="A48" s="21" t="n">
        <v>47</v>
      </c>
      <c r="B48" s="21" t="inlineStr">
        <is>
          <t>Month 1</t>
        </is>
      </c>
      <c r="C48" s="21" t="inlineStr">
        <is>
          <t>W4</t>
        </is>
      </c>
      <c r="D48" s="22" t="n">
        <v>46278</v>
      </c>
      <c r="E48" s="21" t="inlineStr">
        <is>
          <t>Website</t>
        </is>
      </c>
      <c r="F48" s="4" t="inlineStr">
        <is>
          <t>Home and contact pages complete in staging: NAP, hours, booking link, schema</t>
        </is>
      </c>
      <c r="G48" s="21" t="inlineStr">
        <is>
          <t>Agency</t>
        </is>
      </c>
      <c r="H48" s="21" t="inlineStr">
        <is>
          <t>One-off</t>
        </is>
      </c>
      <c r="I48" s="21" t="inlineStr">
        <is>
          <t>High</t>
        </is>
      </c>
      <c r="J48" s="21" t="inlineStr">
        <is>
          <t>Not started</t>
        </is>
      </c>
      <c r="K48" s="22" t="n"/>
      <c r="L48" s="4" t="n"/>
    </row>
    <row r="49" ht="15" customHeight="1">
      <c r="A49" s="21" t="n">
        <v>48</v>
      </c>
      <c r="B49" s="21" t="inlineStr">
        <is>
          <t>Month 1</t>
        </is>
      </c>
      <c r="C49" s="21" t="inlineStr">
        <is>
          <t>W4</t>
        </is>
      </c>
      <c r="D49" s="22" t="n">
        <v>46278</v>
      </c>
      <c r="E49" s="21" t="inlineStr">
        <is>
          <t>Website</t>
        </is>
      </c>
      <c r="F49" s="4" t="inlineStr">
        <is>
          <t>LocalBusiness and Service schema on every page built so far</t>
        </is>
      </c>
      <c r="G49" s="21" t="inlineStr">
        <is>
          <t>Agency</t>
        </is>
      </c>
      <c r="H49" s="21" t="inlineStr">
        <is>
          <t>One-off</t>
        </is>
      </c>
      <c r="I49" s="21" t="inlineStr">
        <is>
          <t>High</t>
        </is>
      </c>
      <c r="J49" s="21" t="inlineStr">
        <is>
          <t>Not started</t>
        </is>
      </c>
      <c r="K49" s="22" t="n"/>
      <c r="L49" s="4" t="n"/>
    </row>
    <row r="50" ht="15" customHeight="1">
      <c r="A50" s="21" t="n">
        <v>49</v>
      </c>
      <c r="B50" s="21" t="inlineStr">
        <is>
          <t>Month 1</t>
        </is>
      </c>
      <c r="C50" s="21" t="inlineStr">
        <is>
          <t>W4</t>
        </is>
      </c>
      <c r="D50" s="22" t="n">
        <v>46278</v>
      </c>
      <c r="E50" s="21" t="inlineStr">
        <is>
          <t>Website</t>
        </is>
      </c>
      <c r="F50" s="4" t="inlineStr">
        <is>
          <t>Title tags and meta descriptions for the home and contact pages</t>
        </is>
      </c>
      <c r="G50" s="21" t="inlineStr">
        <is>
          <t>Agency</t>
        </is>
      </c>
      <c r="H50" s="21" t="inlineStr">
        <is>
          <t>One-off</t>
        </is>
      </c>
      <c r="I50" s="21" t="inlineStr">
        <is>
          <t>High</t>
        </is>
      </c>
      <c r="J50" s="21" t="inlineStr">
        <is>
          <t>Not started</t>
        </is>
      </c>
      <c r="K50" s="22" t="n"/>
      <c r="L50" s="4" t="n"/>
    </row>
    <row r="51" ht="15" customHeight="1">
      <c r="A51" s="21" t="n">
        <v>50</v>
      </c>
      <c r="B51" s="21" t="inlineStr">
        <is>
          <t>Month 1</t>
        </is>
      </c>
      <c r="C51" s="21" t="inlineStr">
        <is>
          <t>W4</t>
        </is>
      </c>
      <c r="D51" s="22" t="n">
        <v>46278</v>
      </c>
      <c r="E51" s="21" t="inlineStr">
        <is>
          <t>Citations</t>
        </is>
      </c>
      <c r="F51" s="4" t="inlineStr">
        <is>
          <t>Correct postal code to L6M 0T9 on the Canadian chamber directories</t>
        </is>
      </c>
      <c r="G51" s="21" t="inlineStr">
        <is>
          <t>Agency</t>
        </is>
      </c>
      <c r="H51" s="21" t="inlineStr">
        <is>
          <t>One-off</t>
        </is>
      </c>
      <c r="I51" s="21" t="inlineStr">
        <is>
          <t>Low</t>
        </is>
      </c>
      <c r="J51" s="21" t="inlineStr">
        <is>
          <t>Not started</t>
        </is>
      </c>
      <c r="K51" s="22" t="n"/>
      <c r="L51" s="4" t="n"/>
    </row>
    <row r="52" ht="15" customHeight="1">
      <c r="A52" s="21" t="n">
        <v>51</v>
      </c>
      <c r="B52" s="21" t="inlineStr">
        <is>
          <t>Month 1</t>
        </is>
      </c>
      <c r="C52" s="21" t="inlineStr">
        <is>
          <t>W4</t>
        </is>
      </c>
      <c r="D52" s="22" t="n">
        <v>46278</v>
      </c>
      <c r="E52" s="21" t="inlineStr">
        <is>
          <t>Citations</t>
        </is>
      </c>
      <c r="F52" s="4" t="inlineStr">
        <is>
          <t>Claim any listing about the practice that is not under your control</t>
        </is>
      </c>
      <c r="G52" s="21" t="inlineStr">
        <is>
          <t>Agency</t>
        </is>
      </c>
      <c r="H52" s="21" t="inlineStr">
        <is>
          <t>One-off</t>
        </is>
      </c>
      <c r="I52" s="21" t="inlineStr">
        <is>
          <t>Medium</t>
        </is>
      </c>
      <c r="J52" s="21" t="inlineStr">
        <is>
          <t>Not started</t>
        </is>
      </c>
      <c r="K52" s="22" t="n"/>
      <c r="L52" s="4" t="n"/>
    </row>
    <row r="53" ht="15" customHeight="1">
      <c r="A53" s="21" t="n">
        <v>52</v>
      </c>
      <c r="B53" s="21" t="inlineStr">
        <is>
          <t>Month 1</t>
        </is>
      </c>
      <c r="C53" s="21" t="inlineStr">
        <is>
          <t>W4</t>
        </is>
      </c>
      <c r="D53" s="22" t="n">
        <v>46278</v>
      </c>
      <c r="E53" s="21" t="inlineStr">
        <is>
          <t>Citations</t>
        </is>
      </c>
      <c r="F53" s="4" t="inlineStr">
        <is>
          <t>Verify every corrected listing now shows identical name, address and phone</t>
        </is>
      </c>
      <c r="G53" s="21" t="inlineStr">
        <is>
          <t>Agency</t>
        </is>
      </c>
      <c r="H53" s="21" t="inlineStr">
        <is>
          <t>One-off</t>
        </is>
      </c>
      <c r="I53" s="21" t="inlineStr">
        <is>
          <t>High</t>
        </is>
      </c>
      <c r="J53" s="21" t="inlineStr">
        <is>
          <t>Not started</t>
        </is>
      </c>
      <c r="K53" s="22" t="n"/>
      <c r="L53" s="4" t="n"/>
    </row>
    <row r="54" ht="15" customHeight="1">
      <c r="A54" s="21" t="n">
        <v>53</v>
      </c>
      <c r="B54" s="21" t="inlineStr">
        <is>
          <t>Month 1</t>
        </is>
      </c>
      <c r="C54" s="21" t="inlineStr">
        <is>
          <t>W4</t>
        </is>
      </c>
      <c r="D54" s="22" t="n">
        <v>46278</v>
      </c>
      <c r="E54" s="21" t="inlineStr">
        <is>
          <t>Google profile</t>
        </is>
      </c>
      <c r="F54" s="4" t="inlineStr">
        <is>
          <t>Seed the GBP questions section with real questions and answers</t>
        </is>
      </c>
      <c r="G54" s="21" t="inlineStr">
        <is>
          <t>Both</t>
        </is>
      </c>
      <c r="H54" s="21" t="inlineStr">
        <is>
          <t>One-off</t>
        </is>
      </c>
      <c r="I54" s="21" t="inlineStr">
        <is>
          <t>Medium</t>
        </is>
      </c>
      <c r="J54" s="21" t="inlineStr">
        <is>
          <t>Not started</t>
        </is>
      </c>
      <c r="K54" s="22" t="n"/>
      <c r="L54" s="4" t="n"/>
    </row>
    <row r="55" ht="15" customHeight="1">
      <c r="A55" s="21" t="n">
        <v>54</v>
      </c>
      <c r="B55" s="21" t="inlineStr">
        <is>
          <t>Month 1</t>
        </is>
      </c>
      <c r="C55" s="21" t="inlineStr">
        <is>
          <t>W4</t>
        </is>
      </c>
      <c r="D55" s="22" t="n">
        <v>46278</v>
      </c>
      <c r="E55" s="21" t="inlineStr">
        <is>
          <t>Google profile</t>
        </is>
      </c>
      <c r="F55" s="4" t="inlineStr">
        <is>
          <t>Post to GBP every weekday from the content calendar</t>
        </is>
      </c>
      <c r="G55" s="21" t="inlineStr">
        <is>
          <t>Cleo</t>
        </is>
      </c>
      <c r="H55" s="21" t="inlineStr">
        <is>
          <t>Daily</t>
        </is>
      </c>
      <c r="I55" s="21" t="inlineStr">
        <is>
          <t>High</t>
        </is>
      </c>
      <c r="J55" s="21" t="inlineStr">
        <is>
          <t>Not started</t>
        </is>
      </c>
      <c r="K55" s="22" t="n"/>
      <c r="L55" s="4" t="n"/>
    </row>
    <row r="56" ht="15" customHeight="1">
      <c r="A56" s="21" t="n">
        <v>55</v>
      </c>
      <c r="B56" s="21" t="inlineStr">
        <is>
          <t>Month 1</t>
        </is>
      </c>
      <c r="C56" s="21" t="inlineStr">
        <is>
          <t>W4</t>
        </is>
      </c>
      <c r="D56" s="22" t="n">
        <v>46278</v>
      </c>
      <c r="E56" s="21" t="inlineStr">
        <is>
          <t>Compliance</t>
        </is>
      </c>
      <c r="F56" s="4" t="inlineStr">
        <is>
          <t>Compliance pass on the 21 briefs naming Botox or Dysport in client-facing copy</t>
        </is>
      </c>
      <c r="G56" s="21" t="inlineStr">
        <is>
          <t>Agency</t>
        </is>
      </c>
      <c r="H56" s="21" t="inlineStr">
        <is>
          <t>One-off</t>
        </is>
      </c>
      <c r="I56" s="21" t="inlineStr">
        <is>
          <t>High</t>
        </is>
      </c>
      <c r="J56" s="21" t="inlineStr">
        <is>
          <t>Not started</t>
        </is>
      </c>
      <c r="K56" s="22" t="n"/>
      <c r="L56" s="4" t="n"/>
    </row>
    <row r="57" ht="15" customHeight="1">
      <c r="A57" s="21" t="n">
        <v>56</v>
      </c>
      <c r="B57" s="21" t="inlineStr">
        <is>
          <t>Month 1</t>
        </is>
      </c>
      <c r="C57" s="21" t="inlineStr">
        <is>
          <t>W4</t>
        </is>
      </c>
      <c r="D57" s="22" t="n">
        <v>46278</v>
      </c>
      <c r="E57" s="21" t="inlineStr">
        <is>
          <t>Compliance</t>
        </is>
      </c>
      <c r="F57" s="4" t="inlineStr">
        <is>
          <t>Compliance rules apply to GBP posts too — brief Cleo on what cannot be named</t>
        </is>
      </c>
      <c r="G57" s="21" t="inlineStr">
        <is>
          <t>Agency</t>
        </is>
      </c>
      <c r="H57" s="21" t="inlineStr">
        <is>
          <t>One-off</t>
        </is>
      </c>
      <c r="I57" s="21" t="inlineStr">
        <is>
          <t>High</t>
        </is>
      </c>
      <c r="J57" s="21" t="inlineStr">
        <is>
          <t>Not started</t>
        </is>
      </c>
      <c r="K57" s="22" t="n"/>
      <c r="L57" s="4" t="n"/>
    </row>
    <row r="58" ht="15" customHeight="1">
      <c r="A58" s="21" t="n">
        <v>57</v>
      </c>
      <c r="B58" s="21" t="inlineStr">
        <is>
          <t>Month 1</t>
        </is>
      </c>
      <c r="C58" s="21" t="inlineStr">
        <is>
          <t>W4</t>
        </is>
      </c>
      <c r="D58" s="22" t="n">
        <v>46278</v>
      </c>
      <c r="E58" s="21" t="inlineStr">
        <is>
          <t>Measurement</t>
        </is>
      </c>
      <c r="F58" s="4" t="inlineStr">
        <is>
          <t>Set up the analytics property ready for launch</t>
        </is>
      </c>
      <c r="G58" s="21" t="inlineStr">
        <is>
          <t>Agency</t>
        </is>
      </c>
      <c r="H58" s="21" t="inlineStr">
        <is>
          <t>One-off</t>
        </is>
      </c>
      <c r="I58" s="21" t="inlineStr">
        <is>
          <t>Medium</t>
        </is>
      </c>
      <c r="J58" s="21" t="inlineStr">
        <is>
          <t>Not started</t>
        </is>
      </c>
      <c r="K58" s="22" t="n"/>
      <c r="L58" s="4" t="n"/>
    </row>
    <row r="59" ht="15" customHeight="1">
      <c r="A59" s="21" t="n">
        <v>58</v>
      </c>
      <c r="B59" s="21" t="inlineStr">
        <is>
          <t>Month 1</t>
        </is>
      </c>
      <c r="C59" s="21" t="inlineStr">
        <is>
          <t>W4</t>
        </is>
      </c>
      <c r="D59" s="22" t="n">
        <v>46278</v>
      </c>
      <c r="E59" s="21" t="inlineStr">
        <is>
          <t>Ads</t>
        </is>
      </c>
      <c r="F59" s="4" t="inlineStr">
        <is>
          <t>Send us your current monthly Instagram and Google ad spend</t>
        </is>
      </c>
      <c r="G59" s="21" t="inlineStr">
        <is>
          <t>Cleo</t>
        </is>
      </c>
      <c r="H59" s="21" t="inlineStr">
        <is>
          <t>One-off</t>
        </is>
      </c>
      <c r="I59" s="21" t="inlineStr">
        <is>
          <t>High</t>
        </is>
      </c>
      <c r="J59" s="21" t="inlineStr">
        <is>
          <t>Not started</t>
        </is>
      </c>
      <c r="K59" s="22" t="n"/>
      <c r="L59" s="4" t="n"/>
    </row>
    <row r="60" ht="15" customHeight="1">
      <c r="A60" s="21" t="n">
        <v>59</v>
      </c>
      <c r="B60" s="21" t="inlineStr">
        <is>
          <t>Month 2</t>
        </is>
      </c>
      <c r="C60" s="21" t="inlineStr">
        <is>
          <t>W5</t>
        </is>
      </c>
      <c r="D60" s="22" t="n">
        <v>46285</v>
      </c>
      <c r="E60" s="21" t="inlineStr">
        <is>
          <t>Website</t>
        </is>
      </c>
      <c r="F60" s="4" t="inlineStr">
        <is>
          <t>Build the treatment pages: lip filler, dermal filler and facial balancing</t>
        </is>
      </c>
      <c r="G60" s="21" t="inlineStr">
        <is>
          <t>Agency</t>
        </is>
      </c>
      <c r="H60" s="21" t="inlineStr">
        <is>
          <t>One-off</t>
        </is>
      </c>
      <c r="I60" s="21" t="inlineStr">
        <is>
          <t>High</t>
        </is>
      </c>
      <c r="J60" s="21" t="inlineStr">
        <is>
          <t>Not started</t>
        </is>
      </c>
      <c r="K60" s="22" t="n"/>
      <c r="L60" s="4" t="n"/>
    </row>
    <row r="61" ht="15" customHeight="1">
      <c r="A61" s="21" t="n">
        <v>60</v>
      </c>
      <c r="B61" s="21" t="inlineStr">
        <is>
          <t>Month 2</t>
        </is>
      </c>
      <c r="C61" s="21" t="inlineStr">
        <is>
          <t>W5</t>
        </is>
      </c>
      <c r="D61" s="22" t="n">
        <v>46285</v>
      </c>
      <c r="E61" s="21" t="inlineStr">
        <is>
          <t>Website</t>
        </is>
      </c>
      <c r="F61" s="4" t="inlineStr">
        <is>
          <t>Write the copy for those pages and confirm every claim is one you can stand behind</t>
        </is>
      </c>
      <c r="G61" s="21" t="inlineStr">
        <is>
          <t>Both</t>
        </is>
      </c>
      <c r="H61" s="21" t="inlineStr">
        <is>
          <t>One-off</t>
        </is>
      </c>
      <c r="I61" s="21" t="inlineStr">
        <is>
          <t>High</t>
        </is>
      </c>
      <c r="J61" s="21" t="inlineStr">
        <is>
          <t>Not started</t>
        </is>
      </c>
      <c r="K61" s="22" t="n"/>
      <c r="L61" s="4" t="n"/>
    </row>
    <row r="62" ht="15" customHeight="1">
      <c r="A62" s="21" t="n">
        <v>61</v>
      </c>
      <c r="B62" s="21" t="inlineStr">
        <is>
          <t>Month 2</t>
        </is>
      </c>
      <c r="C62" s="21" t="inlineStr">
        <is>
          <t>W5</t>
        </is>
      </c>
      <c r="D62" s="22" t="n">
        <v>46285</v>
      </c>
      <c r="E62" s="21" t="inlineStr">
        <is>
          <t>Website</t>
        </is>
      </c>
      <c r="F62" s="4" t="inlineStr">
        <is>
          <t>Title tag, meta description and H1 on every treatment page built</t>
        </is>
      </c>
      <c r="G62" s="21" t="inlineStr">
        <is>
          <t>Agency</t>
        </is>
      </c>
      <c r="H62" s="21" t="inlineStr">
        <is>
          <t>One-off</t>
        </is>
      </c>
      <c r="I62" s="21" t="inlineStr">
        <is>
          <t>High</t>
        </is>
      </c>
      <c r="J62" s="21" t="inlineStr">
        <is>
          <t>Not started</t>
        </is>
      </c>
      <c r="K62" s="22" t="n"/>
      <c r="L62" s="4" t="n"/>
    </row>
    <row r="63" ht="15" customHeight="1">
      <c r="A63" s="21" t="n">
        <v>62</v>
      </c>
      <c r="B63" s="21" t="inlineStr">
        <is>
          <t>Month 2</t>
        </is>
      </c>
      <c r="C63" s="21" t="inlineStr">
        <is>
          <t>W5</t>
        </is>
      </c>
      <c r="D63" s="22" t="n">
        <v>46285</v>
      </c>
      <c r="E63" s="21" t="inlineStr">
        <is>
          <t>Reviews</t>
        </is>
      </c>
      <c r="F63" s="4" t="inlineStr">
        <is>
          <t>Design and print the QR review card for the treatment room</t>
        </is>
      </c>
      <c r="G63" s="21" t="inlineStr">
        <is>
          <t>Agency</t>
        </is>
      </c>
      <c r="H63" s="21" t="inlineStr">
        <is>
          <t>One-off</t>
        </is>
      </c>
      <c r="I63" s="21" t="inlineStr">
        <is>
          <t>Medium</t>
        </is>
      </c>
      <c r="J63" s="21" t="inlineStr">
        <is>
          <t>Not started</t>
        </is>
      </c>
      <c r="K63" s="22" t="n"/>
      <c r="L63" s="4" t="n"/>
    </row>
    <row r="64" ht="15" customHeight="1">
      <c r="A64" s="21" t="n">
        <v>63</v>
      </c>
      <c r="B64" s="21" t="inlineStr">
        <is>
          <t>Month 2</t>
        </is>
      </c>
      <c r="C64" s="21" t="inlineStr">
        <is>
          <t>W5</t>
        </is>
      </c>
      <c r="D64" s="22" t="n">
        <v>46285</v>
      </c>
      <c r="E64" s="21" t="inlineStr">
        <is>
          <t>Reviews</t>
        </is>
      </c>
      <c r="F64" s="4" t="inlineStr">
        <is>
          <t>Reply to every new review within two days</t>
        </is>
      </c>
      <c r="G64" s="21" t="inlineStr">
        <is>
          <t>Cleo</t>
        </is>
      </c>
      <c r="H64" s="21" t="inlineStr">
        <is>
          <t>Ongoing</t>
        </is>
      </c>
      <c r="I64" s="21" t="inlineStr">
        <is>
          <t>Medium</t>
        </is>
      </c>
      <c r="J64" s="21" t="inlineStr">
        <is>
          <t>Not started</t>
        </is>
      </c>
      <c r="K64" s="22" t="n"/>
      <c r="L64" s="4" t="n"/>
    </row>
    <row r="65" ht="15" customHeight="1">
      <c r="A65" s="21" t="n">
        <v>64</v>
      </c>
      <c r="B65" s="21" t="inlineStr">
        <is>
          <t>Month 2</t>
        </is>
      </c>
      <c r="C65" s="21" t="inlineStr">
        <is>
          <t>W5</t>
        </is>
      </c>
      <c r="D65" s="22" t="n">
        <v>46285</v>
      </c>
      <c r="E65" s="21" t="inlineStr">
        <is>
          <t>Instagram</t>
        </is>
      </c>
      <c r="F65" s="4" t="inlineStr">
        <is>
          <t>Switch to locally weighted hashtag sets, clear of prescription brand names</t>
        </is>
      </c>
      <c r="G65" s="21" t="inlineStr">
        <is>
          <t>Agency</t>
        </is>
      </c>
      <c r="H65" s="21" t="inlineStr">
        <is>
          <t>One-off</t>
        </is>
      </c>
      <c r="I65" s="21" t="inlineStr">
        <is>
          <t>Medium</t>
        </is>
      </c>
      <c r="J65" s="21" t="inlineStr">
        <is>
          <t>Not started</t>
        </is>
      </c>
      <c r="K65" s="22" t="n"/>
      <c r="L65" s="4" t="n"/>
    </row>
    <row r="66" ht="15" customHeight="1">
      <c r="A66" s="21" t="n">
        <v>65</v>
      </c>
      <c r="B66" s="21" t="inlineStr">
        <is>
          <t>Month 2</t>
        </is>
      </c>
      <c r="C66" s="21" t="inlineStr">
        <is>
          <t>W5</t>
        </is>
      </c>
      <c r="D66" s="22" t="n">
        <v>46285</v>
      </c>
      <c r="E66" s="21" t="inlineStr">
        <is>
          <t>Instagram</t>
        </is>
      </c>
      <c r="F66" s="4" t="inlineStr">
        <is>
          <t>Write alt text on every new post</t>
        </is>
      </c>
      <c r="G66" s="21" t="inlineStr">
        <is>
          <t>Cleo</t>
        </is>
      </c>
      <c r="H66" s="21" t="inlineStr">
        <is>
          <t>Ongoing</t>
        </is>
      </c>
      <c r="I66" s="21" t="inlineStr">
        <is>
          <t>Medium</t>
        </is>
      </c>
      <c r="J66" s="21" t="inlineStr">
        <is>
          <t>Not started</t>
        </is>
      </c>
      <c r="K66" s="22" t="n"/>
      <c r="L66" s="4" t="n"/>
    </row>
    <row r="67" ht="15" customHeight="1">
      <c r="A67" s="21" t="n">
        <v>66</v>
      </c>
      <c r="B67" s="21" t="inlineStr">
        <is>
          <t>Month 2</t>
        </is>
      </c>
      <c r="C67" s="21" t="inlineStr">
        <is>
          <t>W5</t>
        </is>
      </c>
      <c r="D67" s="22" t="n">
        <v>46285</v>
      </c>
      <c r="E67" s="21" t="inlineStr">
        <is>
          <t>Content</t>
        </is>
      </c>
      <c r="F67" s="4" t="inlineStr">
        <is>
          <t>Publish one reel every Wednesday</t>
        </is>
      </c>
      <c r="G67" s="21" t="inlineStr">
        <is>
          <t>Cleo</t>
        </is>
      </c>
      <c r="H67" s="21" t="inlineStr">
        <is>
          <t>Weekly</t>
        </is>
      </c>
      <c r="I67" s="21" t="inlineStr">
        <is>
          <t>High</t>
        </is>
      </c>
      <c r="J67" s="21" t="inlineStr">
        <is>
          <t>Not started</t>
        </is>
      </c>
      <c r="K67" s="22" t="n"/>
      <c r="L67" s="4" t="n"/>
    </row>
    <row r="68" ht="15" customHeight="1">
      <c r="A68" s="21" t="n">
        <v>67</v>
      </c>
      <c r="B68" s="21" t="inlineStr">
        <is>
          <t>Month 2</t>
        </is>
      </c>
      <c r="C68" s="21" t="inlineStr">
        <is>
          <t>W6</t>
        </is>
      </c>
      <c r="D68" s="22" t="n">
        <v>46292</v>
      </c>
      <c r="E68" s="21" t="inlineStr">
        <is>
          <t>Website</t>
        </is>
      </c>
      <c r="F68" s="4" t="inlineStr">
        <is>
          <t>Build the treatment pages: anti-wrinkle injections and skin boosters</t>
        </is>
      </c>
      <c r="G68" s="21" t="inlineStr">
        <is>
          <t>Agency</t>
        </is>
      </c>
      <c r="H68" s="21" t="inlineStr">
        <is>
          <t>One-off</t>
        </is>
      </c>
      <c r="I68" s="21" t="inlineStr">
        <is>
          <t>High</t>
        </is>
      </c>
      <c r="J68" s="21" t="inlineStr">
        <is>
          <t>Not started</t>
        </is>
      </c>
      <c r="K68" s="22" t="n"/>
      <c r="L68" s="4" t="n"/>
    </row>
    <row r="69" ht="15" customHeight="1">
      <c r="A69" s="21" t="n">
        <v>68</v>
      </c>
      <c r="B69" s="21" t="inlineStr">
        <is>
          <t>Month 2</t>
        </is>
      </c>
      <c r="C69" s="21" t="inlineStr">
        <is>
          <t>W6</t>
        </is>
      </c>
      <c r="D69" s="22" t="n">
        <v>46292</v>
      </c>
      <c r="E69" s="21" t="inlineStr">
        <is>
          <t>Website</t>
        </is>
      </c>
      <c r="F69" s="4" t="inlineStr">
        <is>
          <t>Internal linking pass across every page built so far</t>
        </is>
      </c>
      <c r="G69" s="21" t="inlineStr">
        <is>
          <t>Agency</t>
        </is>
      </c>
      <c r="H69" s="21" t="inlineStr">
        <is>
          <t>One-off</t>
        </is>
      </c>
      <c r="I69" s="21" t="inlineStr">
        <is>
          <t>Medium</t>
        </is>
      </c>
      <c r="J69" s="21" t="inlineStr">
        <is>
          <t>Not started</t>
        </is>
      </c>
      <c r="K69" s="22" t="n"/>
      <c r="L69" s="4" t="n"/>
    </row>
    <row r="70" ht="15" customHeight="1">
      <c r="A70" s="21" t="n">
        <v>69</v>
      </c>
      <c r="B70" s="21" t="inlineStr">
        <is>
          <t>Month 2</t>
        </is>
      </c>
      <c r="C70" s="21" t="inlineStr">
        <is>
          <t>W6</t>
        </is>
      </c>
      <c r="D70" s="22" t="n">
        <v>46292</v>
      </c>
      <c r="E70" s="21" t="inlineStr">
        <is>
          <t>Website</t>
        </is>
      </c>
      <c r="F70" s="4" t="inlineStr">
        <is>
          <t>Compress every image and write alt text across the site</t>
        </is>
      </c>
      <c r="G70" s="21" t="inlineStr">
        <is>
          <t>Agency</t>
        </is>
      </c>
      <c r="H70" s="21" t="inlineStr">
        <is>
          <t>One-off</t>
        </is>
      </c>
      <c r="I70" s="21" t="inlineStr">
        <is>
          <t>Medium</t>
        </is>
      </c>
      <c r="J70" s="21" t="inlineStr">
        <is>
          <t>Not started</t>
        </is>
      </c>
      <c r="K70" s="22" t="n"/>
      <c r="L70" s="4" t="n"/>
    </row>
    <row r="71" ht="15" customHeight="1">
      <c r="A71" s="21" t="n">
        <v>70</v>
      </c>
      <c r="B71" s="21" t="inlineStr">
        <is>
          <t>Month 2</t>
        </is>
      </c>
      <c r="C71" s="21" t="inlineStr">
        <is>
          <t>W6</t>
        </is>
      </c>
      <c r="D71" s="22" t="n">
        <v>46292</v>
      </c>
      <c r="E71" s="21" t="inlineStr">
        <is>
          <t>Instagram</t>
        </is>
      </c>
      <c r="F71" s="4" t="inlineStr">
        <is>
          <t>Reorganise Highlights by treatment</t>
        </is>
      </c>
      <c r="G71" s="21" t="inlineStr">
        <is>
          <t>Agency</t>
        </is>
      </c>
      <c r="H71" s="21" t="inlineStr">
        <is>
          <t>One-off</t>
        </is>
      </c>
      <c r="I71" s="21" t="inlineStr">
        <is>
          <t>Medium</t>
        </is>
      </c>
      <c r="J71" s="21" t="inlineStr">
        <is>
          <t>Not started</t>
        </is>
      </c>
      <c r="K71" s="22" t="n"/>
      <c r="L71" s="4" t="n"/>
    </row>
    <row r="72" ht="15" customHeight="1">
      <c r="A72" s="21" t="n">
        <v>71</v>
      </c>
      <c r="B72" s="21" t="inlineStr">
        <is>
          <t>Month 2</t>
        </is>
      </c>
      <c r="C72" s="21" t="inlineStr">
        <is>
          <t>W6</t>
        </is>
      </c>
      <c r="D72" s="22" t="n">
        <v>46292</v>
      </c>
      <c r="E72" s="21" t="inlineStr">
        <is>
          <t>Ads</t>
        </is>
      </c>
      <c r="F72" s="4" t="inlineStr">
        <is>
          <t>Build the local radius audience, 15km around Oakville</t>
        </is>
      </c>
      <c r="G72" s="21" t="inlineStr">
        <is>
          <t>Agency</t>
        </is>
      </c>
      <c r="H72" s="21" t="inlineStr">
        <is>
          <t>One-off</t>
        </is>
      </c>
      <c r="I72" s="21" t="inlineStr">
        <is>
          <t>High</t>
        </is>
      </c>
      <c r="J72" s="21" t="inlineStr">
        <is>
          <t>Not started</t>
        </is>
      </c>
      <c r="K72" s="22" t="n"/>
      <c r="L72" s="4" t="n"/>
    </row>
    <row r="73" ht="15" customHeight="1">
      <c r="A73" s="21" t="n">
        <v>72</v>
      </c>
      <c r="B73" s="21" t="inlineStr">
        <is>
          <t>Month 2</t>
        </is>
      </c>
      <c r="C73" s="21" t="inlineStr">
        <is>
          <t>W6</t>
        </is>
      </c>
      <c r="D73" s="22" t="n">
        <v>46292</v>
      </c>
      <c r="E73" s="21" t="inlineStr">
        <is>
          <t>Ads</t>
        </is>
      </c>
      <c r="F73" s="4" t="inlineStr">
        <is>
          <t>Build the 30-day engagement retargeting audience</t>
        </is>
      </c>
      <c r="G73" s="21" t="inlineStr">
        <is>
          <t>Agency</t>
        </is>
      </c>
      <c r="H73" s="21" t="inlineStr">
        <is>
          <t>One-off</t>
        </is>
      </c>
      <c r="I73" s="21" t="inlineStr">
        <is>
          <t>High</t>
        </is>
      </c>
      <c r="J73" s="21" t="inlineStr">
        <is>
          <t>Not started</t>
        </is>
      </c>
      <c r="K73" s="22" t="n"/>
      <c r="L73" s="4" t="n"/>
    </row>
    <row r="74" ht="15" customHeight="1">
      <c r="A74" s="21" t="n">
        <v>73</v>
      </c>
      <c r="B74" s="21" t="inlineStr">
        <is>
          <t>Month 2</t>
        </is>
      </c>
      <c r="C74" s="21" t="inlineStr">
        <is>
          <t>W6</t>
        </is>
      </c>
      <c r="D74" s="22" t="n">
        <v>46292</v>
      </c>
      <c r="E74" s="21" t="inlineStr">
        <is>
          <t>Reviews</t>
        </is>
      </c>
      <c r="F74" s="4" t="inlineStr">
        <is>
          <t>Check the ask against the review target and adjust it if it is lagging</t>
        </is>
      </c>
      <c r="G74" s="21" t="inlineStr">
        <is>
          <t>Agency</t>
        </is>
      </c>
      <c r="H74" s="21" t="inlineStr">
        <is>
          <t>Monthly</t>
        </is>
      </c>
      <c r="I74" s="21" t="inlineStr">
        <is>
          <t>High</t>
        </is>
      </c>
      <c r="J74" s="21" t="inlineStr">
        <is>
          <t>Not started</t>
        </is>
      </c>
      <c r="K74" s="22" t="n"/>
      <c r="L74" s="4" t="n"/>
    </row>
    <row r="75" ht="15" customHeight="1">
      <c r="A75" s="21" t="n">
        <v>74</v>
      </c>
      <c r="B75" s="21" t="inlineStr">
        <is>
          <t>Month 2</t>
        </is>
      </c>
      <c r="C75" s="21" t="inlineStr">
        <is>
          <t>W7</t>
        </is>
      </c>
      <c r="D75" s="22" t="n">
        <v>46299</v>
      </c>
      <c r="E75" s="21" t="inlineStr">
        <is>
          <t>Website</t>
        </is>
      </c>
      <c r="F75" s="4" t="inlineStr">
        <is>
          <t>Build the treatment pages: dermaplaning, electrolysis and Belkyra</t>
        </is>
      </c>
      <c r="G75" s="21" t="inlineStr">
        <is>
          <t>Agency</t>
        </is>
      </c>
      <c r="H75" s="21" t="inlineStr">
        <is>
          <t>One-off</t>
        </is>
      </c>
      <c r="I75" s="21" t="inlineStr">
        <is>
          <t>High</t>
        </is>
      </c>
      <c r="J75" s="21" t="inlineStr">
        <is>
          <t>Not started</t>
        </is>
      </c>
      <c r="K75" s="22" t="n"/>
      <c r="L75" s="4" t="n"/>
    </row>
    <row r="76" ht="15" customHeight="1">
      <c r="A76" s="21" t="n">
        <v>75</v>
      </c>
      <c r="B76" s="21" t="inlineStr">
        <is>
          <t>Month 2</t>
        </is>
      </c>
      <c r="C76" s="21" t="inlineStr">
        <is>
          <t>W7</t>
        </is>
      </c>
      <c r="D76" s="22" t="n">
        <v>46299</v>
      </c>
      <c r="E76" s="21" t="inlineStr">
        <is>
          <t>Website</t>
        </is>
      </c>
      <c r="F76" s="4" t="inlineStr">
        <is>
          <t>Build the Oakville and surrounding-area page</t>
        </is>
      </c>
      <c r="G76" s="21" t="inlineStr">
        <is>
          <t>Agency</t>
        </is>
      </c>
      <c r="H76" s="21" t="inlineStr">
        <is>
          <t>One-off</t>
        </is>
      </c>
      <c r="I76" s="21" t="inlineStr">
        <is>
          <t>Medium</t>
        </is>
      </c>
      <c r="J76" s="21" t="inlineStr">
        <is>
          <t>Not started</t>
        </is>
      </c>
      <c r="K76" s="22" t="n"/>
      <c r="L76" s="4" t="n"/>
    </row>
    <row r="77" ht="15" customHeight="1">
      <c r="A77" s="21" t="n">
        <v>76</v>
      </c>
      <c r="B77" s="21" t="inlineStr">
        <is>
          <t>Month 2</t>
        </is>
      </c>
      <c r="C77" s="21" t="inlineStr">
        <is>
          <t>W7</t>
        </is>
      </c>
      <c r="D77" s="22" t="n">
        <v>46299</v>
      </c>
      <c r="E77" s="21" t="inlineStr">
        <is>
          <t>Website</t>
        </is>
      </c>
      <c r="F77" s="4" t="inlineStr">
        <is>
          <t>Mobile speed pass</t>
        </is>
      </c>
      <c r="G77" s="21" t="inlineStr">
        <is>
          <t>Agency</t>
        </is>
      </c>
      <c r="H77" s="21" t="inlineStr">
        <is>
          <t>One-off</t>
        </is>
      </c>
      <c r="I77" s="21" t="inlineStr">
        <is>
          <t>Medium</t>
        </is>
      </c>
      <c r="J77" s="21" t="inlineStr">
        <is>
          <t>Not started</t>
        </is>
      </c>
      <c r="K77" s="22" t="n"/>
      <c r="L77" s="4" t="n"/>
    </row>
    <row r="78" ht="15" customHeight="1">
      <c r="A78" s="21" t="n">
        <v>77</v>
      </c>
      <c r="B78" s="21" t="inlineStr">
        <is>
          <t>Month 2</t>
        </is>
      </c>
      <c r="C78" s="21" t="inlineStr">
        <is>
          <t>W7</t>
        </is>
      </c>
      <c r="D78" s="22" t="n">
        <v>46299</v>
      </c>
      <c r="E78" s="21" t="inlineStr">
        <is>
          <t>Ads</t>
        </is>
      </c>
      <c r="F78" s="4" t="inlineStr">
        <is>
          <t>Export the patient list from the booking system for the lookalike audience</t>
        </is>
      </c>
      <c r="G78" s="21" t="inlineStr">
        <is>
          <t>Cleo</t>
        </is>
      </c>
      <c r="H78" s="21" t="inlineStr">
        <is>
          <t>One-off</t>
        </is>
      </c>
      <c r="I78" s="21" t="inlineStr">
        <is>
          <t>Medium</t>
        </is>
      </c>
      <c r="J78" s="21" t="inlineStr">
        <is>
          <t>Not started</t>
        </is>
      </c>
      <c r="K78" s="22" t="n"/>
      <c r="L78" s="4" t="n"/>
    </row>
    <row r="79" ht="15" customHeight="1">
      <c r="A79" s="21" t="n">
        <v>78</v>
      </c>
      <c r="B79" s="21" t="inlineStr">
        <is>
          <t>Month 2</t>
        </is>
      </c>
      <c r="C79" s="21" t="inlineStr">
        <is>
          <t>W7</t>
        </is>
      </c>
      <c r="D79" s="22" t="n">
        <v>46299</v>
      </c>
      <c r="E79" s="21" t="inlineStr">
        <is>
          <t>Ads</t>
        </is>
      </c>
      <c r="F79" s="4" t="inlineStr">
        <is>
          <t>Build the lookalike audience</t>
        </is>
      </c>
      <c r="G79" s="21" t="inlineStr">
        <is>
          <t>Agency</t>
        </is>
      </c>
      <c r="H79" s="21" t="inlineStr">
        <is>
          <t>One-off</t>
        </is>
      </c>
      <c r="I79" s="21" t="inlineStr">
        <is>
          <t>Medium</t>
        </is>
      </c>
      <c r="J79" s="21" t="inlineStr">
        <is>
          <t>Not started</t>
        </is>
      </c>
      <c r="K79" s="22" t="n"/>
      <c r="L79" s="4" t="n"/>
    </row>
    <row r="80" ht="15" customHeight="1">
      <c r="A80" s="21" t="n">
        <v>79</v>
      </c>
      <c r="B80" s="21" t="inlineStr">
        <is>
          <t>Month 2</t>
        </is>
      </c>
      <c r="C80" s="21" t="inlineStr">
        <is>
          <t>W7</t>
        </is>
      </c>
      <c r="D80" s="22" t="n">
        <v>46299</v>
      </c>
      <c r="E80" s="21" t="inlineStr">
        <is>
          <t>Ads</t>
        </is>
      </c>
      <c r="F80" s="4" t="inlineStr">
        <is>
          <t>Launch three or four ad creatives pulled from existing carousels</t>
        </is>
      </c>
      <c r="G80" s="21" t="inlineStr">
        <is>
          <t>Agency</t>
        </is>
      </c>
      <c r="H80" s="21" t="inlineStr">
        <is>
          <t>One-off</t>
        </is>
      </c>
      <c r="I80" s="21" t="inlineStr">
        <is>
          <t>High</t>
        </is>
      </c>
      <c r="J80" s="21" t="inlineStr">
        <is>
          <t>Not started</t>
        </is>
      </c>
      <c r="K80" s="22" t="n"/>
      <c r="L80" s="4" t="n"/>
    </row>
    <row r="81" ht="15" customHeight="1">
      <c r="A81" s="21" t="n">
        <v>80</v>
      </c>
      <c r="B81" s="21" t="inlineStr">
        <is>
          <t>Month 2</t>
        </is>
      </c>
      <c r="C81" s="21" t="inlineStr">
        <is>
          <t>W8</t>
        </is>
      </c>
      <c r="D81" s="22" t="n">
        <v>46306</v>
      </c>
      <c r="E81" s="21" t="inlineStr">
        <is>
          <t>Website</t>
        </is>
      </c>
      <c r="F81" s="4" t="inlineStr">
        <is>
          <t>Final content and compliance review of every page before launch</t>
        </is>
      </c>
      <c r="G81" s="21" t="inlineStr">
        <is>
          <t>Both</t>
        </is>
      </c>
      <c r="H81" s="21" t="inlineStr">
        <is>
          <t>One-off</t>
        </is>
      </c>
      <c r="I81" s="21" t="inlineStr">
        <is>
          <t>High</t>
        </is>
      </c>
      <c r="J81" s="21" t="inlineStr">
        <is>
          <t>Not started</t>
        </is>
      </c>
      <c r="K81" s="22" t="n"/>
      <c r="L81" s="4" t="n"/>
    </row>
    <row r="82" ht="15" customHeight="1">
      <c r="A82" s="21" t="n">
        <v>81</v>
      </c>
      <c r="B82" s="21" t="inlineStr">
        <is>
          <t>Month 2</t>
        </is>
      </c>
      <c r="C82" s="21" t="inlineStr">
        <is>
          <t>W8</t>
        </is>
      </c>
      <c r="D82" s="22" t="n">
        <v>46306</v>
      </c>
      <c r="E82" s="21" t="inlineStr">
        <is>
          <t>Website</t>
        </is>
      </c>
      <c r="F82" s="4" t="inlineStr">
        <is>
          <t>LAUNCH: site live, Search Console verified, sitemap submitted, analytics running</t>
        </is>
      </c>
      <c r="G82" s="21" t="inlineStr">
        <is>
          <t>Agency</t>
        </is>
      </c>
      <c r="H82" s="21" t="inlineStr">
        <is>
          <t>One-off</t>
        </is>
      </c>
      <c r="I82" s="21" t="inlineStr">
        <is>
          <t>High</t>
        </is>
      </c>
      <c r="J82" s="21" t="inlineStr">
        <is>
          <t>Not started</t>
        </is>
      </c>
      <c r="K82" s="22" t="n"/>
      <c r="L82" s="4" t="n"/>
    </row>
    <row r="83" ht="15" customHeight="1">
      <c r="A83" s="21" t="n">
        <v>82</v>
      </c>
      <c r="B83" s="21" t="inlineStr">
        <is>
          <t>Month 2</t>
        </is>
      </c>
      <c r="C83" s="21" t="inlineStr">
        <is>
          <t>W8</t>
        </is>
      </c>
      <c r="D83" s="22" t="n">
        <v>46306</v>
      </c>
      <c r="E83" s="21" t="inlineStr">
        <is>
          <t>Website</t>
        </is>
      </c>
      <c r="F83" s="4" t="inlineStr">
        <is>
          <t>Repoint the GBP website field at the live site</t>
        </is>
      </c>
      <c r="G83" s="21" t="inlineStr">
        <is>
          <t>Agency</t>
        </is>
      </c>
      <c r="H83" s="21" t="inlineStr">
        <is>
          <t>One-off</t>
        </is>
      </c>
      <c r="I83" s="21" t="inlineStr">
        <is>
          <t>High</t>
        </is>
      </c>
      <c r="J83" s="21" t="inlineStr">
        <is>
          <t>Not started</t>
        </is>
      </c>
      <c r="K83" s="22" t="n"/>
      <c r="L83" s="4" t="n"/>
    </row>
    <row r="84" ht="15" customHeight="1">
      <c r="A84" s="21" t="n">
        <v>83</v>
      </c>
      <c r="B84" s="21" t="inlineStr">
        <is>
          <t>Month 2</t>
        </is>
      </c>
      <c r="C84" s="21" t="inlineStr">
        <is>
          <t>W8</t>
        </is>
      </c>
      <c r="D84" s="22" t="n">
        <v>46306</v>
      </c>
      <c r="E84" s="21" t="inlineStr">
        <is>
          <t>Citations</t>
        </is>
      </c>
      <c r="F84" s="4" t="inlineStr">
        <is>
          <t>Update every directory listing to the new website URL</t>
        </is>
      </c>
      <c r="G84" s="21" t="inlineStr">
        <is>
          <t>Agency</t>
        </is>
      </c>
      <c r="H84" s="21" t="inlineStr">
        <is>
          <t>One-off</t>
        </is>
      </c>
      <c r="I84" s="21" t="inlineStr">
        <is>
          <t>Medium</t>
        </is>
      </c>
      <c r="J84" s="21" t="inlineStr">
        <is>
          <t>Not started</t>
        </is>
      </c>
      <c r="K84" s="22" t="n"/>
      <c r="L84" s="4" t="n"/>
    </row>
    <row r="85" ht="15" customHeight="1">
      <c r="A85" s="21" t="n">
        <v>84</v>
      </c>
      <c r="B85" s="21" t="inlineStr">
        <is>
          <t>Month 2</t>
        </is>
      </c>
      <c r="C85" s="21" t="inlineStr">
        <is>
          <t>W8</t>
        </is>
      </c>
      <c r="D85" s="22" t="n">
        <v>46306</v>
      </c>
      <c r="E85" s="21" t="inlineStr">
        <is>
          <t>Instagram</t>
        </is>
      </c>
      <c r="F85" s="4" t="inlineStr">
        <is>
          <t>Update the link in bio to the live site</t>
        </is>
      </c>
      <c r="G85" s="21" t="inlineStr">
        <is>
          <t>Agency</t>
        </is>
      </c>
      <c r="H85" s="21" t="inlineStr">
        <is>
          <t>One-off</t>
        </is>
      </c>
      <c r="I85" s="21" t="inlineStr">
        <is>
          <t>High</t>
        </is>
      </c>
      <c r="J85" s="21" t="inlineStr">
        <is>
          <t>Not started</t>
        </is>
      </c>
      <c r="K85" s="22" t="n"/>
      <c r="L85" s="4" t="n"/>
    </row>
    <row r="86" ht="15" customHeight="1">
      <c r="A86" s="21" t="n">
        <v>85</v>
      </c>
      <c r="B86" s="21" t="inlineStr">
        <is>
          <t>Month 2</t>
        </is>
      </c>
      <c r="C86" s="21" t="inlineStr">
        <is>
          <t>W8</t>
        </is>
      </c>
      <c r="D86" s="22" t="n">
        <v>46306</v>
      </c>
      <c r="E86" s="21" t="inlineStr">
        <is>
          <t>Measurement</t>
        </is>
      </c>
      <c r="F86" s="4" t="inlineStr">
        <is>
          <t>Confirm Search Console and analytics are both recording on the live domain</t>
        </is>
      </c>
      <c r="G86" s="21" t="inlineStr">
        <is>
          <t>Agency</t>
        </is>
      </c>
      <c r="H86" s="21" t="inlineStr">
        <is>
          <t>One-off</t>
        </is>
      </c>
      <c r="I86" s="21" t="inlineStr">
        <is>
          <t>High</t>
        </is>
      </c>
      <c r="J86" s="21" t="inlineStr">
        <is>
          <t>Not started</t>
        </is>
      </c>
      <c r="K86" s="22" t="n"/>
      <c r="L86" s="4" t="n"/>
    </row>
    <row r="87" ht="15" customHeight="1">
      <c r="A87" s="21" t="n">
        <v>86</v>
      </c>
      <c r="B87" s="21" t="inlineStr">
        <is>
          <t>Month 2</t>
        </is>
      </c>
      <c r="C87" s="21" t="inlineStr">
        <is>
          <t>W8</t>
        </is>
      </c>
      <c r="D87" s="22" t="n">
        <v>46306</v>
      </c>
      <c r="E87" s="21" t="inlineStr">
        <is>
          <t>Ads</t>
        </is>
      </c>
      <c r="F87" s="4" t="inlineStr">
        <is>
          <t>Fortnightly ad review: kill anything below average cost per DM, reallocate</t>
        </is>
      </c>
      <c r="G87" s="21" t="inlineStr">
        <is>
          <t>Agency</t>
        </is>
      </c>
      <c r="H87" s="21" t="inlineStr">
        <is>
          <t>Fortnightly</t>
        </is>
      </c>
      <c r="I87" s="21" t="inlineStr">
        <is>
          <t>High</t>
        </is>
      </c>
      <c r="J87" s="21" t="inlineStr">
        <is>
          <t>Not started</t>
        </is>
      </c>
      <c r="K87" s="22" t="n"/>
      <c r="L87" s="4" t="n"/>
    </row>
    <row r="88" ht="15" customHeight="1">
      <c r="A88" s="21" t="n">
        <v>87</v>
      </c>
      <c r="B88" s="21" t="inlineStr">
        <is>
          <t>Month 3</t>
        </is>
      </c>
      <c r="C88" s="21" t="inlineStr">
        <is>
          <t>W9</t>
        </is>
      </c>
      <c r="D88" s="22" t="n">
        <v>46313</v>
      </c>
      <c r="E88" s="21" t="inlineStr">
        <is>
          <t>Website</t>
        </is>
      </c>
      <c r="F88" s="4" t="inlineStr">
        <is>
          <t>Confirm every page is indexed in Search Console and fix what is not</t>
        </is>
      </c>
      <c r="G88" s="21" t="inlineStr">
        <is>
          <t>Agency</t>
        </is>
      </c>
      <c r="H88" s="21" t="inlineStr">
        <is>
          <t>One-off</t>
        </is>
      </c>
      <c r="I88" s="21" t="inlineStr">
        <is>
          <t>High</t>
        </is>
      </c>
      <c r="J88" s="21" t="inlineStr">
        <is>
          <t>Not started</t>
        </is>
      </c>
      <c r="K88" s="22" t="n"/>
      <c r="L88" s="4" t="n"/>
    </row>
    <row r="89" ht="15" customHeight="1">
      <c r="A89" s="21" t="n">
        <v>88</v>
      </c>
      <c r="B89" s="21" t="inlineStr">
        <is>
          <t>Month 3</t>
        </is>
      </c>
      <c r="C89" s="21" t="inlineStr">
        <is>
          <t>W9</t>
        </is>
      </c>
      <c r="D89" s="22" t="n">
        <v>46313</v>
      </c>
      <c r="E89" s="21" t="inlineStr">
        <is>
          <t>Website</t>
        </is>
      </c>
      <c r="F89" s="4" t="inlineStr">
        <is>
          <t>On-page pass on the home page: title, H1, opening copy, internal links</t>
        </is>
      </c>
      <c r="G89" s="21" t="inlineStr">
        <is>
          <t>Agency</t>
        </is>
      </c>
      <c r="H89" s="21" t="inlineStr">
        <is>
          <t>One-off</t>
        </is>
      </c>
      <c r="I89" s="21" t="inlineStr">
        <is>
          <t>High</t>
        </is>
      </c>
      <c r="J89" s="21" t="inlineStr">
        <is>
          <t>Not started</t>
        </is>
      </c>
      <c r="K89" s="22" t="n"/>
      <c r="L89" s="4" t="n"/>
    </row>
    <row r="90" ht="15" customHeight="1">
      <c r="A90" s="21" t="n">
        <v>89</v>
      </c>
      <c r="B90" s="21" t="inlineStr">
        <is>
          <t>Month 3</t>
        </is>
      </c>
      <c r="C90" s="21" t="inlineStr">
        <is>
          <t>W9</t>
        </is>
      </c>
      <c r="D90" s="22" t="n">
        <v>46313</v>
      </c>
      <c r="E90" s="21" t="inlineStr">
        <is>
          <t>Local links</t>
        </is>
      </c>
      <c r="F90" s="4" t="inlineStr">
        <is>
          <t>Submit to the Oakville business directories</t>
        </is>
      </c>
      <c r="G90" s="21" t="inlineStr">
        <is>
          <t>Agency</t>
        </is>
      </c>
      <c r="H90" s="21" t="inlineStr">
        <is>
          <t>One-off</t>
        </is>
      </c>
      <c r="I90" s="21" t="inlineStr">
        <is>
          <t>Medium</t>
        </is>
      </c>
      <c r="J90" s="21" t="inlineStr">
        <is>
          <t>Not started</t>
        </is>
      </c>
      <c r="K90" s="22" t="n"/>
      <c r="L90" s="4" t="n"/>
    </row>
    <row r="91" ht="15" customHeight="1">
      <c r="A91" s="21" t="n">
        <v>90</v>
      </c>
      <c r="B91" s="21" t="inlineStr">
        <is>
          <t>Month 3</t>
        </is>
      </c>
      <c r="C91" s="21" t="inlineStr">
        <is>
          <t>W9</t>
        </is>
      </c>
      <c r="D91" s="22" t="n">
        <v>46313</v>
      </c>
      <c r="E91" s="21" t="inlineStr">
        <is>
          <t>Local links</t>
        </is>
      </c>
      <c r="F91" s="4" t="inlineStr">
        <is>
          <t>Ask Allure about a cross-link between the two businesses</t>
        </is>
      </c>
      <c r="G91" s="21" t="inlineStr">
        <is>
          <t>Cleo</t>
        </is>
      </c>
      <c r="H91" s="21" t="inlineStr">
        <is>
          <t>One-off</t>
        </is>
      </c>
      <c r="I91" s="21" t="inlineStr">
        <is>
          <t>Low</t>
        </is>
      </c>
      <c r="J91" s="21" t="inlineStr">
        <is>
          <t>Not started</t>
        </is>
      </c>
      <c r="K91" s="22" t="n"/>
      <c r="L91" s="4" t="n"/>
    </row>
    <row r="92" ht="15" customHeight="1">
      <c r="A92" s="21" t="n">
        <v>91</v>
      </c>
      <c r="B92" s="21" t="inlineStr">
        <is>
          <t>Month 3</t>
        </is>
      </c>
      <c r="C92" s="21" t="inlineStr">
        <is>
          <t>W9</t>
        </is>
      </c>
      <c r="D92" s="22" t="n">
        <v>46313</v>
      </c>
      <c r="E92" s="21" t="inlineStr">
        <is>
          <t>Measurement</t>
        </is>
      </c>
      <c r="F92" s="4" t="inlineStr">
        <is>
          <t>First post-launch read on Search Console impressions and queries</t>
        </is>
      </c>
      <c r="G92" s="21" t="inlineStr">
        <is>
          <t>Agency</t>
        </is>
      </c>
      <c r="H92" s="21" t="inlineStr">
        <is>
          <t>One-off</t>
        </is>
      </c>
      <c r="I92" s="21" t="inlineStr">
        <is>
          <t>Medium</t>
        </is>
      </c>
      <c r="J92" s="21" t="inlineStr">
        <is>
          <t>Not started</t>
        </is>
      </c>
      <c r="K92" s="22" t="n"/>
      <c r="L92" s="4" t="n"/>
    </row>
    <row r="93" ht="15" customHeight="1">
      <c r="A93" s="21" t="n">
        <v>92</v>
      </c>
      <c r="B93" s="21" t="inlineStr">
        <is>
          <t>Month 3</t>
        </is>
      </c>
      <c r="C93" s="21" t="inlineStr">
        <is>
          <t>W10</t>
        </is>
      </c>
      <c r="D93" s="22" t="n">
        <v>46320</v>
      </c>
      <c r="E93" s="21" t="inlineStr">
        <is>
          <t>Website</t>
        </is>
      </c>
      <c r="F93" s="4" t="inlineStr">
        <is>
          <t>On-page pass on the four highest-intent treatment pages</t>
        </is>
      </c>
      <c r="G93" s="21" t="inlineStr">
        <is>
          <t>Agency</t>
        </is>
      </c>
      <c r="H93" s="21" t="inlineStr">
        <is>
          <t>One-off</t>
        </is>
      </c>
      <c r="I93" s="21" t="inlineStr">
        <is>
          <t>High</t>
        </is>
      </c>
      <c r="J93" s="21" t="inlineStr">
        <is>
          <t>Not started</t>
        </is>
      </c>
      <c r="K93" s="22" t="n"/>
      <c r="L93" s="4" t="n"/>
    </row>
    <row r="94" ht="15" customHeight="1">
      <c r="A94" s="21" t="n">
        <v>93</v>
      </c>
      <c r="B94" s="21" t="inlineStr">
        <is>
          <t>Month 3</t>
        </is>
      </c>
      <c r="C94" s="21" t="inlineStr">
        <is>
          <t>W10</t>
        </is>
      </c>
      <c r="D94" s="22" t="n">
        <v>46320</v>
      </c>
      <c r="E94" s="21" t="inlineStr">
        <is>
          <t>Website</t>
        </is>
      </c>
      <c r="F94" s="4" t="inlineStr">
        <is>
          <t>Add FAQ blocks with FAQ schema to every treatment page</t>
        </is>
      </c>
      <c r="G94" s="21" t="inlineStr">
        <is>
          <t>Agency</t>
        </is>
      </c>
      <c r="H94" s="21" t="inlineStr">
        <is>
          <t>One-off</t>
        </is>
      </c>
      <c r="I94" s="21" t="inlineStr">
        <is>
          <t>Medium</t>
        </is>
      </c>
      <c r="J94" s="21" t="inlineStr">
        <is>
          <t>Not started</t>
        </is>
      </c>
      <c r="K94" s="22" t="n"/>
      <c r="L94" s="4" t="n"/>
    </row>
    <row r="95" ht="15" customHeight="1">
      <c r="A95" s="21" t="n">
        <v>94</v>
      </c>
      <c r="B95" s="21" t="inlineStr">
        <is>
          <t>Month 3</t>
        </is>
      </c>
      <c r="C95" s="21" t="inlineStr">
        <is>
          <t>W10</t>
        </is>
      </c>
      <c r="D95" s="22" t="n">
        <v>46320</v>
      </c>
      <c r="E95" s="21" t="inlineStr">
        <is>
          <t>Content</t>
        </is>
      </c>
      <c r="F95" s="4" t="inlineStr">
        <is>
          <t>Write the first question-intent article and link it to its treatment page</t>
        </is>
      </c>
      <c r="G95" s="21" t="inlineStr">
        <is>
          <t>Agency</t>
        </is>
      </c>
      <c r="H95" s="21" t="inlineStr">
        <is>
          <t>One-off</t>
        </is>
      </c>
      <c r="I95" s="21" t="inlineStr">
        <is>
          <t>Medium</t>
        </is>
      </c>
      <c r="J95" s="21" t="inlineStr">
        <is>
          <t>Not started</t>
        </is>
      </c>
      <c r="K95" s="22" t="n"/>
      <c r="L95" s="4" t="n"/>
    </row>
    <row r="96" ht="15" customHeight="1">
      <c r="A96" s="21" t="n">
        <v>95</v>
      </c>
      <c r="B96" s="21" t="inlineStr">
        <is>
          <t>Month 3</t>
        </is>
      </c>
      <c r="C96" s="21" t="inlineStr">
        <is>
          <t>W10</t>
        </is>
      </c>
      <c r="D96" s="22" t="n">
        <v>46320</v>
      </c>
      <c r="E96" s="21" t="inlineStr">
        <is>
          <t>Local links</t>
        </is>
      </c>
      <c r="F96" s="4" t="inlineStr">
        <is>
          <t>Approach Halton-area partners for mentions and links</t>
        </is>
      </c>
      <c r="G96" s="21" t="inlineStr">
        <is>
          <t>Agency</t>
        </is>
      </c>
      <c r="H96" s="21" t="inlineStr">
        <is>
          <t>One-off</t>
        </is>
      </c>
      <c r="I96" s="21" t="inlineStr">
        <is>
          <t>Medium</t>
        </is>
      </c>
      <c r="J96" s="21" t="inlineStr">
        <is>
          <t>Not started</t>
        </is>
      </c>
      <c r="K96" s="22" t="n"/>
      <c r="L96" s="4" t="n"/>
    </row>
    <row r="97" ht="15" customHeight="1">
      <c r="A97" s="21" t="n">
        <v>96</v>
      </c>
      <c r="B97" s="21" t="inlineStr">
        <is>
          <t>Month 3</t>
        </is>
      </c>
      <c r="C97" s="21" t="inlineStr">
        <is>
          <t>W10</t>
        </is>
      </c>
      <c r="D97" s="22" t="n">
        <v>46320</v>
      </c>
      <c r="E97" s="21" t="inlineStr">
        <is>
          <t>Google profile</t>
        </is>
      </c>
      <c r="F97" s="4" t="inlineStr">
        <is>
          <t>Add the weight-loss service entry to GBP ahead of the launch</t>
        </is>
      </c>
      <c r="G97" s="21" t="inlineStr">
        <is>
          <t>Agency</t>
        </is>
      </c>
      <c r="H97" s="21" t="inlineStr">
        <is>
          <t>One-off</t>
        </is>
      </c>
      <c r="I97" s="21" t="inlineStr">
        <is>
          <t>Medium</t>
        </is>
      </c>
      <c r="J97" s="21" t="inlineStr">
        <is>
          <t>Not started</t>
        </is>
      </c>
      <c r="K97" s="22" t="n"/>
      <c r="L97" s="4" t="n"/>
    </row>
    <row r="98" ht="15" customHeight="1">
      <c r="A98" s="21" t="n">
        <v>97</v>
      </c>
      <c r="B98" s="21" t="inlineStr">
        <is>
          <t>Month 3</t>
        </is>
      </c>
      <c r="C98" s="21" t="inlineStr">
        <is>
          <t>W11</t>
        </is>
      </c>
      <c r="D98" s="22" t="n">
        <v>46327</v>
      </c>
      <c r="E98" s="21" t="inlineStr">
        <is>
          <t>Website</t>
        </is>
      </c>
      <c r="F98" s="4" t="inlineStr">
        <is>
          <t>Fix whatever Search Console flags: coverage, mobile usability, core web vitals</t>
        </is>
      </c>
      <c r="G98" s="21" t="inlineStr">
        <is>
          <t>Agency</t>
        </is>
      </c>
      <c r="H98" s="21" t="inlineStr">
        <is>
          <t>One-off</t>
        </is>
      </c>
      <c r="I98" s="21" t="inlineStr">
        <is>
          <t>High</t>
        </is>
      </c>
      <c r="J98" s="21" t="inlineStr">
        <is>
          <t>Not started</t>
        </is>
      </c>
      <c r="K98" s="22" t="n"/>
      <c r="L98" s="4" t="n"/>
    </row>
    <row r="99" ht="15" customHeight="1">
      <c r="A99" s="21" t="n">
        <v>98</v>
      </c>
      <c r="B99" s="21" t="inlineStr">
        <is>
          <t>Month 3</t>
        </is>
      </c>
      <c r="C99" s="21" t="inlineStr">
        <is>
          <t>W11</t>
        </is>
      </c>
      <c r="D99" s="22" t="n">
        <v>46327</v>
      </c>
      <c r="E99" s="21" t="inlineStr">
        <is>
          <t>Content</t>
        </is>
      </c>
      <c r="F99" s="4" t="inlineStr">
        <is>
          <t>Write the second question-intent article</t>
        </is>
      </c>
      <c r="G99" s="21" t="inlineStr">
        <is>
          <t>Agency</t>
        </is>
      </c>
      <c r="H99" s="21" t="inlineStr">
        <is>
          <t>One-off</t>
        </is>
      </c>
      <c r="I99" s="21" t="inlineStr">
        <is>
          <t>Medium</t>
        </is>
      </c>
      <c r="J99" s="21" t="inlineStr">
        <is>
          <t>Not started</t>
        </is>
      </c>
      <c r="K99" s="22" t="n"/>
      <c r="L99" s="4" t="n"/>
    </row>
    <row r="100" ht="15" customHeight="1">
      <c r="A100" s="21" t="n">
        <v>99</v>
      </c>
      <c r="B100" s="21" t="inlineStr">
        <is>
          <t>Month 3</t>
        </is>
      </c>
      <c r="C100" s="21" t="inlineStr">
        <is>
          <t>W11</t>
        </is>
      </c>
      <c r="D100" s="22" t="n">
        <v>46327</v>
      </c>
      <c r="E100" s="21" t="inlineStr">
        <is>
          <t>Ads</t>
        </is>
      </c>
      <c r="F100" s="4" t="inlineStr">
        <is>
          <t>Fortnightly ad review: kill anything below average cost per DM, reallocate</t>
        </is>
      </c>
      <c r="G100" s="21" t="inlineStr">
        <is>
          <t>Agency</t>
        </is>
      </c>
      <c r="H100" s="21" t="inlineStr">
        <is>
          <t>Fortnightly</t>
        </is>
      </c>
      <c r="I100" s="21" t="inlineStr">
        <is>
          <t>High</t>
        </is>
      </c>
      <c r="J100" s="21" t="inlineStr">
        <is>
          <t>Not started</t>
        </is>
      </c>
      <c r="K100" s="22" t="n"/>
      <c r="L100" s="4" t="n"/>
    </row>
    <row r="101" ht="15" customHeight="1">
      <c r="A101" s="21" t="n">
        <v>100</v>
      </c>
      <c r="B101" s="21" t="inlineStr">
        <is>
          <t>Month 3</t>
        </is>
      </c>
      <c r="C101" s="21" t="inlineStr">
        <is>
          <t>W11</t>
        </is>
      </c>
      <c r="D101" s="22" t="n">
        <v>46327</v>
      </c>
      <c r="E101" s="21" t="inlineStr">
        <is>
          <t>Reviews</t>
        </is>
      </c>
      <c r="F101" s="4" t="inlineStr">
        <is>
          <t>Check the ask conversion rate and rewrite the message if it is under 30 per cent</t>
        </is>
      </c>
      <c r="G101" s="21" t="inlineStr">
        <is>
          <t>Agency</t>
        </is>
      </c>
      <c r="H101" s="21" t="inlineStr">
        <is>
          <t>One-off</t>
        </is>
      </c>
      <c r="I101" s="21" t="inlineStr">
        <is>
          <t>High</t>
        </is>
      </c>
      <c r="J101" s="21" t="inlineStr">
        <is>
          <t>Not started</t>
        </is>
      </c>
      <c r="K101" s="22" t="n"/>
      <c r="L101" s="4" t="n"/>
    </row>
    <row r="102" ht="15" customHeight="1">
      <c r="A102" s="21" t="n">
        <v>101</v>
      </c>
      <c r="B102" s="21" t="inlineStr">
        <is>
          <t>Month 3</t>
        </is>
      </c>
      <c r="C102" s="21" t="inlineStr">
        <is>
          <t>W12</t>
        </is>
      </c>
      <c r="D102" s="22" t="n">
        <v>46334</v>
      </c>
      <c r="E102" s="21" t="inlineStr">
        <is>
          <t>Measurement</t>
        </is>
      </c>
      <c r="F102" s="4" t="inlineStr">
        <is>
          <t>Month three review: every number against the week-one baseline</t>
        </is>
      </c>
      <c r="G102" s="21" t="inlineStr">
        <is>
          <t>Agency</t>
        </is>
      </c>
      <c r="H102" s="21" t="inlineStr">
        <is>
          <t>Monthly</t>
        </is>
      </c>
      <c r="I102" s="21" t="inlineStr">
        <is>
          <t>High</t>
        </is>
      </c>
      <c r="J102" s="21" t="inlineStr">
        <is>
          <t>Not started</t>
        </is>
      </c>
      <c r="K102" s="22" t="n"/>
      <c r="L102" s="4" t="n"/>
    </row>
    <row r="103" ht="15" customHeight="1">
      <c r="A103" s="21" t="n">
        <v>102</v>
      </c>
      <c r="B103" s="21" t="inlineStr">
        <is>
          <t>Month 3</t>
        </is>
      </c>
      <c r="C103" s="21" t="inlineStr">
        <is>
          <t>W12</t>
        </is>
      </c>
      <c r="D103" s="22" t="n">
        <v>46334</v>
      </c>
      <c r="E103" s="21" t="inlineStr">
        <is>
          <t>Measurement</t>
        </is>
      </c>
      <c r="F103" s="4" t="inlineStr">
        <is>
          <t>Rank check on the map pack terms and the page terms</t>
        </is>
      </c>
      <c r="G103" s="21" t="inlineStr">
        <is>
          <t>Agency</t>
        </is>
      </c>
      <c r="H103" s="21" t="inlineStr">
        <is>
          <t>Monthly</t>
        </is>
      </c>
      <c r="I103" s="21" t="inlineStr">
        <is>
          <t>High</t>
        </is>
      </c>
      <c r="J103" s="21" t="inlineStr">
        <is>
          <t>Not started</t>
        </is>
      </c>
      <c r="K103" s="22" t="n"/>
      <c r="L103" s="4" t="n"/>
    </row>
    <row r="104" ht="15" customHeight="1">
      <c r="A104" s="21" t="n">
        <v>103</v>
      </c>
      <c r="B104" s="21" t="inlineStr">
        <is>
          <t>Month 3</t>
        </is>
      </c>
      <c r="C104" s="21" t="inlineStr">
        <is>
          <t>W12</t>
        </is>
      </c>
      <c r="D104" s="22" t="n">
        <v>46334</v>
      </c>
      <c r="E104" s="21" t="inlineStr">
        <is>
          <t>Content</t>
        </is>
      </c>
      <c r="F104" s="4" t="inlineStr">
        <is>
          <t>Write the third question-intent article</t>
        </is>
      </c>
      <c r="G104" s="21" t="inlineStr">
        <is>
          <t>Agency</t>
        </is>
      </c>
      <c r="H104" s="21" t="inlineStr">
        <is>
          <t>One-off</t>
        </is>
      </c>
      <c r="I104" s="21" t="inlineStr">
        <is>
          <t>Medium</t>
        </is>
      </c>
      <c r="J104" s="21" t="inlineStr">
        <is>
          <t>Not started</t>
        </is>
      </c>
      <c r="K104" s="22" t="n"/>
      <c r="L104" s="4" t="n"/>
    </row>
    <row r="105" ht="15" customHeight="1">
      <c r="A105" s="21" t="n">
        <v>104</v>
      </c>
      <c r="B105" s="21" t="inlineStr">
        <is>
          <t>Month 3</t>
        </is>
      </c>
      <c r="C105" s="21" t="inlineStr">
        <is>
          <t>W12</t>
        </is>
      </c>
      <c r="D105" s="22" t="n">
        <v>46334</v>
      </c>
      <c r="E105" s="21" t="inlineStr">
        <is>
          <t>Local links</t>
        </is>
      </c>
      <c r="F105" s="4" t="inlineStr">
        <is>
          <t>Chase every unanswered link approach</t>
        </is>
      </c>
      <c r="G105" s="21" t="inlineStr">
        <is>
          <t>Agency</t>
        </is>
      </c>
      <c r="H105" s="21" t="inlineStr">
        <is>
          <t>One-off</t>
        </is>
      </c>
      <c r="I105" s="21" t="inlineStr">
        <is>
          <t>Low</t>
        </is>
      </c>
      <c r="J105" s="21" t="inlineStr">
        <is>
          <t>Not started</t>
        </is>
      </c>
      <c r="K105" s="22" t="n"/>
      <c r="L105" s="4" t="n"/>
    </row>
    <row r="106" ht="15" customHeight="1">
      <c r="A106" s="21" t="n">
        <v>105</v>
      </c>
      <c r="B106" s="21" t="inlineStr">
        <is>
          <t>Month 4</t>
        </is>
      </c>
      <c r="C106" s="21" t="inlineStr">
        <is>
          <t>W13</t>
        </is>
      </c>
      <c r="D106" s="22" t="n">
        <v>46341</v>
      </c>
      <c r="E106" s="21" t="inlineStr">
        <is>
          <t>Website</t>
        </is>
      </c>
      <c r="F106" s="4" t="inlineStr">
        <is>
          <t>Build the weight-loss pre-launch page</t>
        </is>
      </c>
      <c r="G106" s="21" t="inlineStr">
        <is>
          <t>Agency</t>
        </is>
      </c>
      <c r="H106" s="21" t="inlineStr">
        <is>
          <t>One-off</t>
        </is>
      </c>
      <c r="I106" s="21" t="inlineStr">
        <is>
          <t>Medium</t>
        </is>
      </c>
      <c r="J106" s="21" t="inlineStr">
        <is>
          <t>Not started</t>
        </is>
      </c>
      <c r="K106" s="22" t="n"/>
      <c r="L106" s="4" t="n"/>
    </row>
    <row r="107" ht="15" customHeight="1">
      <c r="A107" s="21" t="n">
        <v>106</v>
      </c>
      <c r="B107" s="21" t="inlineStr">
        <is>
          <t>Month 4</t>
        </is>
      </c>
      <c r="C107" s="21" t="inlineStr">
        <is>
          <t>W13</t>
        </is>
      </c>
      <c r="D107" s="22" t="n">
        <v>46341</v>
      </c>
      <c r="E107" s="21" t="inlineStr">
        <is>
          <t>Content</t>
        </is>
      </c>
      <c r="F107" s="4" t="inlineStr">
        <is>
          <t>Write the fourth article from the questions you get asked in consults</t>
        </is>
      </c>
      <c r="G107" s="21" t="inlineStr">
        <is>
          <t>Agency</t>
        </is>
      </c>
      <c r="H107" s="21" t="inlineStr">
        <is>
          <t>One-off</t>
        </is>
      </c>
      <c r="I107" s="21" t="inlineStr">
        <is>
          <t>Medium</t>
        </is>
      </c>
      <c r="J107" s="21" t="inlineStr">
        <is>
          <t>Not started</t>
        </is>
      </c>
      <c r="K107" s="22" t="n"/>
      <c r="L107" s="4" t="n"/>
    </row>
    <row r="108" ht="15" customHeight="1">
      <c r="A108" s="21" t="n">
        <v>107</v>
      </c>
      <c r="B108" s="21" t="inlineStr">
        <is>
          <t>Month 4</t>
        </is>
      </c>
      <c r="C108" s="21" t="inlineStr">
        <is>
          <t>W13</t>
        </is>
      </c>
      <c r="D108" s="22" t="n">
        <v>46341</v>
      </c>
      <c r="E108" s="21" t="inlineStr">
        <is>
          <t>Instagram</t>
        </is>
      </c>
      <c r="F108" s="4" t="inlineStr">
        <is>
          <t>Review which posts drove profile visits and rebalance the calendar</t>
        </is>
      </c>
      <c r="G108" s="21" t="inlineStr">
        <is>
          <t>Agency</t>
        </is>
      </c>
      <c r="H108" s="21" t="inlineStr">
        <is>
          <t>Monthly</t>
        </is>
      </c>
      <c r="I108" s="21" t="inlineStr">
        <is>
          <t>Medium</t>
        </is>
      </c>
      <c r="J108" s="21" t="inlineStr">
        <is>
          <t>Not started</t>
        </is>
      </c>
      <c r="K108" s="22" t="n"/>
      <c r="L108" s="4" t="n"/>
    </row>
    <row r="109" ht="15" customHeight="1">
      <c r="A109" s="21" t="n">
        <v>108</v>
      </c>
      <c r="B109" s="21" t="inlineStr">
        <is>
          <t>Month 4</t>
        </is>
      </c>
      <c r="C109" s="21" t="inlineStr">
        <is>
          <t>W13</t>
        </is>
      </c>
      <c r="D109" s="22" t="n">
        <v>46341</v>
      </c>
      <c r="E109" s="21" t="inlineStr">
        <is>
          <t>Google profile</t>
        </is>
      </c>
      <c r="F109" s="4" t="inlineStr">
        <is>
          <t>Refresh the GBP photo set with new room and result photos</t>
        </is>
      </c>
      <c r="G109" s="21" t="inlineStr">
        <is>
          <t>Both</t>
        </is>
      </c>
      <c r="H109" s="21" t="inlineStr">
        <is>
          <t>One-off</t>
        </is>
      </c>
      <c r="I109" s="21" t="inlineStr">
        <is>
          <t>Medium</t>
        </is>
      </c>
      <c r="J109" s="21" t="inlineStr">
        <is>
          <t>Not started</t>
        </is>
      </c>
      <c r="K109" s="22" t="n"/>
      <c r="L109" s="4" t="n"/>
    </row>
    <row r="110" ht="15" customHeight="1">
      <c r="A110" s="21" t="n">
        <v>109</v>
      </c>
      <c r="B110" s="21" t="inlineStr">
        <is>
          <t>Month 4</t>
        </is>
      </c>
      <c r="C110" s="21" t="inlineStr">
        <is>
          <t>W14</t>
        </is>
      </c>
      <c r="D110" s="22" t="n">
        <v>46348</v>
      </c>
      <c r="E110" s="21" t="inlineStr">
        <is>
          <t>Website</t>
        </is>
      </c>
      <c r="F110" s="4" t="inlineStr">
        <is>
          <t>Expand the thin treatment pages: pricing ranges, aftercare, who it is not for</t>
        </is>
      </c>
      <c r="G110" s="21" t="inlineStr">
        <is>
          <t>Agency</t>
        </is>
      </c>
      <c r="H110" s="21" t="inlineStr">
        <is>
          <t>One-off</t>
        </is>
      </c>
      <c r="I110" s="21" t="inlineStr">
        <is>
          <t>High</t>
        </is>
      </c>
      <c r="J110" s="21" t="inlineStr">
        <is>
          <t>Not started</t>
        </is>
      </c>
      <c r="K110" s="22" t="n"/>
      <c r="L110" s="4" t="n"/>
    </row>
    <row r="111" ht="15" customHeight="1">
      <c r="A111" s="21" t="n">
        <v>110</v>
      </c>
      <c r="B111" s="21" t="inlineStr">
        <is>
          <t>Month 4</t>
        </is>
      </c>
      <c r="C111" s="21" t="inlineStr">
        <is>
          <t>W14</t>
        </is>
      </c>
      <c r="D111" s="22" t="n">
        <v>46348</v>
      </c>
      <c r="E111" s="21" t="inlineStr">
        <is>
          <t>Local links</t>
        </is>
      </c>
      <c r="F111" s="4" t="inlineStr">
        <is>
          <t>Sponsor or join one Oakville community listing or event</t>
        </is>
      </c>
      <c r="G111" s="21" t="inlineStr">
        <is>
          <t>Cleo</t>
        </is>
      </c>
      <c r="H111" s="21" t="inlineStr">
        <is>
          <t>One-off</t>
        </is>
      </c>
      <c r="I111" s="21" t="inlineStr">
        <is>
          <t>Medium</t>
        </is>
      </c>
      <c r="J111" s="21" t="inlineStr">
        <is>
          <t>Not started</t>
        </is>
      </c>
      <c r="K111" s="22" t="n"/>
      <c r="L111" s="4" t="n"/>
    </row>
    <row r="112" ht="15" customHeight="1">
      <c r="A112" s="21" t="n">
        <v>111</v>
      </c>
      <c r="B112" s="21" t="inlineStr">
        <is>
          <t>Month 4</t>
        </is>
      </c>
      <c r="C112" s="21" t="inlineStr">
        <is>
          <t>W14</t>
        </is>
      </c>
      <c r="D112" s="22" t="n">
        <v>46348</v>
      </c>
      <c r="E112" s="21" t="inlineStr">
        <is>
          <t>Ads</t>
        </is>
      </c>
      <c r="F112" s="4" t="inlineStr">
        <is>
          <t>Fortnightly ad review: kill anything below average cost per DM, reallocate</t>
        </is>
      </c>
      <c r="G112" s="21" t="inlineStr">
        <is>
          <t>Agency</t>
        </is>
      </c>
      <c r="H112" s="21" t="inlineStr">
        <is>
          <t>Fortnightly</t>
        </is>
      </c>
      <c r="I112" s="21" t="inlineStr">
        <is>
          <t>High</t>
        </is>
      </c>
      <c r="J112" s="21" t="inlineStr">
        <is>
          <t>Not started</t>
        </is>
      </c>
      <c r="K112" s="22" t="n"/>
      <c r="L112" s="4" t="n"/>
    </row>
    <row r="113" ht="15" customHeight="1">
      <c r="A113" s="21" t="n">
        <v>112</v>
      </c>
      <c r="B113" s="21" t="inlineStr">
        <is>
          <t>Month 4</t>
        </is>
      </c>
      <c r="C113" s="21" t="inlineStr">
        <is>
          <t>W14</t>
        </is>
      </c>
      <c r="D113" s="22" t="n">
        <v>46348</v>
      </c>
      <c r="E113" s="21" t="inlineStr">
        <is>
          <t>Content</t>
        </is>
      </c>
      <c r="F113" s="4" t="inlineStr">
        <is>
          <t>Write the fifth article</t>
        </is>
      </c>
      <c r="G113" s="21" t="inlineStr">
        <is>
          <t>Agency</t>
        </is>
      </c>
      <c r="H113" s="21" t="inlineStr">
        <is>
          <t>One-off</t>
        </is>
      </c>
      <c r="I113" s="21" t="inlineStr">
        <is>
          <t>Medium</t>
        </is>
      </c>
      <c r="J113" s="21" t="inlineStr">
        <is>
          <t>Not started</t>
        </is>
      </c>
      <c r="K113" s="22" t="n"/>
      <c r="L113" s="4" t="n"/>
    </row>
    <row r="114" ht="15" customHeight="1">
      <c r="A114" s="21" t="n">
        <v>113</v>
      </c>
      <c r="B114" s="21" t="inlineStr">
        <is>
          <t>Month 4</t>
        </is>
      </c>
      <c r="C114" s="21" t="inlineStr">
        <is>
          <t>W15</t>
        </is>
      </c>
      <c r="D114" s="22" t="n">
        <v>46355</v>
      </c>
      <c r="E114" s="21" t="inlineStr">
        <is>
          <t>Website</t>
        </is>
      </c>
      <c r="F114" s="4" t="inlineStr">
        <is>
          <t>Add a before-and-after gallery page using consent-cleared photos only</t>
        </is>
      </c>
      <c r="G114" s="21" t="inlineStr">
        <is>
          <t>Agency</t>
        </is>
      </c>
      <c r="H114" s="21" t="inlineStr">
        <is>
          <t>One-off</t>
        </is>
      </c>
      <c r="I114" s="21" t="inlineStr">
        <is>
          <t>Medium</t>
        </is>
      </c>
      <c r="J114" s="21" t="inlineStr">
        <is>
          <t>Not started</t>
        </is>
      </c>
      <c r="K114" s="22" t="n"/>
      <c r="L114" s="4" t="n"/>
    </row>
    <row r="115" ht="15" customHeight="1">
      <c r="A115" s="21" t="n">
        <v>114</v>
      </c>
      <c r="B115" s="21" t="inlineStr">
        <is>
          <t>Month 4</t>
        </is>
      </c>
      <c r="C115" s="21" t="inlineStr">
        <is>
          <t>W15</t>
        </is>
      </c>
      <c r="D115" s="22" t="n">
        <v>46355</v>
      </c>
      <c r="E115" s="21" t="inlineStr">
        <is>
          <t>Compliance</t>
        </is>
      </c>
      <c r="F115" s="4" t="inlineStr">
        <is>
          <t>Compliance pass on the gallery page before it goes live</t>
        </is>
      </c>
      <c r="G115" s="21" t="inlineStr">
        <is>
          <t>Agency</t>
        </is>
      </c>
      <c r="H115" s="21" t="inlineStr">
        <is>
          <t>One-off</t>
        </is>
      </c>
      <c r="I115" s="21" t="inlineStr">
        <is>
          <t>High</t>
        </is>
      </c>
      <c r="J115" s="21" t="inlineStr">
        <is>
          <t>Not started</t>
        </is>
      </c>
      <c r="K115" s="22" t="n"/>
      <c r="L115" s="4" t="n"/>
    </row>
    <row r="116" ht="15" customHeight="1">
      <c r="A116" s="21" t="n">
        <v>115</v>
      </c>
      <c r="B116" s="21" t="inlineStr">
        <is>
          <t>Month 4</t>
        </is>
      </c>
      <c r="C116" s="21" t="inlineStr">
        <is>
          <t>W15</t>
        </is>
      </c>
      <c r="D116" s="22" t="n">
        <v>46355</v>
      </c>
      <c r="E116" s="21" t="inlineStr">
        <is>
          <t>Google profile</t>
        </is>
      </c>
      <c r="F116" s="4" t="inlineStr">
        <is>
          <t>Post the December holiday hours to GBP</t>
        </is>
      </c>
      <c r="G116" s="21" t="inlineStr">
        <is>
          <t>Agency</t>
        </is>
      </c>
      <c r="H116" s="21" t="inlineStr">
        <is>
          <t>One-off</t>
        </is>
      </c>
      <c r="I116" s="21" t="inlineStr">
        <is>
          <t>Medium</t>
        </is>
      </c>
      <c r="J116" s="21" t="inlineStr">
        <is>
          <t>Not started</t>
        </is>
      </c>
      <c r="K116" s="22" t="n"/>
      <c r="L116" s="4" t="n"/>
    </row>
    <row r="117" ht="15" customHeight="1">
      <c r="A117" s="21" t="n">
        <v>116</v>
      </c>
      <c r="B117" s="21" t="inlineStr">
        <is>
          <t>Month 4</t>
        </is>
      </c>
      <c r="C117" s="21" t="inlineStr">
        <is>
          <t>W15</t>
        </is>
      </c>
      <c r="D117" s="22" t="n">
        <v>46355</v>
      </c>
      <c r="E117" s="21" t="inlineStr">
        <is>
          <t>Reviews</t>
        </is>
      </c>
      <c r="F117" s="4" t="inlineStr">
        <is>
          <t>Holiday review push: ask every patient seen in November</t>
        </is>
      </c>
      <c r="G117" s="21" t="inlineStr">
        <is>
          <t>Cleo</t>
        </is>
      </c>
      <c r="H117" s="21" t="inlineStr">
        <is>
          <t>One-off</t>
        </is>
      </c>
      <c r="I117" s="21" t="inlineStr">
        <is>
          <t>High</t>
        </is>
      </c>
      <c r="J117" s="21" t="inlineStr">
        <is>
          <t>Not started</t>
        </is>
      </c>
      <c r="K117" s="22" t="n"/>
      <c r="L117" s="4" t="n"/>
    </row>
    <row r="118" ht="15" customHeight="1">
      <c r="A118" s="21" t="n">
        <v>117</v>
      </c>
      <c r="B118" s="21" t="inlineStr">
        <is>
          <t>Month 4</t>
        </is>
      </c>
      <c r="C118" s="21" t="inlineStr">
        <is>
          <t>W16</t>
        </is>
      </c>
      <c r="D118" s="22" t="n">
        <v>46362</v>
      </c>
      <c r="E118" s="21" t="inlineStr">
        <is>
          <t>Measurement</t>
        </is>
      </c>
      <c r="F118" s="4" t="inlineStr">
        <is>
          <t>Month four review: compare Search Console queries month on month</t>
        </is>
      </c>
      <c r="G118" s="21" t="inlineStr">
        <is>
          <t>Agency</t>
        </is>
      </c>
      <c r="H118" s="21" t="inlineStr">
        <is>
          <t>Monthly</t>
        </is>
      </c>
      <c r="I118" s="21" t="inlineStr">
        <is>
          <t>High</t>
        </is>
      </c>
      <c r="J118" s="21" t="inlineStr">
        <is>
          <t>Not started</t>
        </is>
      </c>
      <c r="K118" s="22" t="n"/>
      <c r="L118" s="4" t="n"/>
    </row>
    <row r="119" ht="15" customHeight="1">
      <c r="A119" s="21" t="n">
        <v>118</v>
      </c>
      <c r="B119" s="21" t="inlineStr">
        <is>
          <t>Month 4</t>
        </is>
      </c>
      <c r="C119" s="21" t="inlineStr">
        <is>
          <t>W16</t>
        </is>
      </c>
      <c r="D119" s="22" t="n">
        <v>46362</v>
      </c>
      <c r="E119" s="21" t="inlineStr">
        <is>
          <t>Website</t>
        </is>
      </c>
      <c r="F119" s="4" t="inlineStr">
        <is>
          <t>Internal linking pass now that the articles exist</t>
        </is>
      </c>
      <c r="G119" s="21" t="inlineStr">
        <is>
          <t>Agency</t>
        </is>
      </c>
      <c r="H119" s="21" t="inlineStr">
        <is>
          <t>One-off</t>
        </is>
      </c>
      <c r="I119" s="21" t="inlineStr">
        <is>
          <t>Medium</t>
        </is>
      </c>
      <c r="J119" s="21" t="inlineStr">
        <is>
          <t>Not started</t>
        </is>
      </c>
      <c r="K119" s="22" t="n"/>
      <c r="L119" s="4" t="n"/>
    </row>
    <row r="120" ht="15" customHeight="1">
      <c r="A120" s="21" t="n">
        <v>119</v>
      </c>
      <c r="B120" s="21" t="inlineStr">
        <is>
          <t>Month 4</t>
        </is>
      </c>
      <c r="C120" s="21" t="inlineStr">
        <is>
          <t>W16</t>
        </is>
      </c>
      <c r="D120" s="22" t="n">
        <v>46362</v>
      </c>
      <c r="E120" s="21" t="inlineStr">
        <is>
          <t>Content</t>
        </is>
      </c>
      <c r="F120" s="4" t="inlineStr">
        <is>
          <t>Write the sixth article</t>
        </is>
      </c>
      <c r="G120" s="21" t="inlineStr">
        <is>
          <t>Agency</t>
        </is>
      </c>
      <c r="H120" s="21" t="inlineStr">
        <is>
          <t>One-off</t>
        </is>
      </c>
      <c r="I120" s="21" t="inlineStr">
        <is>
          <t>Medium</t>
        </is>
      </c>
      <c r="J120" s="21" t="inlineStr">
        <is>
          <t>Not started</t>
        </is>
      </c>
      <c r="K120" s="22" t="n"/>
      <c r="L120" s="4" t="n"/>
    </row>
    <row r="121" ht="15" customHeight="1">
      <c r="A121" s="21" t="n">
        <v>120</v>
      </c>
      <c r="B121" s="21" t="inlineStr">
        <is>
          <t>Month 5</t>
        </is>
      </c>
      <c r="C121" s="21" t="inlineStr">
        <is>
          <t>W17</t>
        </is>
      </c>
      <c r="D121" s="22" t="n">
        <v>46369</v>
      </c>
      <c r="E121" s="21" t="inlineStr">
        <is>
          <t>Google profile</t>
        </is>
      </c>
      <c r="F121" s="4" t="inlineStr">
        <is>
          <t>Set the holiday opening hours on GBP for December and January</t>
        </is>
      </c>
      <c r="G121" s="21" t="inlineStr">
        <is>
          <t>Agency</t>
        </is>
      </c>
      <c r="H121" s="21" t="inlineStr">
        <is>
          <t>One-off</t>
        </is>
      </c>
      <c r="I121" s="21" t="inlineStr">
        <is>
          <t>High</t>
        </is>
      </c>
      <c r="J121" s="21" t="inlineStr">
        <is>
          <t>Not started</t>
        </is>
      </c>
      <c r="K121" s="22" t="n"/>
      <c r="L121" s="4" t="n"/>
    </row>
    <row r="122" ht="15" customHeight="1">
      <c r="A122" s="21" t="n">
        <v>121</v>
      </c>
      <c r="B122" s="21" t="inlineStr">
        <is>
          <t>Month 5</t>
        </is>
      </c>
      <c r="C122" s="21" t="inlineStr">
        <is>
          <t>W17</t>
        </is>
      </c>
      <c r="D122" s="22" t="n">
        <v>46369</v>
      </c>
      <c r="E122" s="21" t="inlineStr">
        <is>
          <t>Instagram</t>
        </is>
      </c>
      <c r="F122" s="4" t="inlineStr">
        <is>
          <t>Plan the December gift-card and holiday content</t>
        </is>
      </c>
      <c r="G122" s="21" t="inlineStr">
        <is>
          <t>Agency</t>
        </is>
      </c>
      <c r="H122" s="21" t="inlineStr">
        <is>
          <t>One-off</t>
        </is>
      </c>
      <c r="I122" s="21" t="inlineStr">
        <is>
          <t>Medium</t>
        </is>
      </c>
      <c r="J122" s="21" t="inlineStr">
        <is>
          <t>Not started</t>
        </is>
      </c>
      <c r="K122" s="22" t="n"/>
      <c r="L122" s="4" t="n"/>
    </row>
    <row r="123" ht="15" customHeight="1">
      <c r="A123" s="21" t="n">
        <v>122</v>
      </c>
      <c r="B123" s="21" t="inlineStr">
        <is>
          <t>Month 5</t>
        </is>
      </c>
      <c r="C123" s="21" t="inlineStr">
        <is>
          <t>W17</t>
        </is>
      </c>
      <c r="D123" s="22" t="n">
        <v>46369</v>
      </c>
      <c r="E123" s="21" t="inlineStr">
        <is>
          <t>Website</t>
        </is>
      </c>
      <c r="F123" s="4" t="inlineStr">
        <is>
          <t>Add a gift-card or holiday offer block to the home page</t>
        </is>
      </c>
      <c r="G123" s="21" t="inlineStr">
        <is>
          <t>Agency</t>
        </is>
      </c>
      <c r="H123" s="21" t="inlineStr">
        <is>
          <t>One-off</t>
        </is>
      </c>
      <c r="I123" s="21" t="inlineStr">
        <is>
          <t>Medium</t>
        </is>
      </c>
      <c r="J123" s="21" t="inlineStr">
        <is>
          <t>Not started</t>
        </is>
      </c>
      <c r="K123" s="22" t="n"/>
      <c r="L123" s="4" t="n"/>
    </row>
    <row r="124" ht="15" customHeight="1">
      <c r="A124" s="21" t="n">
        <v>123</v>
      </c>
      <c r="B124" s="21" t="inlineStr">
        <is>
          <t>Month 5</t>
        </is>
      </c>
      <c r="C124" s="21" t="inlineStr">
        <is>
          <t>W18</t>
        </is>
      </c>
      <c r="D124" s="22" t="n">
        <v>46376</v>
      </c>
      <c r="E124" s="21" t="inlineStr">
        <is>
          <t>Ads</t>
        </is>
      </c>
      <c r="F124" s="4" t="inlineStr">
        <is>
          <t>Holiday campaign: reallocate budget to the gift-card creative</t>
        </is>
      </c>
      <c r="G124" s="21" t="inlineStr">
        <is>
          <t>Agency</t>
        </is>
      </c>
      <c r="H124" s="21" t="inlineStr">
        <is>
          <t>Fortnightly</t>
        </is>
      </c>
      <c r="I124" s="21" t="inlineStr">
        <is>
          <t>High</t>
        </is>
      </c>
      <c r="J124" s="21" t="inlineStr">
        <is>
          <t>Not started</t>
        </is>
      </c>
      <c r="K124" s="22" t="n"/>
      <c r="L124" s="4" t="n"/>
    </row>
    <row r="125" ht="15" customHeight="1">
      <c r="A125" s="21" t="n">
        <v>124</v>
      </c>
      <c r="B125" s="21" t="inlineStr">
        <is>
          <t>Month 5</t>
        </is>
      </c>
      <c r="C125" s="21" t="inlineStr">
        <is>
          <t>W18</t>
        </is>
      </c>
      <c r="D125" s="22" t="n">
        <v>46376</v>
      </c>
      <c r="E125" s="21" t="inlineStr">
        <is>
          <t>Content</t>
        </is>
      </c>
      <c r="F125" s="4" t="inlineStr">
        <is>
          <t>Write the seventh article</t>
        </is>
      </c>
      <c r="G125" s="21" t="inlineStr">
        <is>
          <t>Agency</t>
        </is>
      </c>
      <c r="H125" s="21" t="inlineStr">
        <is>
          <t>One-off</t>
        </is>
      </c>
      <c r="I125" s="21" t="inlineStr">
        <is>
          <t>Medium</t>
        </is>
      </c>
      <c r="J125" s="21" t="inlineStr">
        <is>
          <t>Not started</t>
        </is>
      </c>
      <c r="K125" s="22" t="n"/>
      <c r="L125" s="4" t="n"/>
    </row>
    <row r="126" ht="15" customHeight="1">
      <c r="A126" s="21" t="n">
        <v>125</v>
      </c>
      <c r="B126" s="21" t="inlineStr">
        <is>
          <t>Month 5</t>
        </is>
      </c>
      <c r="C126" s="21" t="inlineStr">
        <is>
          <t>W18</t>
        </is>
      </c>
      <c r="D126" s="22" t="n">
        <v>46376</v>
      </c>
      <c r="E126" s="21" t="inlineStr">
        <is>
          <t>Citations</t>
        </is>
      </c>
      <c r="F126" s="4" t="inlineStr">
        <is>
          <t>Quarterly citation audit: confirm the NAP is still identical everywhere</t>
        </is>
      </c>
      <c r="G126" s="21" t="inlineStr">
        <is>
          <t>Agency</t>
        </is>
      </c>
      <c r="H126" s="21" t="inlineStr">
        <is>
          <t>One-off</t>
        </is>
      </c>
      <c r="I126" s="21" t="inlineStr">
        <is>
          <t>Medium</t>
        </is>
      </c>
      <c r="J126" s="21" t="inlineStr">
        <is>
          <t>Not started</t>
        </is>
      </c>
      <c r="K126" s="22" t="n"/>
      <c r="L126" s="4" t="n"/>
    </row>
    <row r="127" ht="15" customHeight="1">
      <c r="A127" s="21" t="n">
        <v>126</v>
      </c>
      <c r="B127" s="21" t="inlineStr">
        <is>
          <t>Month 5</t>
        </is>
      </c>
      <c r="C127" s="21" t="inlineStr">
        <is>
          <t>W19</t>
        </is>
      </c>
      <c r="D127" s="22" t="n">
        <v>46383</v>
      </c>
      <c r="E127" s="21" t="inlineStr">
        <is>
          <t>Instagram</t>
        </is>
      </c>
      <c r="F127" s="4" t="inlineStr">
        <is>
          <t>Reduced holiday cadence: stories only, one reel, but keep GBP posting daily</t>
        </is>
      </c>
      <c r="G127" s="21" t="inlineStr">
        <is>
          <t>Cleo</t>
        </is>
      </c>
      <c r="H127" s="21" t="inlineStr">
        <is>
          <t>One-off</t>
        </is>
      </c>
      <c r="I127" s="21" t="inlineStr">
        <is>
          <t>Medium</t>
        </is>
      </c>
      <c r="J127" s="21" t="inlineStr">
        <is>
          <t>Not started</t>
        </is>
      </c>
      <c r="K127" s="22" t="n"/>
      <c r="L127" s="4" t="n"/>
    </row>
    <row r="128" ht="15" customHeight="1">
      <c r="A128" s="21" t="n">
        <v>127</v>
      </c>
      <c r="B128" s="21" t="inlineStr">
        <is>
          <t>Month 5</t>
        </is>
      </c>
      <c r="C128" s="21" t="inlineStr">
        <is>
          <t>W19</t>
        </is>
      </c>
      <c r="D128" s="22" t="n">
        <v>46383</v>
      </c>
      <c r="E128" s="21" t="inlineStr">
        <is>
          <t>Google profile</t>
        </is>
      </c>
      <c r="F128" s="4" t="inlineStr">
        <is>
          <t>Confirm the holiday hours showing on Google are actually correct</t>
        </is>
      </c>
      <c r="G128" s="21" t="inlineStr">
        <is>
          <t>Agency</t>
        </is>
      </c>
      <c r="H128" s="21" t="inlineStr">
        <is>
          <t>One-off</t>
        </is>
      </c>
      <c r="I128" s="21" t="inlineStr">
        <is>
          <t>High</t>
        </is>
      </c>
      <c r="J128" s="21" t="inlineStr">
        <is>
          <t>Not started</t>
        </is>
      </c>
      <c r="K128" s="22" t="n"/>
      <c r="L128" s="4" t="n"/>
    </row>
    <row r="129" ht="15" customHeight="1">
      <c r="A129" s="21" t="n">
        <v>128</v>
      </c>
      <c r="B129" s="21" t="inlineStr">
        <is>
          <t>Month 5</t>
        </is>
      </c>
      <c r="C129" s="21" t="inlineStr">
        <is>
          <t>W20</t>
        </is>
      </c>
      <c r="D129" s="22" t="n">
        <v>46390</v>
      </c>
      <c r="E129" s="21" t="inlineStr">
        <is>
          <t>Measurement</t>
        </is>
      </c>
      <c r="F129" s="4" t="inlineStr">
        <is>
          <t>Year-end read: reviews, map pack positions, sessions and bookings</t>
        </is>
      </c>
      <c r="G129" s="21" t="inlineStr">
        <is>
          <t>Agency</t>
        </is>
      </c>
      <c r="H129" s="21" t="inlineStr">
        <is>
          <t>Monthly</t>
        </is>
      </c>
      <c r="I129" s="21" t="inlineStr">
        <is>
          <t>High</t>
        </is>
      </c>
      <c r="J129" s="21" t="inlineStr">
        <is>
          <t>Not started</t>
        </is>
      </c>
      <c r="K129" s="22" t="n"/>
      <c r="L129" s="4" t="n"/>
    </row>
    <row r="130" ht="15" customHeight="1">
      <c r="A130" s="21" t="n">
        <v>129</v>
      </c>
      <c r="B130" s="21" t="inlineStr">
        <is>
          <t>Month 5</t>
        </is>
      </c>
      <c r="C130" s="21" t="inlineStr">
        <is>
          <t>W20</t>
        </is>
      </c>
      <c r="D130" s="22" t="n">
        <v>46390</v>
      </c>
      <c r="E130" s="21" t="inlineStr">
        <is>
          <t>Content</t>
        </is>
      </c>
      <c r="F130" s="4" t="inlineStr">
        <is>
          <t>Plan the January content calendar</t>
        </is>
      </c>
      <c r="G130" s="21" t="inlineStr">
        <is>
          <t>Agency</t>
        </is>
      </c>
      <c r="H130" s="21" t="inlineStr">
        <is>
          <t>One-off</t>
        </is>
      </c>
      <c r="I130" s="21" t="inlineStr">
        <is>
          <t>Medium</t>
        </is>
      </c>
      <c r="J130" s="21" t="inlineStr">
        <is>
          <t>Not started</t>
        </is>
      </c>
      <c r="K130" s="22" t="n"/>
      <c r="L130" s="4" t="n"/>
    </row>
    <row r="131" ht="15" customHeight="1">
      <c r="A131" s="21" t="n">
        <v>130</v>
      </c>
      <c r="B131" s="21" t="inlineStr">
        <is>
          <t>Month 5</t>
        </is>
      </c>
      <c r="C131" s="21" t="inlineStr">
        <is>
          <t>W21</t>
        </is>
      </c>
      <c r="D131" s="22" t="n">
        <v>46397</v>
      </c>
      <c r="E131" s="21" t="inlineStr">
        <is>
          <t>Website</t>
        </is>
      </c>
      <c r="F131" s="4" t="inlineStr">
        <is>
          <t>January on-page sprint: refresh every title tag and meta description</t>
        </is>
      </c>
      <c r="G131" s="21" t="inlineStr">
        <is>
          <t>Agency</t>
        </is>
      </c>
      <c r="H131" s="21" t="inlineStr">
        <is>
          <t>One-off</t>
        </is>
      </c>
      <c r="I131" s="21" t="inlineStr">
        <is>
          <t>High</t>
        </is>
      </c>
      <c r="J131" s="21" t="inlineStr">
        <is>
          <t>Not started</t>
        </is>
      </c>
      <c r="K131" s="22" t="n"/>
      <c r="L131" s="4" t="n"/>
    </row>
    <row r="132" ht="15" customHeight="1">
      <c r="A132" s="21" t="n">
        <v>131</v>
      </c>
      <c r="B132" s="21" t="inlineStr">
        <is>
          <t>Month 5</t>
        </is>
      </c>
      <c r="C132" s="21" t="inlineStr">
        <is>
          <t>W21</t>
        </is>
      </c>
      <c r="D132" s="22" t="n">
        <v>46397</v>
      </c>
      <c r="E132" s="21" t="inlineStr">
        <is>
          <t>Instagram</t>
        </is>
      </c>
      <c r="F132" s="4" t="inlineStr">
        <is>
          <t>Back to full cadence with new-year treatment content</t>
        </is>
      </c>
      <c r="G132" s="21" t="inlineStr">
        <is>
          <t>Cleo</t>
        </is>
      </c>
      <c r="H132" s="21" t="inlineStr">
        <is>
          <t>One-off</t>
        </is>
      </c>
      <c r="I132" s="21" t="inlineStr">
        <is>
          <t>High</t>
        </is>
      </c>
      <c r="J132" s="21" t="inlineStr">
        <is>
          <t>Not started</t>
        </is>
      </c>
      <c r="K132" s="22" t="n"/>
      <c r="L132" s="4" t="n"/>
    </row>
    <row r="133" ht="15" customHeight="1">
      <c r="A133" s="21" t="n">
        <v>132</v>
      </c>
      <c r="B133" s="21" t="inlineStr">
        <is>
          <t>Month 5</t>
        </is>
      </c>
      <c r="C133" s="21" t="inlineStr">
        <is>
          <t>W21</t>
        </is>
      </c>
      <c r="D133" s="22" t="n">
        <v>46397</v>
      </c>
      <c r="E133" s="21" t="inlineStr">
        <is>
          <t>Reviews</t>
        </is>
      </c>
      <c r="F133" s="4" t="inlineStr">
        <is>
          <t>New-year review push</t>
        </is>
      </c>
      <c r="G133" s="21" t="inlineStr">
        <is>
          <t>Cleo</t>
        </is>
      </c>
      <c r="H133" s="21" t="inlineStr">
        <is>
          <t>One-off</t>
        </is>
      </c>
      <c r="I133" s="21" t="inlineStr">
        <is>
          <t>High</t>
        </is>
      </c>
      <c r="J133" s="21" t="inlineStr">
        <is>
          <t>Not started</t>
        </is>
      </c>
      <c r="K133" s="22" t="n"/>
      <c r="L133" s="4" t="n"/>
    </row>
    <row r="134" ht="15" customHeight="1">
      <c r="A134" s="21" t="n">
        <v>133</v>
      </c>
      <c r="B134" s="21" t="inlineStr">
        <is>
          <t>Month 5</t>
        </is>
      </c>
      <c r="C134" s="21" t="inlineStr">
        <is>
          <t>W21</t>
        </is>
      </c>
      <c r="D134" s="22" t="n">
        <v>46397</v>
      </c>
      <c r="E134" s="21" t="inlineStr">
        <is>
          <t>Ads</t>
        </is>
      </c>
      <c r="F134" s="4" t="inlineStr">
        <is>
          <t>Relaunch the standard campaign set after the holiday creative</t>
        </is>
      </c>
      <c r="G134" s="21" t="inlineStr">
        <is>
          <t>Agency</t>
        </is>
      </c>
      <c r="H134" s="21" t="inlineStr">
        <is>
          <t>Fortnightly</t>
        </is>
      </c>
      <c r="I134" s="21" t="inlineStr">
        <is>
          <t>High</t>
        </is>
      </c>
      <c r="J134" s="21" t="inlineStr">
        <is>
          <t>Not started</t>
        </is>
      </c>
      <c r="K134" s="22" t="n"/>
      <c r="L134" s="4" t="n"/>
    </row>
    <row r="135" ht="15" customHeight="1">
      <c r="A135" s="21" t="n">
        <v>134</v>
      </c>
      <c r="B135" s="21" t="inlineStr">
        <is>
          <t>Month 6</t>
        </is>
      </c>
      <c r="C135" s="21" t="inlineStr">
        <is>
          <t>W22</t>
        </is>
      </c>
      <c r="D135" s="22" t="n">
        <v>46404</v>
      </c>
      <c r="E135" s="21" t="inlineStr">
        <is>
          <t>Website</t>
        </is>
      </c>
      <c r="F135" s="4" t="inlineStr">
        <is>
          <t>Build the full weight-loss treatment page now the service is live</t>
        </is>
      </c>
      <c r="G135" s="21" t="inlineStr">
        <is>
          <t>Agency</t>
        </is>
      </c>
      <c r="H135" s="21" t="inlineStr">
        <is>
          <t>One-off</t>
        </is>
      </c>
      <c r="I135" s="21" t="inlineStr">
        <is>
          <t>High</t>
        </is>
      </c>
      <c r="J135" s="21" t="inlineStr">
        <is>
          <t>Not started</t>
        </is>
      </c>
      <c r="K135" s="22" t="n"/>
      <c r="L135" s="4" t="n"/>
    </row>
    <row r="136" ht="15" customHeight="1">
      <c r="A136" s="21" t="n">
        <v>135</v>
      </c>
      <c r="B136" s="21" t="inlineStr">
        <is>
          <t>Month 6</t>
        </is>
      </c>
      <c r="C136" s="21" t="inlineStr">
        <is>
          <t>W22</t>
        </is>
      </c>
      <c r="D136" s="22" t="n">
        <v>46404</v>
      </c>
      <c r="E136" s="21" t="inlineStr">
        <is>
          <t>Content</t>
        </is>
      </c>
      <c r="F136" s="4" t="inlineStr">
        <is>
          <t>Write the eighth article</t>
        </is>
      </c>
      <c r="G136" s="21" t="inlineStr">
        <is>
          <t>Agency</t>
        </is>
      </c>
      <c r="H136" s="21" t="inlineStr">
        <is>
          <t>One-off</t>
        </is>
      </c>
      <c r="I136" s="21" t="inlineStr">
        <is>
          <t>Medium</t>
        </is>
      </c>
      <c r="J136" s="21" t="inlineStr">
        <is>
          <t>Not started</t>
        </is>
      </c>
      <c r="K136" s="22" t="n"/>
      <c r="L136" s="4" t="n"/>
    </row>
    <row r="137" ht="15" customHeight="1">
      <c r="A137" s="21" t="n">
        <v>136</v>
      </c>
      <c r="B137" s="21" t="inlineStr">
        <is>
          <t>Month 6</t>
        </is>
      </c>
      <c r="C137" s="21" t="inlineStr">
        <is>
          <t>W22</t>
        </is>
      </c>
      <c r="D137" s="22" t="n">
        <v>46404</v>
      </c>
      <c r="E137" s="21" t="inlineStr">
        <is>
          <t>Local links</t>
        </is>
      </c>
      <c r="F137" s="4" t="inlineStr">
        <is>
          <t>Second round of local link approaches</t>
        </is>
      </c>
      <c r="G137" s="21" t="inlineStr">
        <is>
          <t>Agency</t>
        </is>
      </c>
      <c r="H137" s="21" t="inlineStr">
        <is>
          <t>One-off</t>
        </is>
      </c>
      <c r="I137" s="21" t="inlineStr">
        <is>
          <t>Medium</t>
        </is>
      </c>
      <c r="J137" s="21" t="inlineStr">
        <is>
          <t>Not started</t>
        </is>
      </c>
      <c r="K137" s="22" t="n"/>
      <c r="L137" s="4" t="n"/>
    </row>
    <row r="138" ht="15" customHeight="1">
      <c r="A138" s="21" t="n">
        <v>137</v>
      </c>
      <c r="B138" s="21" t="inlineStr">
        <is>
          <t>Month 6</t>
        </is>
      </c>
      <c r="C138" s="21" t="inlineStr">
        <is>
          <t>W23</t>
        </is>
      </c>
      <c r="D138" s="22" t="n">
        <v>46411</v>
      </c>
      <c r="E138" s="21" t="inlineStr">
        <is>
          <t>Measurement</t>
        </is>
      </c>
      <c r="F138" s="4" t="inlineStr">
        <is>
          <t>Full query review: find every term you rank between 5 and 15 for</t>
        </is>
      </c>
      <c r="G138" s="21" t="inlineStr">
        <is>
          <t>Agency</t>
        </is>
      </c>
      <c r="H138" s="21" t="inlineStr">
        <is>
          <t>One-off</t>
        </is>
      </c>
      <c r="I138" s="21" t="inlineStr">
        <is>
          <t>High</t>
        </is>
      </c>
      <c r="J138" s="21" t="inlineStr">
        <is>
          <t>Not started</t>
        </is>
      </c>
      <c r="K138" s="22" t="n"/>
      <c r="L138" s="4" t="n"/>
    </row>
    <row r="139" ht="15" customHeight="1">
      <c r="A139" s="21" t="n">
        <v>138</v>
      </c>
      <c r="B139" s="21" t="inlineStr">
        <is>
          <t>Month 6</t>
        </is>
      </c>
      <c r="C139" s="21" t="inlineStr">
        <is>
          <t>W23</t>
        </is>
      </c>
      <c r="D139" s="22" t="n">
        <v>46411</v>
      </c>
      <c r="E139" s="21" t="inlineStr">
        <is>
          <t>Website</t>
        </is>
      </c>
      <c r="F139" s="4" t="inlineStr">
        <is>
          <t>Optimise the pages behind those near-miss terms</t>
        </is>
      </c>
      <c r="G139" s="21" t="inlineStr">
        <is>
          <t>Agency</t>
        </is>
      </c>
      <c r="H139" s="21" t="inlineStr">
        <is>
          <t>One-off</t>
        </is>
      </c>
      <c r="I139" s="21" t="inlineStr">
        <is>
          <t>High</t>
        </is>
      </c>
      <c r="J139" s="21" t="inlineStr">
        <is>
          <t>Not started</t>
        </is>
      </c>
      <c r="K139" s="22" t="n"/>
      <c r="L139" s="4" t="n"/>
    </row>
    <row r="140" ht="15" customHeight="1">
      <c r="A140" s="21" t="n">
        <v>139</v>
      </c>
      <c r="B140" s="21" t="inlineStr">
        <is>
          <t>Month 6</t>
        </is>
      </c>
      <c r="C140" s="21" t="inlineStr">
        <is>
          <t>W23</t>
        </is>
      </c>
      <c r="D140" s="22" t="n">
        <v>46411</v>
      </c>
      <c r="E140" s="21" t="inlineStr">
        <is>
          <t>Website</t>
        </is>
      </c>
      <c r="F140" s="4" t="inlineStr">
        <is>
          <t>Content refresh on the three lowest-performing pages</t>
        </is>
      </c>
      <c r="G140" s="21" t="inlineStr">
        <is>
          <t>Agency</t>
        </is>
      </c>
      <c r="H140" s="21" t="inlineStr">
        <is>
          <t>One-off</t>
        </is>
      </c>
      <c r="I140" s="21" t="inlineStr">
        <is>
          <t>Medium</t>
        </is>
      </c>
      <c r="J140" s="21" t="inlineStr">
        <is>
          <t>Not started</t>
        </is>
      </c>
      <c r="K140" s="22" t="n"/>
      <c r="L140" s="4" t="n"/>
    </row>
    <row r="141" ht="15" customHeight="1">
      <c r="A141" s="21" t="n">
        <v>140</v>
      </c>
      <c r="B141" s="21" t="inlineStr">
        <is>
          <t>Month 6</t>
        </is>
      </c>
      <c r="C141" s="21" t="inlineStr">
        <is>
          <t>W24</t>
        </is>
      </c>
      <c r="D141" s="22" t="n">
        <v>46418</v>
      </c>
      <c r="E141" s="21" t="inlineStr">
        <is>
          <t>Ads</t>
        </is>
      </c>
      <c r="F141" s="4" t="inlineStr">
        <is>
          <t>Fortnightly ad review: kill anything below average cost per DM, reallocate</t>
        </is>
      </c>
      <c r="G141" s="21" t="inlineStr">
        <is>
          <t>Agency</t>
        </is>
      </c>
      <c r="H141" s="21" t="inlineStr">
        <is>
          <t>Fortnightly</t>
        </is>
      </c>
      <c r="I141" s="21" t="inlineStr">
        <is>
          <t>High</t>
        </is>
      </c>
      <c r="J141" s="21" t="inlineStr">
        <is>
          <t>Not started</t>
        </is>
      </c>
      <c r="K141" s="22" t="n"/>
      <c r="L141" s="4" t="n"/>
    </row>
    <row r="142" ht="15" customHeight="1">
      <c r="A142" s="21" t="n">
        <v>141</v>
      </c>
      <c r="B142" s="21" t="inlineStr">
        <is>
          <t>Month 6</t>
        </is>
      </c>
      <c r="C142" s="21" t="inlineStr">
        <is>
          <t>W24</t>
        </is>
      </c>
      <c r="D142" s="22" t="n">
        <v>46418</v>
      </c>
      <c r="E142" s="21" t="inlineStr">
        <is>
          <t>Reviews</t>
        </is>
      </c>
      <c r="F142" s="4" t="inlineStr">
        <is>
          <t>Check the review count against the six-month target</t>
        </is>
      </c>
      <c r="G142" s="21" t="inlineStr">
        <is>
          <t>Agency</t>
        </is>
      </c>
      <c r="H142" s="21" t="inlineStr">
        <is>
          <t>Monthly</t>
        </is>
      </c>
      <c r="I142" s="21" t="inlineStr">
        <is>
          <t>High</t>
        </is>
      </c>
      <c r="J142" s="21" t="inlineStr">
        <is>
          <t>Not started</t>
        </is>
      </c>
      <c r="K142" s="22" t="n"/>
      <c r="L142" s="4" t="n"/>
    </row>
    <row r="143" ht="15" customHeight="1">
      <c r="A143" s="21" t="n">
        <v>142</v>
      </c>
      <c r="B143" s="21" t="inlineStr">
        <is>
          <t>Month 6</t>
        </is>
      </c>
      <c r="C143" s="21" t="inlineStr">
        <is>
          <t>W24</t>
        </is>
      </c>
      <c r="D143" s="22" t="n">
        <v>46418</v>
      </c>
      <c r="E143" s="21" t="inlineStr">
        <is>
          <t>Google profile</t>
        </is>
      </c>
      <c r="F143" s="4" t="inlineStr">
        <is>
          <t>Refresh the GBP services list and the questions section</t>
        </is>
      </c>
      <c r="G143" s="21" t="inlineStr">
        <is>
          <t>Agency</t>
        </is>
      </c>
      <c r="H143" s="21" t="inlineStr">
        <is>
          <t>One-off</t>
        </is>
      </c>
      <c r="I143" s="21" t="inlineStr">
        <is>
          <t>Medium</t>
        </is>
      </c>
      <c r="J143" s="21" t="inlineStr">
        <is>
          <t>Not started</t>
        </is>
      </c>
      <c r="K143" s="22" t="n"/>
      <c r="L143" s="4" t="n"/>
    </row>
    <row r="144" ht="15" customHeight="1">
      <c r="A144" s="21" t="n">
        <v>143</v>
      </c>
      <c r="B144" s="21" t="inlineStr">
        <is>
          <t>Month 6</t>
        </is>
      </c>
      <c r="C144" s="21" t="inlineStr">
        <is>
          <t>W25</t>
        </is>
      </c>
      <c r="D144" s="22" t="n">
        <v>46425</v>
      </c>
      <c r="E144" s="21" t="inlineStr">
        <is>
          <t>Measurement</t>
        </is>
      </c>
      <c r="F144" s="4" t="inlineStr">
        <is>
          <t>Full review of every number against the week-one baseline</t>
        </is>
      </c>
      <c r="G144" s="21" t="inlineStr">
        <is>
          <t>Agency</t>
        </is>
      </c>
      <c r="H144" s="21" t="inlineStr">
        <is>
          <t>One-off</t>
        </is>
      </c>
      <c r="I144" s="21" t="inlineStr">
        <is>
          <t>High</t>
        </is>
      </c>
      <c r="J144" s="21" t="inlineStr">
        <is>
          <t>Not started</t>
        </is>
      </c>
      <c r="K144" s="22" t="n"/>
      <c r="L144" s="4" t="n"/>
    </row>
    <row r="145" ht="15" customHeight="1">
      <c r="A145" s="21" t="n">
        <v>144</v>
      </c>
      <c r="B145" s="21" t="inlineStr">
        <is>
          <t>Month 6</t>
        </is>
      </c>
      <c r="C145" s="21" t="inlineStr">
        <is>
          <t>W25</t>
        </is>
      </c>
      <c r="D145" s="22" t="n">
        <v>46425</v>
      </c>
      <c r="E145" s="21" t="inlineStr">
        <is>
          <t>Website</t>
        </is>
      </c>
      <c r="F145" s="4" t="inlineStr">
        <is>
          <t>Technical audit: speed, schema, broken links, redirects</t>
        </is>
      </c>
      <c r="G145" s="21" t="inlineStr">
        <is>
          <t>Agency</t>
        </is>
      </c>
      <c r="H145" s="21" t="inlineStr">
        <is>
          <t>One-off</t>
        </is>
      </c>
      <c r="I145" s="21" t="inlineStr">
        <is>
          <t>High</t>
        </is>
      </c>
      <c r="J145" s="21" t="inlineStr">
        <is>
          <t>Not started</t>
        </is>
      </c>
      <c r="K145" s="22" t="n"/>
      <c r="L145" s="4" t="n"/>
    </row>
    <row r="146" ht="15" customHeight="1">
      <c r="A146" s="21" t="n">
        <v>145</v>
      </c>
      <c r="B146" s="21" t="inlineStr">
        <is>
          <t>Month 6</t>
        </is>
      </c>
      <c r="C146" s="21" t="inlineStr">
        <is>
          <t>W25</t>
        </is>
      </c>
      <c r="D146" s="22" t="n">
        <v>46425</v>
      </c>
      <c r="E146" s="21" t="inlineStr">
        <is>
          <t>Citations</t>
        </is>
      </c>
      <c r="F146" s="4" t="inlineStr">
        <is>
          <t>Final citation audit for the engagement</t>
        </is>
      </c>
      <c r="G146" s="21" t="inlineStr">
        <is>
          <t>Agency</t>
        </is>
      </c>
      <c r="H146" s="21" t="inlineStr">
        <is>
          <t>One-off</t>
        </is>
      </c>
      <c r="I146" s="21" t="inlineStr">
        <is>
          <t>Medium</t>
        </is>
      </c>
      <c r="J146" s="21" t="inlineStr">
        <is>
          <t>Not started</t>
        </is>
      </c>
      <c r="K146" s="22" t="n"/>
      <c r="L146" s="4" t="n"/>
    </row>
    <row r="147" ht="15" customHeight="1">
      <c r="A147" s="21" t="n">
        <v>146</v>
      </c>
      <c r="B147" s="21" t="inlineStr">
        <is>
          <t>Month 6</t>
        </is>
      </c>
      <c r="C147" s="21" t="inlineStr">
        <is>
          <t>W26</t>
        </is>
      </c>
      <c r="D147" s="22" t="n">
        <v>46432</v>
      </c>
      <c r="E147" s="21" t="inlineStr">
        <is>
          <t>Measurement</t>
        </is>
      </c>
      <c r="F147" s="4" t="inlineStr">
        <is>
          <t>Write the six-month report</t>
        </is>
      </c>
      <c r="G147" s="21" t="inlineStr">
        <is>
          <t>Agency</t>
        </is>
      </c>
      <c r="H147" s="21" t="inlineStr">
        <is>
          <t>One-off</t>
        </is>
      </c>
      <c r="I147" s="21" t="inlineStr">
        <is>
          <t>High</t>
        </is>
      </c>
      <c r="J147" s="21" t="inlineStr">
        <is>
          <t>Not started</t>
        </is>
      </c>
      <c r="K147" s="22" t="n"/>
      <c r="L147" s="4" t="n"/>
    </row>
    <row r="148" ht="15" customHeight="1">
      <c r="A148" s="21" t="n">
        <v>147</v>
      </c>
      <c r="B148" s="21" t="inlineStr">
        <is>
          <t>Month 6</t>
        </is>
      </c>
      <c r="C148" s="21" t="inlineStr">
        <is>
          <t>W26</t>
        </is>
      </c>
      <c r="D148" s="22" t="n">
        <v>46432</v>
      </c>
      <c r="E148" s="21" t="inlineStr">
        <is>
          <t>Measurement</t>
        </is>
      </c>
      <c r="F148" s="4" t="inlineStr">
        <is>
          <t>Write the recommendation for the next six months</t>
        </is>
      </c>
      <c r="G148" s="21" t="inlineStr">
        <is>
          <t>Agency</t>
        </is>
      </c>
      <c r="H148" s="21" t="inlineStr">
        <is>
          <t>One-off</t>
        </is>
      </c>
      <c r="I148" s="21" t="inlineStr">
        <is>
          <t>High</t>
        </is>
      </c>
      <c r="J148" s="21" t="inlineStr">
        <is>
          <t>Not started</t>
        </is>
      </c>
      <c r="K148" s="22" t="n"/>
      <c r="L148" s="4" t="n"/>
    </row>
    <row r="149" ht="15" customHeight="1">
      <c r="A149" s="21" t="n">
        <v>148</v>
      </c>
      <c r="B149" s="21" t="inlineStr">
        <is>
          <t>Month 6</t>
        </is>
      </c>
      <c r="C149" s="21" t="inlineStr">
        <is>
          <t>W26</t>
        </is>
      </c>
      <c r="D149" s="22" t="n">
        <v>46432</v>
      </c>
      <c r="E149" s="21" t="inlineStr">
        <is>
          <t>Website</t>
        </is>
      </c>
      <c r="F149" s="4" t="inlineStr">
        <is>
          <t>Hand over the site documentation and every login</t>
        </is>
      </c>
      <c r="G149" s="21" t="inlineStr">
        <is>
          <t>Agency</t>
        </is>
      </c>
      <c r="H149" s="21" t="inlineStr">
        <is>
          <t>One-off</t>
        </is>
      </c>
      <c r="I149" s="21" t="inlineStr">
        <is>
          <t>High</t>
        </is>
      </c>
      <c r="J149" s="21" t="inlineStr">
        <is>
          <t>Not started</t>
        </is>
      </c>
      <c r="K149" s="22" t="n"/>
      <c r="L149" s="4" t="n"/>
    </row>
  </sheetData>
  <autoFilter ref="A1:L149"/>
  <conditionalFormatting sqref="A2:L149">
    <cfRule type="expression" priority="1" dxfId="0" stopIfTrue="0">
      <formula>$J2="Done"</formula>
    </cfRule>
    <cfRule type="expression" priority="2" dxfId="1" stopIfTrue="0">
      <formula>$J2="Blocked"</formula>
    </cfRule>
    <cfRule type="expression" priority="3" dxfId="2" stopIfTrue="0">
      <formula>$J2="In progress"</formula>
    </cfRule>
    <cfRule type="expression" priority="4" dxfId="3" stopIfTrue="0">
      <formula>AND($D2&lt;TODAY(),$J2&lt;&gt;"Done",$J2&lt;&gt;"Not applicable")</formula>
    </cfRule>
  </conditionalFormatting>
  <dataValidations count="4">
    <dataValidation sqref="G2:G149" showDropDown="0" showInputMessage="0" showErrorMessage="0" allowBlank="1" type="list">
      <formula1>"Agency,Cleo,Both"</formula1>
    </dataValidation>
    <dataValidation sqref="H2:H149" showDropDown="0" showInputMessage="0" showErrorMessage="0" allowBlank="1" type="list">
      <formula1>"One-off,Daily,Weekly,Fortnightly,Monthly,Ongoing"</formula1>
    </dataValidation>
    <dataValidation sqref="I2:I149" showDropDown="0" showInputMessage="0" showErrorMessage="0" allowBlank="1" type="list">
      <formula1>"High,Medium,Low"</formula1>
    </dataValidation>
    <dataValidation sqref="J2:J149" showDropDown="0" showInputMessage="0" showErrorMessage="0" allowBlank="1" type="list">
      <formula1>"Not started,In progress,Blocked,Done,Not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14" customWidth="1" min="4" max="4"/>
    <col width="11" customWidth="1" min="5" max="5"/>
    <col width="30" customWidth="1" min="6" max="6"/>
  </cols>
  <sheetData>
    <row r="1" ht="22" customHeight="1">
      <c r="A1" s="1" t="inlineStr">
        <is>
          <t>Website build timeline</t>
        </is>
      </c>
    </row>
    <row r="2">
      <c r="A2" s="2" t="inlineStr">
        <is>
          <t>Approved, full build. Real dates, not weeks-from-approval. Everything after 31 August slips one-for-one if the design sign-off slips.</t>
        </is>
      </c>
    </row>
    <row r="4" ht="28" customHeight="1">
      <c r="A4" s="9" t="inlineStr">
        <is>
          <t>When</t>
        </is>
      </c>
      <c r="B4" s="9" t="inlineStr">
        <is>
          <t>What we do</t>
        </is>
      </c>
      <c r="C4" s="9" t="inlineStr">
        <is>
          <t>What we need from Cleo</t>
        </is>
      </c>
      <c r="D4" s="9" t="inlineStr">
        <is>
          <t>Status</t>
        </is>
      </c>
      <c r="E4" s="9" t="inlineStr">
        <is>
          <t>Date done</t>
        </is>
      </c>
      <c r="F4" s="9" t="inlineStr">
        <is>
          <t>Notes</t>
        </is>
      </c>
    </row>
    <row r="5" ht="42" customHeight="1">
      <c r="A5" s="12" t="inlineStr">
        <is>
          <t>Aug 24 - 28</t>
        </is>
      </c>
      <c r="B5" s="4" t="inlineStr">
        <is>
          <t>Planning and design: sitemap, page inventory, wireframes for home, contact and the treatment template, keyword-to-page map, brand kit pulled from design/brand</t>
        </is>
      </c>
      <c r="C5" s="4" t="inlineStr">
        <is>
          <t>Registrar login, treatment list with current pricing, photos of the room, a headshot, logo files</t>
        </is>
      </c>
      <c r="D5" s="4" t="inlineStr">
        <is>
          <t>Not started</t>
        </is>
      </c>
      <c r="E5" s="23" t="n"/>
      <c r="F5" s="4" t="n"/>
    </row>
    <row r="6" ht="42" customHeight="1">
      <c r="A6" s="12" t="inlineStr">
        <is>
          <t>Aug 31</t>
        </is>
      </c>
      <c r="B6" s="4" t="inlineStr">
        <is>
          <t>Design sign-off. This is the gate — nothing is built before it clears</t>
        </is>
      </c>
      <c r="C6" s="4" t="inlineStr">
        <is>
          <t>Sign off the wireframes and the look, in writing</t>
        </is>
      </c>
      <c r="D6" s="4" t="inlineStr">
        <is>
          <t>Not started</t>
        </is>
      </c>
      <c r="E6" s="23" t="n"/>
      <c r="F6" s="4" t="n"/>
    </row>
    <row r="7" ht="42" customHeight="1">
      <c r="A7" s="12" t="inlineStr">
        <is>
          <t>Sep 1 - 6</t>
        </is>
      </c>
      <c r="B7" s="4" t="inlineStr">
        <is>
          <t>BUILD STARTS. Hosting sorted, DNS pointed at the new site, platform set up, page structure scaffolded</t>
        </is>
      </c>
      <c r="C7" s="4" t="inlineStr">
        <is>
          <t>Nothing. This week is ours</t>
        </is>
      </c>
      <c r="D7" s="4" t="inlineStr">
        <is>
          <t>Not started</t>
        </is>
      </c>
      <c r="E7" s="23" t="n"/>
      <c r="F7" s="4" t="n"/>
    </row>
    <row r="8" ht="42" customHeight="1">
      <c r="A8" s="12" t="inlineStr">
        <is>
          <t>Sep 7 - 13</t>
        </is>
      </c>
      <c r="B8" s="4" t="inlineStr">
        <is>
          <t>Home and contact complete in staging: corrected address at L6M 0T9, real hours, booking link, LocalBusiness and Service schema, title tags and meta descriptions</t>
        </is>
      </c>
      <c r="C8" s="4" t="inlineStr">
        <is>
          <t>Read the home page copy and approve it</t>
        </is>
      </c>
      <c r="D8" s="4" t="inlineStr">
        <is>
          <t>Not started</t>
        </is>
      </c>
      <c r="E8" s="23" t="n"/>
      <c r="F8" s="4" t="n"/>
    </row>
    <row r="9" ht="42" customHeight="1">
      <c r="A9" s="12" t="inlineStr">
        <is>
          <t>Sep 14 - 27</t>
        </is>
      </c>
      <c r="B9" s="4" t="inlineStr">
        <is>
          <t>Treatment pages: lip filler, dermal filler and facial balancing, anti-wrinkle injections, skin boosters. Internal linking, image compression, alt text</t>
        </is>
      </c>
      <c r="C9" s="4" t="inlineStr">
        <is>
          <t>Read the copy and confirm every claim is one you can stand behind</t>
        </is>
      </c>
      <c r="D9" s="4" t="inlineStr">
        <is>
          <t>Not started</t>
        </is>
      </c>
      <c r="E9" s="23" t="n"/>
      <c r="F9" s="4" t="n"/>
    </row>
    <row r="10" ht="42" customHeight="1">
      <c r="A10" s="12" t="inlineStr">
        <is>
          <t>Sep 28 - Oct 4</t>
        </is>
      </c>
      <c r="B10" s="4" t="inlineStr">
        <is>
          <t>Remaining treatment pages: dermaplaning, electrolysis, Belkyra. The Oakville and surrounding-area page. Mobile speed pass</t>
        </is>
      </c>
      <c r="C10" s="4" t="inlineStr">
        <is>
          <t>Nothing. This week is ours</t>
        </is>
      </c>
      <c r="D10" s="4" t="inlineStr">
        <is>
          <t>Not started</t>
        </is>
      </c>
      <c r="E10" s="23" t="n"/>
      <c r="F10" s="4" t="n"/>
    </row>
    <row r="11" ht="42" customHeight="1">
      <c r="A11" s="12" t="inlineStr">
        <is>
          <t>Oct 5 - 11</t>
        </is>
      </c>
      <c r="B11" s="4" t="inlineStr">
        <is>
          <t>LAUNCH. Search Console verified, sitemap submitted, analytics running, GBP website field repointed, every citation updated to the new URL</t>
        </is>
      </c>
      <c r="C11" s="4" t="inlineStr">
        <is>
          <t>Final sign-off before it goes live</t>
        </is>
      </c>
      <c r="D11" s="4" t="inlineStr">
        <is>
          <t>Not started</t>
        </is>
      </c>
      <c r="E11" s="23" t="n"/>
      <c r="F11" s="4" t="n"/>
    </row>
    <row r="12" ht="42" customHeight="1">
      <c r="A12" s="12" t="inlineStr">
        <is>
          <t>Oct 12 - Nov 8</t>
        </is>
      </c>
      <c r="B12" s="4" t="inlineStr">
        <is>
          <t>Indexing and on-page. Fix whatever Search Console flags, FAQ schema on the treatment pages, the first three question-intent articles</t>
        </is>
      </c>
      <c r="C12" s="4" t="inlineStr">
        <is>
          <t>The questions you get asked most in consults</t>
        </is>
      </c>
      <c r="D12" s="4" t="inlineStr">
        <is>
          <t>Not started</t>
        </is>
      </c>
      <c r="E12" s="23" t="n"/>
      <c r="F12" s="4" t="n"/>
    </row>
    <row r="13" ht="42" customHeight="1">
      <c r="A13" s="12" t="inlineStr">
        <is>
          <t>Nov 9 - Feb 14</t>
        </is>
      </c>
      <c r="B13" s="4" t="inlineStr">
        <is>
          <t>Depth. Weight-loss page, before-and-after gallery, five more articles, near-miss query optimisation, technical audit, handover</t>
        </is>
      </c>
      <c r="C13" s="4" t="inlineStr">
        <is>
          <t>Consent-cleared photos as they come, and the consult questions</t>
        </is>
      </c>
      <c r="D13" s="4" t="inlineStr">
        <is>
          <t>Not started</t>
        </is>
      </c>
      <c r="E13" s="23" t="n"/>
      <c r="F13" s="4" t="n"/>
    </row>
  </sheetData>
  <conditionalFormatting sqref="A5:F13">
    <cfRule type="expression" priority="1" dxfId="0" stopIfTrue="0">
      <formula>$D5="Done"</formula>
    </cfRule>
    <cfRule type="expression" priority="2" dxfId="1" stopIfTrue="0">
      <formula>$D5="Blocked"</formula>
    </cfRule>
    <cfRule type="expression" priority="3" dxfId="2" stopIfTrue="0">
      <formula>$D5="In progress"</formula>
    </cfRule>
  </conditionalFormatting>
  <dataValidations count="1">
    <dataValidation sqref="D5:D13" showDropDown="0" showInputMessage="0" showErrorMessage="0" allowBlank="1" type="list">
      <formula1>"Not started,In progress,Blocked,Done,Not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1" customWidth="1" min="4" max="4"/>
    <col width="15" customWidth="1" min="5" max="5"/>
    <col width="13" customWidth="1" min="6" max="6"/>
    <col width="12" customWidth="1" min="7" max="7"/>
    <col width="10" customWidth="1" min="8" max="8"/>
    <col width="40" customWidth="1" min="9" max="9"/>
  </cols>
  <sheetData>
    <row r="1" ht="22" customHeight="1">
      <c r="A1" s="1" t="inlineStr">
        <is>
          <t>Review tracker</t>
        </is>
      </c>
    </row>
    <row r="2">
      <c r="A2" s="2" t="inlineStr">
        <is>
          <t>Baseline 12 reviews at 5.0. Target 18 to 22 new ones across the six months, roughly one every ten days. Ask inside 24 hours or the number does not move.</t>
        </is>
      </c>
      <c r="F2" s="3" t="inlineStr">
        <is>
          <t>Asks sent</t>
        </is>
      </c>
      <c r="G2" s="3">
        <f>COUNTA(A5:A164)</f>
        <v/>
      </c>
      <c r="H2" s="3" t="inlineStr">
        <is>
          <t>Reviews landed</t>
        </is>
      </c>
      <c r="I2" s="3">
        <f>COUNTIF(E5:E164,"Yes")</f>
        <v/>
      </c>
    </row>
    <row r="4" ht="28" customHeight="1">
      <c r="A4" s="9" t="inlineStr">
        <is>
          <t>Date asked</t>
        </is>
      </c>
      <c r="B4" s="9" t="inlineStr">
        <is>
          <t>Patient (initials)</t>
        </is>
      </c>
      <c r="C4" s="9" t="inlineStr">
        <is>
          <t>How we asked</t>
        </is>
      </c>
      <c r="D4" s="9" t="inlineStr">
        <is>
          <t>Asked by</t>
        </is>
      </c>
      <c r="E4" s="9" t="inlineStr">
        <is>
          <t>Review received</t>
        </is>
      </c>
      <c r="F4" s="9" t="inlineStr">
        <is>
          <t>Date received</t>
        </is>
      </c>
      <c r="G4" s="9" t="inlineStr">
        <is>
          <t>Platform</t>
        </is>
      </c>
      <c r="H4" s="9" t="inlineStr">
        <is>
          <t>Replied</t>
        </is>
      </c>
      <c r="I4" s="9" t="inlineStr">
        <is>
          <t>Notes</t>
        </is>
      </c>
    </row>
    <row r="5">
      <c r="A5" s="24" t="n"/>
      <c r="B5" s="6" t="n"/>
      <c r="C5" s="6" t="n"/>
      <c r="D5" s="6" t="n"/>
      <c r="E5" s="6" t="n"/>
      <c r="F5" s="24" t="n"/>
      <c r="G5" s="6" t="n"/>
      <c r="H5" s="6" t="n"/>
      <c r="I5" s="6" t="n"/>
    </row>
    <row r="6">
      <c r="A6" s="24" t="n"/>
      <c r="B6" s="6" t="n"/>
      <c r="C6" s="6" t="n"/>
      <c r="D6" s="6" t="n"/>
      <c r="E6" s="6" t="n"/>
      <c r="F6" s="24" t="n"/>
      <c r="G6" s="6" t="n"/>
      <c r="H6" s="6" t="n"/>
      <c r="I6" s="6" t="n"/>
    </row>
    <row r="7">
      <c r="A7" s="24" t="n"/>
      <c r="B7" s="6" t="n"/>
      <c r="C7" s="6" t="n"/>
      <c r="D7" s="6" t="n"/>
      <c r="E7" s="6" t="n"/>
      <c r="F7" s="24" t="n"/>
      <c r="G7" s="6" t="n"/>
      <c r="H7" s="6" t="n"/>
      <c r="I7" s="6" t="n"/>
    </row>
    <row r="8">
      <c r="A8" s="24" t="n"/>
      <c r="B8" s="6" t="n"/>
      <c r="C8" s="6" t="n"/>
      <c r="D8" s="6" t="n"/>
      <c r="E8" s="6" t="n"/>
      <c r="F8" s="24" t="n"/>
      <c r="G8" s="6" t="n"/>
      <c r="H8" s="6" t="n"/>
      <c r="I8" s="6" t="n"/>
    </row>
    <row r="9">
      <c r="A9" s="24" t="n"/>
      <c r="B9" s="6" t="n"/>
      <c r="C9" s="6" t="n"/>
      <c r="D9" s="6" t="n"/>
      <c r="E9" s="6" t="n"/>
      <c r="F9" s="24" t="n"/>
      <c r="G9" s="6" t="n"/>
      <c r="H9" s="6" t="n"/>
      <c r="I9" s="6" t="n"/>
    </row>
    <row r="10">
      <c r="A10" s="24" t="n"/>
      <c r="B10" s="6" t="n"/>
      <c r="C10" s="6" t="n"/>
      <c r="D10" s="6" t="n"/>
      <c r="E10" s="6" t="n"/>
      <c r="F10" s="24" t="n"/>
      <c r="G10" s="6" t="n"/>
      <c r="H10" s="6" t="n"/>
      <c r="I10" s="6" t="n"/>
    </row>
    <row r="11">
      <c r="A11" s="24" t="n"/>
      <c r="B11" s="6" t="n"/>
      <c r="C11" s="6" t="n"/>
      <c r="D11" s="6" t="n"/>
      <c r="E11" s="6" t="n"/>
      <c r="F11" s="24" t="n"/>
      <c r="G11" s="6" t="n"/>
      <c r="H11" s="6" t="n"/>
      <c r="I11" s="6" t="n"/>
    </row>
    <row r="12">
      <c r="A12" s="24" t="n"/>
      <c r="B12" s="6" t="n"/>
      <c r="C12" s="6" t="n"/>
      <c r="D12" s="6" t="n"/>
      <c r="E12" s="6" t="n"/>
      <c r="F12" s="24" t="n"/>
      <c r="G12" s="6" t="n"/>
      <c r="H12" s="6" t="n"/>
      <c r="I12" s="6" t="n"/>
    </row>
    <row r="13">
      <c r="A13" s="24" t="n"/>
      <c r="B13" s="6" t="n"/>
      <c r="C13" s="6" t="n"/>
      <c r="D13" s="6" t="n"/>
      <c r="E13" s="6" t="n"/>
      <c r="F13" s="24" t="n"/>
      <c r="G13" s="6" t="n"/>
      <c r="H13" s="6" t="n"/>
      <c r="I13" s="6" t="n"/>
    </row>
    <row r="14">
      <c r="A14" s="24" t="n"/>
      <c r="B14" s="6" t="n"/>
      <c r="C14" s="6" t="n"/>
      <c r="D14" s="6" t="n"/>
      <c r="E14" s="6" t="n"/>
      <c r="F14" s="24" t="n"/>
      <c r="G14" s="6" t="n"/>
      <c r="H14" s="6" t="n"/>
      <c r="I14" s="6" t="n"/>
    </row>
    <row r="15">
      <c r="A15" s="24" t="n"/>
      <c r="B15" s="6" t="n"/>
      <c r="C15" s="6" t="n"/>
      <c r="D15" s="6" t="n"/>
      <c r="E15" s="6" t="n"/>
      <c r="F15" s="24" t="n"/>
      <c r="G15" s="6" t="n"/>
      <c r="H15" s="6" t="n"/>
      <c r="I15" s="6" t="n"/>
    </row>
    <row r="16">
      <c r="A16" s="24" t="n"/>
      <c r="B16" s="6" t="n"/>
      <c r="C16" s="6" t="n"/>
      <c r="D16" s="6" t="n"/>
      <c r="E16" s="6" t="n"/>
      <c r="F16" s="24" t="n"/>
      <c r="G16" s="6" t="n"/>
      <c r="H16" s="6" t="n"/>
      <c r="I16" s="6" t="n"/>
    </row>
    <row r="17">
      <c r="A17" s="24" t="n"/>
      <c r="B17" s="6" t="n"/>
      <c r="C17" s="6" t="n"/>
      <c r="D17" s="6" t="n"/>
      <c r="E17" s="6" t="n"/>
      <c r="F17" s="24" t="n"/>
      <c r="G17" s="6" t="n"/>
      <c r="H17" s="6" t="n"/>
      <c r="I17" s="6" t="n"/>
    </row>
    <row r="18">
      <c r="A18" s="24" t="n"/>
      <c r="B18" s="6" t="n"/>
      <c r="C18" s="6" t="n"/>
      <c r="D18" s="6" t="n"/>
      <c r="E18" s="6" t="n"/>
      <c r="F18" s="24" t="n"/>
      <c r="G18" s="6" t="n"/>
      <c r="H18" s="6" t="n"/>
      <c r="I18" s="6" t="n"/>
    </row>
    <row r="19">
      <c r="A19" s="24" t="n"/>
      <c r="B19" s="6" t="n"/>
      <c r="C19" s="6" t="n"/>
      <c r="D19" s="6" t="n"/>
      <c r="E19" s="6" t="n"/>
      <c r="F19" s="24" t="n"/>
      <c r="G19" s="6" t="n"/>
      <c r="H19" s="6" t="n"/>
      <c r="I19" s="6" t="n"/>
    </row>
    <row r="20">
      <c r="A20" s="24" t="n"/>
      <c r="B20" s="6" t="n"/>
      <c r="C20" s="6" t="n"/>
      <c r="D20" s="6" t="n"/>
      <c r="E20" s="6" t="n"/>
      <c r="F20" s="24" t="n"/>
      <c r="G20" s="6" t="n"/>
      <c r="H20" s="6" t="n"/>
      <c r="I20" s="6" t="n"/>
    </row>
    <row r="21">
      <c r="A21" s="24" t="n"/>
      <c r="B21" s="6" t="n"/>
      <c r="C21" s="6" t="n"/>
      <c r="D21" s="6" t="n"/>
      <c r="E21" s="6" t="n"/>
      <c r="F21" s="24" t="n"/>
      <c r="G21" s="6" t="n"/>
      <c r="H21" s="6" t="n"/>
      <c r="I21" s="6" t="n"/>
    </row>
    <row r="22">
      <c r="A22" s="24" t="n"/>
      <c r="B22" s="6" t="n"/>
      <c r="C22" s="6" t="n"/>
      <c r="D22" s="6" t="n"/>
      <c r="E22" s="6" t="n"/>
      <c r="F22" s="24" t="n"/>
      <c r="G22" s="6" t="n"/>
      <c r="H22" s="6" t="n"/>
      <c r="I22" s="6" t="n"/>
    </row>
    <row r="23">
      <c r="A23" s="24" t="n"/>
      <c r="B23" s="6" t="n"/>
      <c r="C23" s="6" t="n"/>
      <c r="D23" s="6" t="n"/>
      <c r="E23" s="6" t="n"/>
      <c r="F23" s="24" t="n"/>
      <c r="G23" s="6" t="n"/>
      <c r="H23" s="6" t="n"/>
      <c r="I23" s="6" t="n"/>
    </row>
    <row r="24">
      <c r="A24" s="24" t="n"/>
      <c r="B24" s="6" t="n"/>
      <c r="C24" s="6" t="n"/>
      <c r="D24" s="6" t="n"/>
      <c r="E24" s="6" t="n"/>
      <c r="F24" s="24" t="n"/>
      <c r="G24" s="6" t="n"/>
      <c r="H24" s="6" t="n"/>
      <c r="I24" s="6" t="n"/>
    </row>
    <row r="25">
      <c r="A25" s="24" t="n"/>
      <c r="B25" s="6" t="n"/>
      <c r="C25" s="6" t="n"/>
      <c r="D25" s="6" t="n"/>
      <c r="E25" s="6" t="n"/>
      <c r="F25" s="24" t="n"/>
      <c r="G25" s="6" t="n"/>
      <c r="H25" s="6" t="n"/>
      <c r="I25" s="6" t="n"/>
    </row>
    <row r="26">
      <c r="A26" s="24" t="n"/>
      <c r="B26" s="6" t="n"/>
      <c r="C26" s="6" t="n"/>
      <c r="D26" s="6" t="n"/>
      <c r="E26" s="6" t="n"/>
      <c r="F26" s="24" t="n"/>
      <c r="G26" s="6" t="n"/>
      <c r="H26" s="6" t="n"/>
      <c r="I26" s="6" t="n"/>
    </row>
    <row r="27">
      <c r="A27" s="24" t="n"/>
      <c r="B27" s="6" t="n"/>
      <c r="C27" s="6" t="n"/>
      <c r="D27" s="6" t="n"/>
      <c r="E27" s="6" t="n"/>
      <c r="F27" s="24" t="n"/>
      <c r="G27" s="6" t="n"/>
      <c r="H27" s="6" t="n"/>
      <c r="I27" s="6" t="n"/>
    </row>
    <row r="28">
      <c r="A28" s="24" t="n"/>
      <c r="B28" s="6" t="n"/>
      <c r="C28" s="6" t="n"/>
      <c r="D28" s="6" t="n"/>
      <c r="E28" s="6" t="n"/>
      <c r="F28" s="24" t="n"/>
      <c r="G28" s="6" t="n"/>
      <c r="H28" s="6" t="n"/>
      <c r="I28" s="6" t="n"/>
    </row>
    <row r="29">
      <c r="A29" s="24" t="n"/>
      <c r="B29" s="6" t="n"/>
      <c r="C29" s="6" t="n"/>
      <c r="D29" s="6" t="n"/>
      <c r="E29" s="6" t="n"/>
      <c r="F29" s="24" t="n"/>
      <c r="G29" s="6" t="n"/>
      <c r="H29" s="6" t="n"/>
      <c r="I29" s="6" t="n"/>
    </row>
    <row r="30">
      <c r="A30" s="24" t="n"/>
      <c r="B30" s="6" t="n"/>
      <c r="C30" s="6" t="n"/>
      <c r="D30" s="6" t="n"/>
      <c r="E30" s="6" t="n"/>
      <c r="F30" s="24" t="n"/>
      <c r="G30" s="6" t="n"/>
      <c r="H30" s="6" t="n"/>
      <c r="I30" s="6" t="n"/>
    </row>
    <row r="31">
      <c r="A31" s="24" t="n"/>
      <c r="B31" s="6" t="n"/>
      <c r="C31" s="6" t="n"/>
      <c r="D31" s="6" t="n"/>
      <c r="E31" s="6" t="n"/>
      <c r="F31" s="24" t="n"/>
      <c r="G31" s="6" t="n"/>
      <c r="H31" s="6" t="n"/>
      <c r="I31" s="6" t="n"/>
    </row>
    <row r="32">
      <c r="A32" s="24" t="n"/>
      <c r="B32" s="6" t="n"/>
      <c r="C32" s="6" t="n"/>
      <c r="D32" s="6" t="n"/>
      <c r="E32" s="6" t="n"/>
      <c r="F32" s="24" t="n"/>
      <c r="G32" s="6" t="n"/>
      <c r="H32" s="6" t="n"/>
      <c r="I32" s="6" t="n"/>
    </row>
    <row r="33">
      <c r="A33" s="24" t="n"/>
      <c r="B33" s="6" t="n"/>
      <c r="C33" s="6" t="n"/>
      <c r="D33" s="6" t="n"/>
      <c r="E33" s="6" t="n"/>
      <c r="F33" s="24" t="n"/>
      <c r="G33" s="6" t="n"/>
      <c r="H33" s="6" t="n"/>
      <c r="I33" s="6" t="n"/>
    </row>
    <row r="34">
      <c r="A34" s="24" t="n"/>
      <c r="B34" s="6" t="n"/>
      <c r="C34" s="6" t="n"/>
      <c r="D34" s="6" t="n"/>
      <c r="E34" s="6" t="n"/>
      <c r="F34" s="24" t="n"/>
      <c r="G34" s="6" t="n"/>
      <c r="H34" s="6" t="n"/>
      <c r="I34" s="6" t="n"/>
    </row>
    <row r="35">
      <c r="A35" s="24" t="n"/>
      <c r="B35" s="6" t="n"/>
      <c r="C35" s="6" t="n"/>
      <c r="D35" s="6" t="n"/>
      <c r="E35" s="6" t="n"/>
      <c r="F35" s="24" t="n"/>
      <c r="G35" s="6" t="n"/>
      <c r="H35" s="6" t="n"/>
      <c r="I35" s="6" t="n"/>
    </row>
    <row r="36">
      <c r="A36" s="24" t="n"/>
      <c r="B36" s="6" t="n"/>
      <c r="C36" s="6" t="n"/>
      <c r="D36" s="6" t="n"/>
      <c r="E36" s="6" t="n"/>
      <c r="F36" s="24" t="n"/>
      <c r="G36" s="6" t="n"/>
      <c r="H36" s="6" t="n"/>
      <c r="I36" s="6" t="n"/>
    </row>
    <row r="37">
      <c r="A37" s="24" t="n"/>
      <c r="B37" s="6" t="n"/>
      <c r="C37" s="6" t="n"/>
      <c r="D37" s="6" t="n"/>
      <c r="E37" s="6" t="n"/>
      <c r="F37" s="24" t="n"/>
      <c r="G37" s="6" t="n"/>
      <c r="H37" s="6" t="n"/>
      <c r="I37" s="6" t="n"/>
    </row>
    <row r="38">
      <c r="A38" s="24" t="n"/>
      <c r="B38" s="6" t="n"/>
      <c r="C38" s="6" t="n"/>
      <c r="D38" s="6" t="n"/>
      <c r="E38" s="6" t="n"/>
      <c r="F38" s="24" t="n"/>
      <c r="G38" s="6" t="n"/>
      <c r="H38" s="6" t="n"/>
      <c r="I38" s="6" t="n"/>
    </row>
    <row r="39">
      <c r="A39" s="24" t="n"/>
      <c r="B39" s="6" t="n"/>
      <c r="C39" s="6" t="n"/>
      <c r="D39" s="6" t="n"/>
      <c r="E39" s="6" t="n"/>
      <c r="F39" s="24" t="n"/>
      <c r="G39" s="6" t="n"/>
      <c r="H39" s="6" t="n"/>
      <c r="I39" s="6" t="n"/>
    </row>
    <row r="40">
      <c r="A40" s="24" t="n"/>
      <c r="B40" s="6" t="n"/>
      <c r="C40" s="6" t="n"/>
      <c r="D40" s="6" t="n"/>
      <c r="E40" s="6" t="n"/>
      <c r="F40" s="24" t="n"/>
      <c r="G40" s="6" t="n"/>
      <c r="H40" s="6" t="n"/>
      <c r="I40" s="6" t="n"/>
    </row>
    <row r="41">
      <c r="A41" s="24" t="n"/>
      <c r="B41" s="6" t="n"/>
      <c r="C41" s="6" t="n"/>
      <c r="D41" s="6" t="n"/>
      <c r="E41" s="6" t="n"/>
      <c r="F41" s="24" t="n"/>
      <c r="G41" s="6" t="n"/>
      <c r="H41" s="6" t="n"/>
      <c r="I41" s="6" t="n"/>
    </row>
    <row r="42">
      <c r="A42" s="24" t="n"/>
      <c r="B42" s="6" t="n"/>
      <c r="C42" s="6" t="n"/>
      <c r="D42" s="6" t="n"/>
      <c r="E42" s="6" t="n"/>
      <c r="F42" s="24" t="n"/>
      <c r="G42" s="6" t="n"/>
      <c r="H42" s="6" t="n"/>
      <c r="I42" s="6" t="n"/>
    </row>
    <row r="43">
      <c r="A43" s="24" t="n"/>
      <c r="B43" s="6" t="n"/>
      <c r="C43" s="6" t="n"/>
      <c r="D43" s="6" t="n"/>
      <c r="E43" s="6" t="n"/>
      <c r="F43" s="24" t="n"/>
      <c r="G43" s="6" t="n"/>
      <c r="H43" s="6" t="n"/>
      <c r="I43" s="6" t="n"/>
    </row>
    <row r="44">
      <c r="A44" s="24" t="n"/>
      <c r="B44" s="6" t="n"/>
      <c r="C44" s="6" t="n"/>
      <c r="D44" s="6" t="n"/>
      <c r="E44" s="6" t="n"/>
      <c r="F44" s="24" t="n"/>
      <c r="G44" s="6" t="n"/>
      <c r="H44" s="6" t="n"/>
      <c r="I44" s="6" t="n"/>
    </row>
    <row r="45">
      <c r="A45" s="24" t="n"/>
      <c r="B45" s="6" t="n"/>
      <c r="C45" s="6" t="n"/>
      <c r="D45" s="6" t="n"/>
      <c r="E45" s="6" t="n"/>
      <c r="F45" s="24" t="n"/>
      <c r="G45" s="6" t="n"/>
      <c r="H45" s="6" t="n"/>
      <c r="I45" s="6" t="n"/>
    </row>
    <row r="46">
      <c r="A46" s="24" t="n"/>
      <c r="B46" s="6" t="n"/>
      <c r="C46" s="6" t="n"/>
      <c r="D46" s="6" t="n"/>
      <c r="E46" s="6" t="n"/>
      <c r="F46" s="24" t="n"/>
      <c r="G46" s="6" t="n"/>
      <c r="H46" s="6" t="n"/>
      <c r="I46" s="6" t="n"/>
    </row>
    <row r="47">
      <c r="A47" s="24" t="n"/>
      <c r="B47" s="6" t="n"/>
      <c r="C47" s="6" t="n"/>
      <c r="D47" s="6" t="n"/>
      <c r="E47" s="6" t="n"/>
      <c r="F47" s="24" t="n"/>
      <c r="G47" s="6" t="n"/>
      <c r="H47" s="6" t="n"/>
      <c r="I47" s="6" t="n"/>
    </row>
    <row r="48">
      <c r="A48" s="24" t="n"/>
      <c r="B48" s="6" t="n"/>
      <c r="C48" s="6" t="n"/>
      <c r="D48" s="6" t="n"/>
      <c r="E48" s="6" t="n"/>
      <c r="F48" s="24" t="n"/>
      <c r="G48" s="6" t="n"/>
      <c r="H48" s="6" t="n"/>
      <c r="I48" s="6" t="n"/>
    </row>
    <row r="49">
      <c r="A49" s="24" t="n"/>
      <c r="B49" s="6" t="n"/>
      <c r="C49" s="6" t="n"/>
      <c r="D49" s="6" t="n"/>
      <c r="E49" s="6" t="n"/>
      <c r="F49" s="24" t="n"/>
      <c r="G49" s="6" t="n"/>
      <c r="H49" s="6" t="n"/>
      <c r="I49" s="6" t="n"/>
    </row>
    <row r="50">
      <c r="A50" s="24" t="n"/>
      <c r="B50" s="6" t="n"/>
      <c r="C50" s="6" t="n"/>
      <c r="D50" s="6" t="n"/>
      <c r="E50" s="6" t="n"/>
      <c r="F50" s="24" t="n"/>
      <c r="G50" s="6" t="n"/>
      <c r="H50" s="6" t="n"/>
      <c r="I50" s="6" t="n"/>
    </row>
    <row r="51">
      <c r="A51" s="24" t="n"/>
      <c r="B51" s="6" t="n"/>
      <c r="C51" s="6" t="n"/>
      <c r="D51" s="6" t="n"/>
      <c r="E51" s="6" t="n"/>
      <c r="F51" s="24" t="n"/>
      <c r="G51" s="6" t="n"/>
      <c r="H51" s="6" t="n"/>
      <c r="I51" s="6" t="n"/>
    </row>
    <row r="52">
      <c r="A52" s="24" t="n"/>
      <c r="B52" s="6" t="n"/>
      <c r="C52" s="6" t="n"/>
      <c r="D52" s="6" t="n"/>
      <c r="E52" s="6" t="n"/>
      <c r="F52" s="24" t="n"/>
      <c r="G52" s="6" t="n"/>
      <c r="H52" s="6" t="n"/>
      <c r="I52" s="6" t="n"/>
    </row>
    <row r="53">
      <c r="A53" s="24" t="n"/>
      <c r="B53" s="6" t="n"/>
      <c r="C53" s="6" t="n"/>
      <c r="D53" s="6" t="n"/>
      <c r="E53" s="6" t="n"/>
      <c r="F53" s="24" t="n"/>
      <c r="G53" s="6" t="n"/>
      <c r="H53" s="6" t="n"/>
      <c r="I53" s="6" t="n"/>
    </row>
    <row r="54">
      <c r="A54" s="24" t="n"/>
      <c r="B54" s="6" t="n"/>
      <c r="C54" s="6" t="n"/>
      <c r="D54" s="6" t="n"/>
      <c r="E54" s="6" t="n"/>
      <c r="F54" s="24" t="n"/>
      <c r="G54" s="6" t="n"/>
      <c r="H54" s="6" t="n"/>
      <c r="I54" s="6" t="n"/>
    </row>
    <row r="55">
      <c r="A55" s="24" t="n"/>
      <c r="B55" s="6" t="n"/>
      <c r="C55" s="6" t="n"/>
      <c r="D55" s="6" t="n"/>
      <c r="E55" s="6" t="n"/>
      <c r="F55" s="24" t="n"/>
      <c r="G55" s="6" t="n"/>
      <c r="H55" s="6" t="n"/>
      <c r="I55" s="6" t="n"/>
    </row>
    <row r="56">
      <c r="A56" s="24" t="n"/>
      <c r="B56" s="6" t="n"/>
      <c r="C56" s="6" t="n"/>
      <c r="D56" s="6" t="n"/>
      <c r="E56" s="6" t="n"/>
      <c r="F56" s="24" t="n"/>
      <c r="G56" s="6" t="n"/>
      <c r="H56" s="6" t="n"/>
      <c r="I56" s="6" t="n"/>
    </row>
    <row r="57">
      <c r="A57" s="24" t="n"/>
      <c r="B57" s="6" t="n"/>
      <c r="C57" s="6" t="n"/>
      <c r="D57" s="6" t="n"/>
      <c r="E57" s="6" t="n"/>
      <c r="F57" s="24" t="n"/>
      <c r="G57" s="6" t="n"/>
      <c r="H57" s="6" t="n"/>
      <c r="I57" s="6" t="n"/>
    </row>
    <row r="58">
      <c r="A58" s="24" t="n"/>
      <c r="B58" s="6" t="n"/>
      <c r="C58" s="6" t="n"/>
      <c r="D58" s="6" t="n"/>
      <c r="E58" s="6" t="n"/>
      <c r="F58" s="24" t="n"/>
      <c r="G58" s="6" t="n"/>
      <c r="H58" s="6" t="n"/>
      <c r="I58" s="6" t="n"/>
    </row>
    <row r="59">
      <c r="A59" s="24" t="n"/>
      <c r="B59" s="6" t="n"/>
      <c r="C59" s="6" t="n"/>
      <c r="D59" s="6" t="n"/>
      <c r="E59" s="6" t="n"/>
      <c r="F59" s="24" t="n"/>
      <c r="G59" s="6" t="n"/>
      <c r="H59" s="6" t="n"/>
      <c r="I59" s="6" t="n"/>
    </row>
    <row r="60">
      <c r="A60" s="24" t="n"/>
      <c r="B60" s="6" t="n"/>
      <c r="C60" s="6" t="n"/>
      <c r="D60" s="6" t="n"/>
      <c r="E60" s="6" t="n"/>
      <c r="F60" s="24" t="n"/>
      <c r="G60" s="6" t="n"/>
      <c r="H60" s="6" t="n"/>
      <c r="I60" s="6" t="n"/>
    </row>
    <row r="61">
      <c r="A61" s="24" t="n"/>
      <c r="B61" s="6" t="n"/>
      <c r="C61" s="6" t="n"/>
      <c r="D61" s="6" t="n"/>
      <c r="E61" s="6" t="n"/>
      <c r="F61" s="24" t="n"/>
      <c r="G61" s="6" t="n"/>
      <c r="H61" s="6" t="n"/>
      <c r="I61" s="6" t="n"/>
    </row>
    <row r="62">
      <c r="A62" s="24" t="n"/>
      <c r="B62" s="6" t="n"/>
      <c r="C62" s="6" t="n"/>
      <c r="D62" s="6" t="n"/>
      <c r="E62" s="6" t="n"/>
      <c r="F62" s="24" t="n"/>
      <c r="G62" s="6" t="n"/>
      <c r="H62" s="6" t="n"/>
      <c r="I62" s="6" t="n"/>
    </row>
    <row r="63">
      <c r="A63" s="24" t="n"/>
      <c r="B63" s="6" t="n"/>
      <c r="C63" s="6" t="n"/>
      <c r="D63" s="6" t="n"/>
      <c r="E63" s="6" t="n"/>
      <c r="F63" s="24" t="n"/>
      <c r="G63" s="6" t="n"/>
      <c r="H63" s="6" t="n"/>
      <c r="I63" s="6" t="n"/>
    </row>
    <row r="64">
      <c r="A64" s="24" t="n"/>
      <c r="B64" s="6" t="n"/>
      <c r="C64" s="6" t="n"/>
      <c r="D64" s="6" t="n"/>
      <c r="E64" s="6" t="n"/>
      <c r="F64" s="24" t="n"/>
      <c r="G64" s="6" t="n"/>
      <c r="H64" s="6" t="n"/>
      <c r="I64" s="6" t="n"/>
    </row>
    <row r="65">
      <c r="A65" s="24" t="n"/>
      <c r="B65" s="6" t="n"/>
      <c r="C65" s="6" t="n"/>
      <c r="D65" s="6" t="n"/>
      <c r="E65" s="6" t="n"/>
      <c r="F65" s="24" t="n"/>
      <c r="G65" s="6" t="n"/>
      <c r="H65" s="6" t="n"/>
      <c r="I65" s="6" t="n"/>
    </row>
    <row r="66">
      <c r="A66" s="24" t="n"/>
      <c r="B66" s="6" t="n"/>
      <c r="C66" s="6" t="n"/>
      <c r="D66" s="6" t="n"/>
      <c r="E66" s="6" t="n"/>
      <c r="F66" s="24" t="n"/>
      <c r="G66" s="6" t="n"/>
      <c r="H66" s="6" t="n"/>
      <c r="I66" s="6" t="n"/>
    </row>
    <row r="67">
      <c r="A67" s="24" t="n"/>
      <c r="B67" s="6" t="n"/>
      <c r="C67" s="6" t="n"/>
      <c r="D67" s="6" t="n"/>
      <c r="E67" s="6" t="n"/>
      <c r="F67" s="24" t="n"/>
      <c r="G67" s="6" t="n"/>
      <c r="H67" s="6" t="n"/>
      <c r="I67" s="6" t="n"/>
    </row>
    <row r="68">
      <c r="A68" s="24" t="n"/>
      <c r="B68" s="6" t="n"/>
      <c r="C68" s="6" t="n"/>
      <c r="D68" s="6" t="n"/>
      <c r="E68" s="6" t="n"/>
      <c r="F68" s="24" t="n"/>
      <c r="G68" s="6" t="n"/>
      <c r="H68" s="6" t="n"/>
      <c r="I68" s="6" t="n"/>
    </row>
    <row r="69">
      <c r="A69" s="24" t="n"/>
      <c r="B69" s="6" t="n"/>
      <c r="C69" s="6" t="n"/>
      <c r="D69" s="6" t="n"/>
      <c r="E69" s="6" t="n"/>
      <c r="F69" s="24" t="n"/>
      <c r="G69" s="6" t="n"/>
      <c r="H69" s="6" t="n"/>
      <c r="I69" s="6" t="n"/>
    </row>
    <row r="70">
      <c r="A70" s="24" t="n"/>
      <c r="B70" s="6" t="n"/>
      <c r="C70" s="6" t="n"/>
      <c r="D70" s="6" t="n"/>
      <c r="E70" s="6" t="n"/>
      <c r="F70" s="24" t="n"/>
      <c r="G70" s="6" t="n"/>
      <c r="H70" s="6" t="n"/>
      <c r="I70" s="6" t="n"/>
    </row>
    <row r="71">
      <c r="A71" s="24" t="n"/>
      <c r="B71" s="6" t="n"/>
      <c r="C71" s="6" t="n"/>
      <c r="D71" s="6" t="n"/>
      <c r="E71" s="6" t="n"/>
      <c r="F71" s="24" t="n"/>
      <c r="G71" s="6" t="n"/>
      <c r="H71" s="6" t="n"/>
      <c r="I71" s="6" t="n"/>
    </row>
    <row r="72">
      <c r="A72" s="24" t="n"/>
      <c r="B72" s="6" t="n"/>
      <c r="C72" s="6" t="n"/>
      <c r="D72" s="6" t="n"/>
      <c r="E72" s="6" t="n"/>
      <c r="F72" s="24" t="n"/>
      <c r="G72" s="6" t="n"/>
      <c r="H72" s="6" t="n"/>
      <c r="I72" s="6" t="n"/>
    </row>
    <row r="73">
      <c r="A73" s="24" t="n"/>
      <c r="B73" s="6" t="n"/>
      <c r="C73" s="6" t="n"/>
      <c r="D73" s="6" t="n"/>
      <c r="E73" s="6" t="n"/>
      <c r="F73" s="24" t="n"/>
      <c r="G73" s="6" t="n"/>
      <c r="H73" s="6" t="n"/>
      <c r="I73" s="6" t="n"/>
    </row>
    <row r="74">
      <c r="A74" s="24" t="n"/>
      <c r="B74" s="6" t="n"/>
      <c r="C74" s="6" t="n"/>
      <c r="D74" s="6" t="n"/>
      <c r="E74" s="6" t="n"/>
      <c r="F74" s="24" t="n"/>
      <c r="G74" s="6" t="n"/>
      <c r="H74" s="6" t="n"/>
      <c r="I74" s="6" t="n"/>
    </row>
    <row r="75">
      <c r="A75" s="24" t="n"/>
      <c r="B75" s="6" t="n"/>
      <c r="C75" s="6" t="n"/>
      <c r="D75" s="6" t="n"/>
      <c r="E75" s="6" t="n"/>
      <c r="F75" s="24" t="n"/>
      <c r="G75" s="6" t="n"/>
      <c r="H75" s="6" t="n"/>
      <c r="I75" s="6" t="n"/>
    </row>
    <row r="76">
      <c r="A76" s="24" t="n"/>
      <c r="B76" s="6" t="n"/>
      <c r="C76" s="6" t="n"/>
      <c r="D76" s="6" t="n"/>
      <c r="E76" s="6" t="n"/>
      <c r="F76" s="24" t="n"/>
      <c r="G76" s="6" t="n"/>
      <c r="H76" s="6" t="n"/>
      <c r="I76" s="6" t="n"/>
    </row>
    <row r="77">
      <c r="A77" s="24" t="n"/>
      <c r="B77" s="6" t="n"/>
      <c r="C77" s="6" t="n"/>
      <c r="D77" s="6" t="n"/>
      <c r="E77" s="6" t="n"/>
      <c r="F77" s="24" t="n"/>
      <c r="G77" s="6" t="n"/>
      <c r="H77" s="6" t="n"/>
      <c r="I77" s="6" t="n"/>
    </row>
    <row r="78">
      <c r="A78" s="24" t="n"/>
      <c r="B78" s="6" t="n"/>
      <c r="C78" s="6" t="n"/>
      <c r="D78" s="6" t="n"/>
      <c r="E78" s="6" t="n"/>
      <c r="F78" s="24" t="n"/>
      <c r="G78" s="6" t="n"/>
      <c r="H78" s="6" t="n"/>
      <c r="I78" s="6" t="n"/>
    </row>
    <row r="79">
      <c r="A79" s="24" t="n"/>
      <c r="B79" s="6" t="n"/>
      <c r="C79" s="6" t="n"/>
      <c r="D79" s="6" t="n"/>
      <c r="E79" s="6" t="n"/>
      <c r="F79" s="24" t="n"/>
      <c r="G79" s="6" t="n"/>
      <c r="H79" s="6" t="n"/>
      <c r="I79" s="6" t="n"/>
    </row>
    <row r="80">
      <c r="A80" s="24" t="n"/>
      <c r="B80" s="6" t="n"/>
      <c r="C80" s="6" t="n"/>
      <c r="D80" s="6" t="n"/>
      <c r="E80" s="6" t="n"/>
      <c r="F80" s="24" t="n"/>
      <c r="G80" s="6" t="n"/>
      <c r="H80" s="6" t="n"/>
      <c r="I80" s="6" t="n"/>
    </row>
    <row r="81">
      <c r="A81" s="24" t="n"/>
      <c r="B81" s="6" t="n"/>
      <c r="C81" s="6" t="n"/>
      <c r="D81" s="6" t="n"/>
      <c r="E81" s="6" t="n"/>
      <c r="F81" s="24" t="n"/>
      <c r="G81" s="6" t="n"/>
      <c r="H81" s="6" t="n"/>
      <c r="I81" s="6" t="n"/>
    </row>
    <row r="82">
      <c r="A82" s="24" t="n"/>
      <c r="B82" s="6" t="n"/>
      <c r="C82" s="6" t="n"/>
      <c r="D82" s="6" t="n"/>
      <c r="E82" s="6" t="n"/>
      <c r="F82" s="24" t="n"/>
      <c r="G82" s="6" t="n"/>
      <c r="H82" s="6" t="n"/>
      <c r="I82" s="6" t="n"/>
    </row>
    <row r="83">
      <c r="A83" s="24" t="n"/>
      <c r="B83" s="6" t="n"/>
      <c r="C83" s="6" t="n"/>
      <c r="D83" s="6" t="n"/>
      <c r="E83" s="6" t="n"/>
      <c r="F83" s="24" t="n"/>
      <c r="G83" s="6" t="n"/>
      <c r="H83" s="6" t="n"/>
      <c r="I83" s="6" t="n"/>
    </row>
    <row r="84">
      <c r="A84" s="24" t="n"/>
      <c r="B84" s="6" t="n"/>
      <c r="C84" s="6" t="n"/>
      <c r="D84" s="6" t="n"/>
      <c r="E84" s="6" t="n"/>
      <c r="F84" s="24" t="n"/>
      <c r="G84" s="6" t="n"/>
      <c r="H84" s="6" t="n"/>
      <c r="I84" s="6" t="n"/>
    </row>
    <row r="85">
      <c r="A85" s="24" t="n"/>
      <c r="B85" s="6" t="n"/>
      <c r="C85" s="6" t="n"/>
      <c r="D85" s="6" t="n"/>
      <c r="E85" s="6" t="n"/>
      <c r="F85" s="24" t="n"/>
      <c r="G85" s="6" t="n"/>
      <c r="H85" s="6" t="n"/>
      <c r="I85" s="6" t="n"/>
    </row>
    <row r="86">
      <c r="A86" s="24" t="n"/>
      <c r="B86" s="6" t="n"/>
      <c r="C86" s="6" t="n"/>
      <c r="D86" s="6" t="n"/>
      <c r="E86" s="6" t="n"/>
      <c r="F86" s="24" t="n"/>
      <c r="G86" s="6" t="n"/>
      <c r="H86" s="6" t="n"/>
      <c r="I86" s="6" t="n"/>
    </row>
    <row r="87">
      <c r="A87" s="24" t="n"/>
      <c r="B87" s="6" t="n"/>
      <c r="C87" s="6" t="n"/>
      <c r="D87" s="6" t="n"/>
      <c r="E87" s="6" t="n"/>
      <c r="F87" s="24" t="n"/>
      <c r="G87" s="6" t="n"/>
      <c r="H87" s="6" t="n"/>
      <c r="I87" s="6" t="n"/>
    </row>
    <row r="88">
      <c r="A88" s="24" t="n"/>
      <c r="B88" s="6" t="n"/>
      <c r="C88" s="6" t="n"/>
      <c r="D88" s="6" t="n"/>
      <c r="E88" s="6" t="n"/>
      <c r="F88" s="24" t="n"/>
      <c r="G88" s="6" t="n"/>
      <c r="H88" s="6" t="n"/>
      <c r="I88" s="6" t="n"/>
    </row>
    <row r="89">
      <c r="A89" s="24" t="n"/>
      <c r="B89" s="6" t="n"/>
      <c r="C89" s="6" t="n"/>
      <c r="D89" s="6" t="n"/>
      <c r="E89" s="6" t="n"/>
      <c r="F89" s="24" t="n"/>
      <c r="G89" s="6" t="n"/>
      <c r="H89" s="6" t="n"/>
      <c r="I89" s="6" t="n"/>
    </row>
    <row r="90">
      <c r="A90" s="24" t="n"/>
      <c r="B90" s="6" t="n"/>
      <c r="C90" s="6" t="n"/>
      <c r="D90" s="6" t="n"/>
      <c r="E90" s="6" t="n"/>
      <c r="F90" s="24" t="n"/>
      <c r="G90" s="6" t="n"/>
      <c r="H90" s="6" t="n"/>
      <c r="I90" s="6" t="n"/>
    </row>
    <row r="91">
      <c r="A91" s="24" t="n"/>
      <c r="B91" s="6" t="n"/>
      <c r="C91" s="6" t="n"/>
      <c r="D91" s="6" t="n"/>
      <c r="E91" s="6" t="n"/>
      <c r="F91" s="24" t="n"/>
      <c r="G91" s="6" t="n"/>
      <c r="H91" s="6" t="n"/>
      <c r="I91" s="6" t="n"/>
    </row>
    <row r="92">
      <c r="A92" s="24" t="n"/>
      <c r="B92" s="6" t="n"/>
      <c r="C92" s="6" t="n"/>
      <c r="D92" s="6" t="n"/>
      <c r="E92" s="6" t="n"/>
      <c r="F92" s="24" t="n"/>
      <c r="G92" s="6" t="n"/>
      <c r="H92" s="6" t="n"/>
      <c r="I92" s="6" t="n"/>
    </row>
    <row r="93">
      <c r="A93" s="24" t="n"/>
      <c r="B93" s="6" t="n"/>
      <c r="C93" s="6" t="n"/>
      <c r="D93" s="6" t="n"/>
      <c r="E93" s="6" t="n"/>
      <c r="F93" s="24" t="n"/>
      <c r="G93" s="6" t="n"/>
      <c r="H93" s="6" t="n"/>
      <c r="I93" s="6" t="n"/>
    </row>
    <row r="94">
      <c r="A94" s="24" t="n"/>
      <c r="B94" s="6" t="n"/>
      <c r="C94" s="6" t="n"/>
      <c r="D94" s="6" t="n"/>
      <c r="E94" s="6" t="n"/>
      <c r="F94" s="24" t="n"/>
      <c r="G94" s="6" t="n"/>
      <c r="H94" s="6" t="n"/>
      <c r="I94" s="6" t="n"/>
    </row>
    <row r="95">
      <c r="A95" s="24" t="n"/>
      <c r="B95" s="6" t="n"/>
      <c r="C95" s="6" t="n"/>
      <c r="D95" s="6" t="n"/>
      <c r="E95" s="6" t="n"/>
      <c r="F95" s="24" t="n"/>
      <c r="G95" s="6" t="n"/>
      <c r="H95" s="6" t="n"/>
      <c r="I95" s="6" t="n"/>
    </row>
    <row r="96">
      <c r="A96" s="24" t="n"/>
      <c r="B96" s="6" t="n"/>
      <c r="C96" s="6" t="n"/>
      <c r="D96" s="6" t="n"/>
      <c r="E96" s="6" t="n"/>
      <c r="F96" s="24" t="n"/>
      <c r="G96" s="6" t="n"/>
      <c r="H96" s="6" t="n"/>
      <c r="I96" s="6" t="n"/>
    </row>
    <row r="97">
      <c r="A97" s="24" t="n"/>
      <c r="B97" s="6" t="n"/>
      <c r="C97" s="6" t="n"/>
      <c r="D97" s="6" t="n"/>
      <c r="E97" s="6" t="n"/>
      <c r="F97" s="24" t="n"/>
      <c r="G97" s="6" t="n"/>
      <c r="H97" s="6" t="n"/>
      <c r="I97" s="6" t="n"/>
    </row>
    <row r="98">
      <c r="A98" s="24" t="n"/>
      <c r="B98" s="6" t="n"/>
      <c r="C98" s="6" t="n"/>
      <c r="D98" s="6" t="n"/>
      <c r="E98" s="6" t="n"/>
      <c r="F98" s="24" t="n"/>
      <c r="G98" s="6" t="n"/>
      <c r="H98" s="6" t="n"/>
      <c r="I98" s="6" t="n"/>
    </row>
    <row r="99">
      <c r="A99" s="24" t="n"/>
      <c r="B99" s="6" t="n"/>
      <c r="C99" s="6" t="n"/>
      <c r="D99" s="6" t="n"/>
      <c r="E99" s="6" t="n"/>
      <c r="F99" s="24" t="n"/>
      <c r="G99" s="6" t="n"/>
      <c r="H99" s="6" t="n"/>
      <c r="I99" s="6" t="n"/>
    </row>
    <row r="100">
      <c r="A100" s="24" t="n"/>
      <c r="B100" s="6" t="n"/>
      <c r="C100" s="6" t="n"/>
      <c r="D100" s="6" t="n"/>
      <c r="E100" s="6" t="n"/>
      <c r="F100" s="24" t="n"/>
      <c r="G100" s="6" t="n"/>
      <c r="H100" s="6" t="n"/>
      <c r="I100" s="6" t="n"/>
    </row>
    <row r="101">
      <c r="A101" s="24" t="n"/>
      <c r="B101" s="6" t="n"/>
      <c r="C101" s="6" t="n"/>
      <c r="D101" s="6" t="n"/>
      <c r="E101" s="6" t="n"/>
      <c r="F101" s="24" t="n"/>
      <c r="G101" s="6" t="n"/>
      <c r="H101" s="6" t="n"/>
      <c r="I101" s="6" t="n"/>
    </row>
    <row r="102">
      <c r="A102" s="24" t="n"/>
      <c r="B102" s="6" t="n"/>
      <c r="C102" s="6" t="n"/>
      <c r="D102" s="6" t="n"/>
      <c r="E102" s="6" t="n"/>
      <c r="F102" s="24" t="n"/>
      <c r="G102" s="6" t="n"/>
      <c r="H102" s="6" t="n"/>
      <c r="I102" s="6" t="n"/>
    </row>
    <row r="103">
      <c r="A103" s="24" t="n"/>
      <c r="B103" s="6" t="n"/>
      <c r="C103" s="6" t="n"/>
      <c r="D103" s="6" t="n"/>
      <c r="E103" s="6" t="n"/>
      <c r="F103" s="24" t="n"/>
      <c r="G103" s="6" t="n"/>
      <c r="H103" s="6" t="n"/>
      <c r="I103" s="6" t="n"/>
    </row>
    <row r="104">
      <c r="A104" s="24" t="n"/>
      <c r="B104" s="6" t="n"/>
      <c r="C104" s="6" t="n"/>
      <c r="D104" s="6" t="n"/>
      <c r="E104" s="6" t="n"/>
      <c r="F104" s="24" t="n"/>
      <c r="G104" s="6" t="n"/>
      <c r="H104" s="6" t="n"/>
      <c r="I104" s="6" t="n"/>
    </row>
    <row r="105">
      <c r="A105" s="24" t="n"/>
      <c r="B105" s="6" t="n"/>
      <c r="C105" s="6" t="n"/>
      <c r="D105" s="6" t="n"/>
      <c r="E105" s="6" t="n"/>
      <c r="F105" s="24" t="n"/>
      <c r="G105" s="6" t="n"/>
      <c r="H105" s="6" t="n"/>
      <c r="I105" s="6" t="n"/>
    </row>
    <row r="106">
      <c r="A106" s="24" t="n"/>
      <c r="B106" s="6" t="n"/>
      <c r="C106" s="6" t="n"/>
      <c r="D106" s="6" t="n"/>
      <c r="E106" s="6" t="n"/>
      <c r="F106" s="24" t="n"/>
      <c r="G106" s="6" t="n"/>
      <c r="H106" s="6" t="n"/>
      <c r="I106" s="6" t="n"/>
    </row>
    <row r="107">
      <c r="A107" s="24" t="n"/>
      <c r="B107" s="6" t="n"/>
      <c r="C107" s="6" t="n"/>
      <c r="D107" s="6" t="n"/>
      <c r="E107" s="6" t="n"/>
      <c r="F107" s="24" t="n"/>
      <c r="G107" s="6" t="n"/>
      <c r="H107" s="6" t="n"/>
      <c r="I107" s="6" t="n"/>
    </row>
    <row r="108">
      <c r="A108" s="24" t="n"/>
      <c r="B108" s="6" t="n"/>
      <c r="C108" s="6" t="n"/>
      <c r="D108" s="6" t="n"/>
      <c r="E108" s="6" t="n"/>
      <c r="F108" s="24" t="n"/>
      <c r="G108" s="6" t="n"/>
      <c r="H108" s="6" t="n"/>
      <c r="I108" s="6" t="n"/>
    </row>
    <row r="109">
      <c r="A109" s="24" t="n"/>
      <c r="B109" s="6" t="n"/>
      <c r="C109" s="6" t="n"/>
      <c r="D109" s="6" t="n"/>
      <c r="E109" s="6" t="n"/>
      <c r="F109" s="24" t="n"/>
      <c r="G109" s="6" t="n"/>
      <c r="H109" s="6" t="n"/>
      <c r="I109" s="6" t="n"/>
    </row>
    <row r="110">
      <c r="A110" s="24" t="n"/>
      <c r="B110" s="6" t="n"/>
      <c r="C110" s="6" t="n"/>
      <c r="D110" s="6" t="n"/>
      <c r="E110" s="6" t="n"/>
      <c r="F110" s="24" t="n"/>
      <c r="G110" s="6" t="n"/>
      <c r="H110" s="6" t="n"/>
      <c r="I110" s="6" t="n"/>
    </row>
    <row r="111">
      <c r="A111" s="24" t="n"/>
      <c r="B111" s="6" t="n"/>
      <c r="C111" s="6" t="n"/>
      <c r="D111" s="6" t="n"/>
      <c r="E111" s="6" t="n"/>
      <c r="F111" s="24" t="n"/>
      <c r="G111" s="6" t="n"/>
      <c r="H111" s="6" t="n"/>
      <c r="I111" s="6" t="n"/>
    </row>
    <row r="112">
      <c r="A112" s="24" t="n"/>
      <c r="B112" s="6" t="n"/>
      <c r="C112" s="6" t="n"/>
      <c r="D112" s="6" t="n"/>
      <c r="E112" s="6" t="n"/>
      <c r="F112" s="24" t="n"/>
      <c r="G112" s="6" t="n"/>
      <c r="H112" s="6" t="n"/>
      <c r="I112" s="6" t="n"/>
    </row>
    <row r="113">
      <c r="A113" s="24" t="n"/>
      <c r="B113" s="6" t="n"/>
      <c r="C113" s="6" t="n"/>
      <c r="D113" s="6" t="n"/>
      <c r="E113" s="6" t="n"/>
      <c r="F113" s="24" t="n"/>
      <c r="G113" s="6" t="n"/>
      <c r="H113" s="6" t="n"/>
      <c r="I113" s="6" t="n"/>
    </row>
    <row r="114">
      <c r="A114" s="24" t="n"/>
      <c r="B114" s="6" t="n"/>
      <c r="C114" s="6" t="n"/>
      <c r="D114" s="6" t="n"/>
      <c r="E114" s="6" t="n"/>
      <c r="F114" s="24" t="n"/>
      <c r="G114" s="6" t="n"/>
      <c r="H114" s="6" t="n"/>
      <c r="I114" s="6" t="n"/>
    </row>
    <row r="115">
      <c r="A115" s="24" t="n"/>
      <c r="B115" s="6" t="n"/>
      <c r="C115" s="6" t="n"/>
      <c r="D115" s="6" t="n"/>
      <c r="E115" s="6" t="n"/>
      <c r="F115" s="24" t="n"/>
      <c r="G115" s="6" t="n"/>
      <c r="H115" s="6" t="n"/>
      <c r="I115" s="6" t="n"/>
    </row>
    <row r="116">
      <c r="A116" s="24" t="n"/>
      <c r="B116" s="6" t="n"/>
      <c r="C116" s="6" t="n"/>
      <c r="D116" s="6" t="n"/>
      <c r="E116" s="6" t="n"/>
      <c r="F116" s="24" t="n"/>
      <c r="G116" s="6" t="n"/>
      <c r="H116" s="6" t="n"/>
      <c r="I116" s="6" t="n"/>
    </row>
    <row r="117">
      <c r="A117" s="24" t="n"/>
      <c r="B117" s="6" t="n"/>
      <c r="C117" s="6" t="n"/>
      <c r="D117" s="6" t="n"/>
      <c r="E117" s="6" t="n"/>
      <c r="F117" s="24" t="n"/>
      <c r="G117" s="6" t="n"/>
      <c r="H117" s="6" t="n"/>
      <c r="I117" s="6" t="n"/>
    </row>
    <row r="118">
      <c r="A118" s="24" t="n"/>
      <c r="B118" s="6" t="n"/>
      <c r="C118" s="6" t="n"/>
      <c r="D118" s="6" t="n"/>
      <c r="E118" s="6" t="n"/>
      <c r="F118" s="24" t="n"/>
      <c r="G118" s="6" t="n"/>
      <c r="H118" s="6" t="n"/>
      <c r="I118" s="6" t="n"/>
    </row>
    <row r="119">
      <c r="A119" s="24" t="n"/>
      <c r="B119" s="6" t="n"/>
      <c r="C119" s="6" t="n"/>
      <c r="D119" s="6" t="n"/>
      <c r="E119" s="6" t="n"/>
      <c r="F119" s="24" t="n"/>
      <c r="G119" s="6" t="n"/>
      <c r="H119" s="6" t="n"/>
      <c r="I119" s="6" t="n"/>
    </row>
    <row r="120">
      <c r="A120" s="24" t="n"/>
      <c r="B120" s="6" t="n"/>
      <c r="C120" s="6" t="n"/>
      <c r="D120" s="6" t="n"/>
      <c r="E120" s="6" t="n"/>
      <c r="F120" s="24" t="n"/>
      <c r="G120" s="6" t="n"/>
      <c r="H120" s="6" t="n"/>
      <c r="I120" s="6" t="n"/>
    </row>
    <row r="121">
      <c r="A121" s="24" t="n"/>
      <c r="B121" s="6" t="n"/>
      <c r="C121" s="6" t="n"/>
      <c r="D121" s="6" t="n"/>
      <c r="E121" s="6" t="n"/>
      <c r="F121" s="24" t="n"/>
      <c r="G121" s="6" t="n"/>
      <c r="H121" s="6" t="n"/>
      <c r="I121" s="6" t="n"/>
    </row>
    <row r="122">
      <c r="A122" s="24" t="n"/>
      <c r="B122" s="6" t="n"/>
      <c r="C122" s="6" t="n"/>
      <c r="D122" s="6" t="n"/>
      <c r="E122" s="6" t="n"/>
      <c r="F122" s="24" t="n"/>
      <c r="G122" s="6" t="n"/>
      <c r="H122" s="6" t="n"/>
      <c r="I122" s="6" t="n"/>
    </row>
    <row r="123">
      <c r="A123" s="24" t="n"/>
      <c r="B123" s="6" t="n"/>
      <c r="C123" s="6" t="n"/>
      <c r="D123" s="6" t="n"/>
      <c r="E123" s="6" t="n"/>
      <c r="F123" s="24" t="n"/>
      <c r="G123" s="6" t="n"/>
      <c r="H123" s="6" t="n"/>
      <c r="I123" s="6" t="n"/>
    </row>
    <row r="124">
      <c r="A124" s="24" t="n"/>
      <c r="B124" s="6" t="n"/>
      <c r="C124" s="6" t="n"/>
      <c r="D124" s="6" t="n"/>
      <c r="E124" s="6" t="n"/>
      <c r="F124" s="24" t="n"/>
      <c r="G124" s="6" t="n"/>
      <c r="H124" s="6" t="n"/>
      <c r="I124" s="6" t="n"/>
    </row>
    <row r="125">
      <c r="A125" s="24" t="n"/>
      <c r="B125" s="6" t="n"/>
      <c r="C125" s="6" t="n"/>
      <c r="D125" s="6" t="n"/>
      <c r="E125" s="6" t="n"/>
      <c r="F125" s="24" t="n"/>
      <c r="G125" s="6" t="n"/>
      <c r="H125" s="6" t="n"/>
      <c r="I125" s="6" t="n"/>
    </row>
    <row r="126">
      <c r="A126" s="24" t="n"/>
      <c r="B126" s="6" t="n"/>
      <c r="C126" s="6" t="n"/>
      <c r="D126" s="6" t="n"/>
      <c r="E126" s="6" t="n"/>
      <c r="F126" s="24" t="n"/>
      <c r="G126" s="6" t="n"/>
      <c r="H126" s="6" t="n"/>
      <c r="I126" s="6" t="n"/>
    </row>
    <row r="127">
      <c r="A127" s="24" t="n"/>
      <c r="B127" s="6" t="n"/>
      <c r="C127" s="6" t="n"/>
      <c r="D127" s="6" t="n"/>
      <c r="E127" s="6" t="n"/>
      <c r="F127" s="24" t="n"/>
      <c r="G127" s="6" t="n"/>
      <c r="H127" s="6" t="n"/>
      <c r="I127" s="6" t="n"/>
    </row>
    <row r="128">
      <c r="A128" s="24" t="n"/>
      <c r="B128" s="6" t="n"/>
      <c r="C128" s="6" t="n"/>
      <c r="D128" s="6" t="n"/>
      <c r="E128" s="6" t="n"/>
      <c r="F128" s="24" t="n"/>
      <c r="G128" s="6" t="n"/>
      <c r="H128" s="6" t="n"/>
      <c r="I128" s="6" t="n"/>
    </row>
    <row r="129">
      <c r="A129" s="24" t="n"/>
      <c r="B129" s="6" t="n"/>
      <c r="C129" s="6" t="n"/>
      <c r="D129" s="6" t="n"/>
      <c r="E129" s="6" t="n"/>
      <c r="F129" s="24" t="n"/>
      <c r="G129" s="6" t="n"/>
      <c r="H129" s="6" t="n"/>
      <c r="I129" s="6" t="n"/>
    </row>
    <row r="130">
      <c r="A130" s="24" t="n"/>
      <c r="B130" s="6" t="n"/>
      <c r="C130" s="6" t="n"/>
      <c r="D130" s="6" t="n"/>
      <c r="E130" s="6" t="n"/>
      <c r="F130" s="24" t="n"/>
      <c r="G130" s="6" t="n"/>
      <c r="H130" s="6" t="n"/>
      <c r="I130" s="6" t="n"/>
    </row>
    <row r="131">
      <c r="A131" s="24" t="n"/>
      <c r="B131" s="6" t="n"/>
      <c r="C131" s="6" t="n"/>
      <c r="D131" s="6" t="n"/>
      <c r="E131" s="6" t="n"/>
      <c r="F131" s="24" t="n"/>
      <c r="G131" s="6" t="n"/>
      <c r="H131" s="6" t="n"/>
      <c r="I131" s="6" t="n"/>
    </row>
    <row r="132">
      <c r="A132" s="24" t="n"/>
      <c r="B132" s="6" t="n"/>
      <c r="C132" s="6" t="n"/>
      <c r="D132" s="6" t="n"/>
      <c r="E132" s="6" t="n"/>
      <c r="F132" s="24" t="n"/>
      <c r="G132" s="6" t="n"/>
      <c r="H132" s="6" t="n"/>
      <c r="I132" s="6" t="n"/>
    </row>
    <row r="133">
      <c r="A133" s="24" t="n"/>
      <c r="B133" s="6" t="n"/>
      <c r="C133" s="6" t="n"/>
      <c r="D133" s="6" t="n"/>
      <c r="E133" s="6" t="n"/>
      <c r="F133" s="24" t="n"/>
      <c r="G133" s="6" t="n"/>
      <c r="H133" s="6" t="n"/>
      <c r="I133" s="6" t="n"/>
    </row>
    <row r="134">
      <c r="A134" s="24" t="n"/>
      <c r="B134" s="6" t="n"/>
      <c r="C134" s="6" t="n"/>
      <c r="D134" s="6" t="n"/>
      <c r="E134" s="6" t="n"/>
      <c r="F134" s="24" t="n"/>
      <c r="G134" s="6" t="n"/>
      <c r="H134" s="6" t="n"/>
      <c r="I134" s="6" t="n"/>
    </row>
    <row r="135">
      <c r="A135" s="24" t="n"/>
      <c r="B135" s="6" t="n"/>
      <c r="C135" s="6" t="n"/>
      <c r="D135" s="6" t="n"/>
      <c r="E135" s="6" t="n"/>
      <c r="F135" s="24" t="n"/>
      <c r="G135" s="6" t="n"/>
      <c r="H135" s="6" t="n"/>
      <c r="I135" s="6" t="n"/>
    </row>
    <row r="136">
      <c r="A136" s="24" t="n"/>
      <c r="B136" s="6" t="n"/>
      <c r="C136" s="6" t="n"/>
      <c r="D136" s="6" t="n"/>
      <c r="E136" s="6" t="n"/>
      <c r="F136" s="24" t="n"/>
      <c r="G136" s="6" t="n"/>
      <c r="H136" s="6" t="n"/>
      <c r="I136" s="6" t="n"/>
    </row>
    <row r="137">
      <c r="A137" s="24" t="n"/>
      <c r="B137" s="6" t="n"/>
      <c r="C137" s="6" t="n"/>
      <c r="D137" s="6" t="n"/>
      <c r="E137" s="6" t="n"/>
      <c r="F137" s="24" t="n"/>
      <c r="G137" s="6" t="n"/>
      <c r="H137" s="6" t="n"/>
      <c r="I137" s="6" t="n"/>
    </row>
    <row r="138">
      <c r="A138" s="24" t="n"/>
      <c r="B138" s="6" t="n"/>
      <c r="C138" s="6" t="n"/>
      <c r="D138" s="6" t="n"/>
      <c r="E138" s="6" t="n"/>
      <c r="F138" s="24" t="n"/>
      <c r="G138" s="6" t="n"/>
      <c r="H138" s="6" t="n"/>
      <c r="I138" s="6" t="n"/>
    </row>
    <row r="139">
      <c r="A139" s="24" t="n"/>
      <c r="B139" s="6" t="n"/>
      <c r="C139" s="6" t="n"/>
      <c r="D139" s="6" t="n"/>
      <c r="E139" s="6" t="n"/>
      <c r="F139" s="24" t="n"/>
      <c r="G139" s="6" t="n"/>
      <c r="H139" s="6" t="n"/>
      <c r="I139" s="6" t="n"/>
    </row>
    <row r="140">
      <c r="A140" s="24" t="n"/>
      <c r="B140" s="6" t="n"/>
      <c r="C140" s="6" t="n"/>
      <c r="D140" s="6" t="n"/>
      <c r="E140" s="6" t="n"/>
      <c r="F140" s="24" t="n"/>
      <c r="G140" s="6" t="n"/>
      <c r="H140" s="6" t="n"/>
      <c r="I140" s="6" t="n"/>
    </row>
    <row r="141">
      <c r="A141" s="24" t="n"/>
      <c r="B141" s="6" t="n"/>
      <c r="C141" s="6" t="n"/>
      <c r="D141" s="6" t="n"/>
      <c r="E141" s="6" t="n"/>
      <c r="F141" s="24" t="n"/>
      <c r="G141" s="6" t="n"/>
      <c r="H141" s="6" t="n"/>
      <c r="I141" s="6" t="n"/>
    </row>
    <row r="142">
      <c r="A142" s="24" t="n"/>
      <c r="B142" s="6" t="n"/>
      <c r="C142" s="6" t="n"/>
      <c r="D142" s="6" t="n"/>
      <c r="E142" s="6" t="n"/>
      <c r="F142" s="24" t="n"/>
      <c r="G142" s="6" t="n"/>
      <c r="H142" s="6" t="n"/>
      <c r="I142" s="6" t="n"/>
    </row>
    <row r="143">
      <c r="A143" s="24" t="n"/>
      <c r="B143" s="6" t="n"/>
      <c r="C143" s="6" t="n"/>
      <c r="D143" s="6" t="n"/>
      <c r="E143" s="6" t="n"/>
      <c r="F143" s="24" t="n"/>
      <c r="G143" s="6" t="n"/>
      <c r="H143" s="6" t="n"/>
      <c r="I143" s="6" t="n"/>
    </row>
    <row r="144">
      <c r="A144" s="24" t="n"/>
      <c r="B144" s="6" t="n"/>
      <c r="C144" s="6" t="n"/>
      <c r="D144" s="6" t="n"/>
      <c r="E144" s="6" t="n"/>
      <c r="F144" s="24" t="n"/>
      <c r="G144" s="6" t="n"/>
      <c r="H144" s="6" t="n"/>
      <c r="I144" s="6" t="n"/>
    </row>
    <row r="145">
      <c r="A145" s="24" t="n"/>
      <c r="B145" s="6" t="n"/>
      <c r="C145" s="6" t="n"/>
      <c r="D145" s="6" t="n"/>
      <c r="E145" s="6" t="n"/>
      <c r="F145" s="24" t="n"/>
      <c r="G145" s="6" t="n"/>
      <c r="H145" s="6" t="n"/>
      <c r="I145" s="6" t="n"/>
    </row>
    <row r="146">
      <c r="A146" s="24" t="n"/>
      <c r="B146" s="6" t="n"/>
      <c r="C146" s="6" t="n"/>
      <c r="D146" s="6" t="n"/>
      <c r="E146" s="6" t="n"/>
      <c r="F146" s="24" t="n"/>
      <c r="G146" s="6" t="n"/>
      <c r="H146" s="6" t="n"/>
      <c r="I146" s="6" t="n"/>
    </row>
    <row r="147">
      <c r="A147" s="24" t="n"/>
      <c r="B147" s="6" t="n"/>
      <c r="C147" s="6" t="n"/>
      <c r="D147" s="6" t="n"/>
      <c r="E147" s="6" t="n"/>
      <c r="F147" s="24" t="n"/>
      <c r="G147" s="6" t="n"/>
      <c r="H147" s="6" t="n"/>
      <c r="I147" s="6" t="n"/>
    </row>
    <row r="148">
      <c r="A148" s="24" t="n"/>
      <c r="B148" s="6" t="n"/>
      <c r="C148" s="6" t="n"/>
      <c r="D148" s="6" t="n"/>
      <c r="E148" s="6" t="n"/>
      <c r="F148" s="24" t="n"/>
      <c r="G148" s="6" t="n"/>
      <c r="H148" s="6" t="n"/>
      <c r="I148" s="6" t="n"/>
    </row>
    <row r="149">
      <c r="A149" s="24" t="n"/>
      <c r="B149" s="6" t="n"/>
      <c r="C149" s="6" t="n"/>
      <c r="D149" s="6" t="n"/>
      <c r="E149" s="6" t="n"/>
      <c r="F149" s="24" t="n"/>
      <c r="G149" s="6" t="n"/>
      <c r="H149" s="6" t="n"/>
      <c r="I149" s="6" t="n"/>
    </row>
    <row r="150">
      <c r="A150" s="24" t="n"/>
      <c r="B150" s="6" t="n"/>
      <c r="C150" s="6" t="n"/>
      <c r="D150" s="6" t="n"/>
      <c r="E150" s="6" t="n"/>
      <c r="F150" s="24" t="n"/>
      <c r="G150" s="6" t="n"/>
      <c r="H150" s="6" t="n"/>
      <c r="I150" s="6" t="n"/>
    </row>
    <row r="151">
      <c r="A151" s="24" t="n"/>
      <c r="B151" s="6" t="n"/>
      <c r="C151" s="6" t="n"/>
      <c r="D151" s="6" t="n"/>
      <c r="E151" s="6" t="n"/>
      <c r="F151" s="24" t="n"/>
      <c r="G151" s="6" t="n"/>
      <c r="H151" s="6" t="n"/>
      <c r="I151" s="6" t="n"/>
    </row>
    <row r="152">
      <c r="A152" s="24" t="n"/>
      <c r="B152" s="6" t="n"/>
      <c r="C152" s="6" t="n"/>
      <c r="D152" s="6" t="n"/>
      <c r="E152" s="6" t="n"/>
      <c r="F152" s="24" t="n"/>
      <c r="G152" s="6" t="n"/>
      <c r="H152" s="6" t="n"/>
      <c r="I152" s="6" t="n"/>
    </row>
    <row r="153">
      <c r="A153" s="24" t="n"/>
      <c r="B153" s="6" t="n"/>
      <c r="C153" s="6" t="n"/>
      <c r="D153" s="6" t="n"/>
      <c r="E153" s="6" t="n"/>
      <c r="F153" s="24" t="n"/>
      <c r="G153" s="6" t="n"/>
      <c r="H153" s="6" t="n"/>
      <c r="I153" s="6" t="n"/>
    </row>
    <row r="154">
      <c r="A154" s="24" t="n"/>
      <c r="B154" s="6" t="n"/>
      <c r="C154" s="6" t="n"/>
      <c r="D154" s="6" t="n"/>
      <c r="E154" s="6" t="n"/>
      <c r="F154" s="24" t="n"/>
      <c r="G154" s="6" t="n"/>
      <c r="H154" s="6" t="n"/>
      <c r="I154" s="6" t="n"/>
    </row>
    <row r="155">
      <c r="A155" s="24" t="n"/>
      <c r="B155" s="6" t="n"/>
      <c r="C155" s="6" t="n"/>
      <c r="D155" s="6" t="n"/>
      <c r="E155" s="6" t="n"/>
      <c r="F155" s="24" t="n"/>
      <c r="G155" s="6" t="n"/>
      <c r="H155" s="6" t="n"/>
      <c r="I155" s="6" t="n"/>
    </row>
    <row r="156">
      <c r="A156" s="24" t="n"/>
      <c r="B156" s="6" t="n"/>
      <c r="C156" s="6" t="n"/>
      <c r="D156" s="6" t="n"/>
      <c r="E156" s="6" t="n"/>
      <c r="F156" s="24" t="n"/>
      <c r="G156" s="6" t="n"/>
      <c r="H156" s="6" t="n"/>
      <c r="I156" s="6" t="n"/>
    </row>
    <row r="157">
      <c r="A157" s="24" t="n"/>
      <c r="B157" s="6" t="n"/>
      <c r="C157" s="6" t="n"/>
      <c r="D157" s="6" t="n"/>
      <c r="E157" s="6" t="n"/>
      <c r="F157" s="24" t="n"/>
      <c r="G157" s="6" t="n"/>
      <c r="H157" s="6" t="n"/>
      <c r="I157" s="6" t="n"/>
    </row>
    <row r="158">
      <c r="A158" s="24" t="n"/>
      <c r="B158" s="6" t="n"/>
      <c r="C158" s="6" t="n"/>
      <c r="D158" s="6" t="n"/>
      <c r="E158" s="6" t="n"/>
      <c r="F158" s="24" t="n"/>
      <c r="G158" s="6" t="n"/>
      <c r="H158" s="6" t="n"/>
      <c r="I158" s="6" t="n"/>
    </row>
    <row r="159">
      <c r="A159" s="24" t="n"/>
      <c r="B159" s="6" t="n"/>
      <c r="C159" s="6" t="n"/>
      <c r="D159" s="6" t="n"/>
      <c r="E159" s="6" t="n"/>
      <c r="F159" s="24" t="n"/>
      <c r="G159" s="6" t="n"/>
      <c r="H159" s="6" t="n"/>
      <c r="I159" s="6" t="n"/>
    </row>
    <row r="160">
      <c r="A160" s="24" t="n"/>
      <c r="B160" s="6" t="n"/>
      <c r="C160" s="6" t="n"/>
      <c r="D160" s="6" t="n"/>
      <c r="E160" s="6" t="n"/>
      <c r="F160" s="24" t="n"/>
      <c r="G160" s="6" t="n"/>
      <c r="H160" s="6" t="n"/>
      <c r="I160" s="6" t="n"/>
    </row>
    <row r="161">
      <c r="A161" s="24" t="n"/>
      <c r="B161" s="6" t="n"/>
      <c r="C161" s="6" t="n"/>
      <c r="D161" s="6" t="n"/>
      <c r="E161" s="6" t="n"/>
      <c r="F161" s="24" t="n"/>
      <c r="G161" s="6" t="n"/>
      <c r="H161" s="6" t="n"/>
      <c r="I161" s="6" t="n"/>
    </row>
    <row r="162">
      <c r="A162" s="24" t="n"/>
      <c r="B162" s="6" t="n"/>
      <c r="C162" s="6" t="n"/>
      <c r="D162" s="6" t="n"/>
      <c r="E162" s="6" t="n"/>
      <c r="F162" s="24" t="n"/>
      <c r="G162" s="6" t="n"/>
      <c r="H162" s="6" t="n"/>
      <c r="I162" s="6" t="n"/>
    </row>
    <row r="163">
      <c r="A163" s="24" t="n"/>
      <c r="B163" s="6" t="n"/>
      <c r="C163" s="6" t="n"/>
      <c r="D163" s="6" t="n"/>
      <c r="E163" s="6" t="n"/>
      <c r="F163" s="24" t="n"/>
      <c r="G163" s="6" t="n"/>
      <c r="H163" s="6" t="n"/>
      <c r="I163" s="6" t="n"/>
    </row>
    <row r="164">
      <c r="A164" s="24" t="n"/>
      <c r="B164" s="6" t="n"/>
      <c r="C164" s="6" t="n"/>
      <c r="D164" s="6" t="n"/>
      <c r="E164" s="6" t="n"/>
      <c r="F164" s="24" t="n"/>
      <c r="G164" s="6" t="n"/>
      <c r="H164" s="6" t="n"/>
      <c r="I164" s="6" t="n"/>
    </row>
  </sheetData>
  <conditionalFormatting sqref="A5:I164">
    <cfRule type="expression" priority="1" dxfId="0" stopIfTrue="0">
      <formula>$E5="Yes"</formula>
    </cfRule>
  </conditionalFormatting>
  <dataValidations count="5">
    <dataValidation sqref="C5:C164" showDropDown="0" showInputMessage="0" showErrorMessage="0" allowBlank="1" type="list">
      <formula1>"WhatsApp,QR card in room,In person,Email,Text"</formula1>
    </dataValidation>
    <dataValidation sqref="D5:D164" showDropDown="0" showInputMessage="0" showErrorMessage="0" allowBlank="1" type="list">
      <formula1>"Cleo,Agency"</formula1>
    </dataValidation>
    <dataValidation sqref="E5:E164" showDropDown="0" showInputMessage="0" showErrorMessage="0" allowBlank="1" type="list">
      <formula1>"Yes,No,Waiting"</formula1>
    </dataValidation>
    <dataValidation sqref="G5:G164" showDropDown="0" showInputMessage="0" showErrorMessage="0" allowBlank="1" type="list">
      <formula1>"Google,Facebook,Birdeye,Fresha"</formula1>
    </dataValidation>
    <dataValidation sqref="H5:H16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3" customWidth="1" min="4" max="4"/>
    <col width="30" customWidth="1" min="5" max="5"/>
    <col width="13" customWidth="1" min="6" max="6"/>
    <col width="18" customWidth="1" min="7" max="7"/>
    <col width="14" customWidth="1" min="8" max="8"/>
    <col width="11" customWidth="1" min="9" max="9"/>
    <col width="34" customWidth="1" min="10" max="10"/>
  </cols>
  <sheetData>
    <row r="1" ht="22" customHeight="1">
      <c r="A1" s="1" t="inlineStr">
        <is>
          <t>Citations and NAP</t>
        </is>
      </c>
    </row>
    <row r="2">
      <c r="A2" s="2" t="inlineStr">
        <is>
          <t>One name, one address, one phone number, everywhere. The postal code is L6M 0T9 — it is wrong on most of these today.</t>
        </is>
      </c>
    </row>
    <row r="4" ht="28" customHeight="1">
      <c r="A4" s="9" t="inlineStr">
        <is>
          <t>Directory</t>
        </is>
      </c>
      <c r="B4" s="9" t="inlineStr">
        <is>
          <t>Listing URL</t>
        </is>
      </c>
      <c r="C4" s="9" t="inlineStr">
        <is>
          <t>Claimed</t>
        </is>
      </c>
      <c r="D4" s="9" t="inlineStr">
        <is>
          <t>Name correct</t>
        </is>
      </c>
      <c r="E4" s="9" t="inlineStr">
        <is>
          <t>Address and postal code correct</t>
        </is>
      </c>
      <c r="F4" s="9" t="inlineStr">
        <is>
          <t>Phone correct</t>
        </is>
      </c>
      <c r="G4" s="9" t="inlineStr">
        <is>
          <t>Website URL current</t>
        </is>
      </c>
      <c r="H4" s="9" t="inlineStr">
        <is>
          <t>Status</t>
        </is>
      </c>
      <c r="I4" s="9" t="inlineStr">
        <is>
          <t>Date done</t>
        </is>
      </c>
      <c r="J4" s="9" t="inlineStr">
        <is>
          <t>Notes</t>
        </is>
      </c>
    </row>
    <row r="5">
      <c r="A5" s="12" t="inlineStr">
        <is>
          <t>Google Business Profile</t>
        </is>
      </c>
      <c r="B5" s="4" t="n"/>
      <c r="C5" s="4" t="n"/>
      <c r="D5" s="4" t="n"/>
      <c r="E5" s="4" t="n"/>
      <c r="F5" s="4" t="n"/>
      <c r="G5" s="4" t="n"/>
      <c r="H5" s="4" t="inlineStr">
        <is>
          <t>Not started</t>
        </is>
      </c>
      <c r="I5" s="23" t="n"/>
      <c r="J5" s="4" t="n"/>
    </row>
    <row r="6">
      <c r="A6" s="12" t="inlineStr">
        <is>
          <t>Birdeye</t>
        </is>
      </c>
      <c r="B6" s="4" t="n"/>
      <c r="C6" s="4" t="n"/>
      <c r="D6" s="4" t="n"/>
      <c r="E6" s="4" t="n"/>
      <c r="F6" s="4" t="n"/>
      <c r="G6" s="4" t="n"/>
      <c r="H6" s="4" t="inlineStr">
        <is>
          <t>Not started</t>
        </is>
      </c>
      <c r="I6" s="23" t="n"/>
      <c r="J6" s="4" t="n"/>
    </row>
    <row r="7">
      <c r="A7" s="12" t="inlineStr">
        <is>
          <t>Facebook</t>
        </is>
      </c>
      <c r="B7" s="4" t="n"/>
      <c r="C7" s="4" t="n"/>
      <c r="D7" s="4" t="n"/>
      <c r="E7" s="4" t="n"/>
      <c r="F7" s="4" t="n"/>
      <c r="G7" s="4" t="n"/>
      <c r="H7" s="4" t="inlineStr">
        <is>
          <t>Not started</t>
        </is>
      </c>
      <c r="I7" s="23" t="n"/>
      <c r="J7" s="4" t="n"/>
    </row>
    <row r="8">
      <c r="A8" s="12" t="inlineStr">
        <is>
          <t>Fresha</t>
        </is>
      </c>
      <c r="B8" s="4" t="n"/>
      <c r="C8" s="4" t="n"/>
      <c r="D8" s="4" t="n"/>
      <c r="E8" s="4" t="n"/>
      <c r="F8" s="4" t="n"/>
      <c r="G8" s="4" t="n"/>
      <c r="H8" s="4" t="inlineStr">
        <is>
          <t>Not started</t>
        </is>
      </c>
      <c r="I8" s="23" t="n"/>
      <c r="J8" s="4" t="n"/>
    </row>
    <row r="9">
      <c r="A9" s="12" t="inlineStr">
        <is>
          <t>Yelp.ca</t>
        </is>
      </c>
      <c r="B9" s="4" t="n"/>
      <c r="C9" s="4" t="n"/>
      <c r="D9" s="4" t="n"/>
      <c r="E9" s="4" t="n"/>
      <c r="F9" s="4" t="n"/>
      <c r="G9" s="4" t="n"/>
      <c r="H9" s="4" t="inlineStr">
        <is>
          <t>Not started</t>
        </is>
      </c>
      <c r="I9" s="23" t="n"/>
      <c r="J9" s="4" t="n"/>
    </row>
    <row r="10">
      <c r="A10" s="12" t="inlineStr">
        <is>
          <t>Yellow Pages</t>
        </is>
      </c>
      <c r="B10" s="4" t="n"/>
      <c r="C10" s="4" t="n"/>
      <c r="D10" s="4" t="n"/>
      <c r="E10" s="4" t="n"/>
      <c r="F10" s="4" t="n"/>
      <c r="G10" s="4" t="n"/>
      <c r="H10" s="4" t="inlineStr">
        <is>
          <t>Not started</t>
        </is>
      </c>
      <c r="I10" s="23" t="n"/>
      <c r="J10" s="4" t="n"/>
    </row>
    <row r="11">
      <c r="A11" s="12" t="inlineStr">
        <is>
          <t>Apple Maps</t>
        </is>
      </c>
      <c r="B11" s="4" t="n"/>
      <c r="C11" s="4" t="n"/>
      <c r="D11" s="4" t="n"/>
      <c r="E11" s="4" t="n"/>
      <c r="F11" s="4" t="n"/>
      <c r="G11" s="4" t="n"/>
      <c r="H11" s="4" t="inlineStr">
        <is>
          <t>Not started</t>
        </is>
      </c>
      <c r="I11" s="23" t="n"/>
      <c r="J11" s="4" t="n"/>
    </row>
    <row r="12">
      <c r="A12" s="12" t="inlineStr">
        <is>
          <t>Bing Places</t>
        </is>
      </c>
      <c r="B12" s="4" t="n"/>
      <c r="C12" s="4" t="n"/>
      <c r="D12" s="4" t="n"/>
      <c r="E12" s="4" t="n"/>
      <c r="F12" s="4" t="n"/>
      <c r="G12" s="4" t="n"/>
      <c r="H12" s="4" t="inlineStr">
        <is>
          <t>Not started</t>
        </is>
      </c>
      <c r="I12" s="23" t="n"/>
      <c r="J12" s="4" t="n"/>
    </row>
    <row r="13">
      <c r="A13" s="12" t="inlineStr">
        <is>
          <t>RateMDs</t>
        </is>
      </c>
      <c r="B13" s="4" t="n"/>
      <c r="C13" s="4" t="n"/>
      <c r="D13" s="4" t="n"/>
      <c r="E13" s="4" t="n"/>
      <c r="F13" s="4" t="n"/>
      <c r="G13" s="4" t="n"/>
      <c r="H13" s="4" t="inlineStr">
        <is>
          <t>Not started</t>
        </is>
      </c>
      <c r="I13" s="23" t="n"/>
      <c r="J13" s="4" t="n"/>
    </row>
    <row r="14">
      <c r="A14" s="12" t="inlineStr">
        <is>
          <t>Canadian chamber directories</t>
        </is>
      </c>
      <c r="B14" s="4" t="n"/>
      <c r="C14" s="4" t="n"/>
      <c r="D14" s="4" t="n"/>
      <c r="E14" s="4" t="n"/>
      <c r="F14" s="4" t="n"/>
      <c r="G14" s="4" t="n"/>
      <c r="H14" s="4" t="inlineStr">
        <is>
          <t>Not started</t>
        </is>
      </c>
      <c r="I14" s="23" t="n"/>
      <c r="J14" s="4" t="n"/>
    </row>
    <row r="15">
      <c r="A15" s="12" t="inlineStr">
        <is>
          <t>Oakville Chamber of Commerce</t>
        </is>
      </c>
      <c r="B15" s="4" t="n"/>
      <c r="C15" s="4" t="n"/>
      <c r="D15" s="4" t="n"/>
      <c r="E15" s="4" t="n"/>
      <c r="F15" s="4" t="n"/>
      <c r="G15" s="4" t="n"/>
      <c r="H15" s="4" t="inlineStr">
        <is>
          <t>Not started</t>
        </is>
      </c>
      <c r="I15" s="23" t="n"/>
      <c r="J15" s="4" t="n"/>
    </row>
    <row r="16">
      <c r="A16" s="12" t="inlineStr">
        <is>
          <t>411.ca</t>
        </is>
      </c>
      <c r="B16" s="4" t="n"/>
      <c r="C16" s="4" t="n"/>
      <c r="D16" s="4" t="n"/>
      <c r="E16" s="4" t="n"/>
      <c r="F16" s="4" t="n"/>
      <c r="G16" s="4" t="n"/>
      <c r="H16" s="4" t="inlineStr">
        <is>
          <t>Not started</t>
        </is>
      </c>
      <c r="I16" s="23" t="n"/>
      <c r="J16" s="4" t="n"/>
    </row>
    <row r="17">
      <c r="A17" s="12" t="inlineStr">
        <is>
          <t>Cylex Canada</t>
        </is>
      </c>
      <c r="B17" s="4" t="n"/>
      <c r="C17" s="4" t="n"/>
      <c r="D17" s="4" t="n"/>
      <c r="E17" s="4" t="n"/>
      <c r="F17" s="4" t="n"/>
      <c r="G17" s="4" t="n"/>
      <c r="H17" s="4" t="inlineStr">
        <is>
          <t>Not started</t>
        </is>
      </c>
      <c r="I17" s="23" t="n"/>
      <c r="J17" s="4" t="n"/>
    </row>
    <row r="18">
      <c r="A18" s="12" t="inlineStr">
        <is>
          <t>Foursquare</t>
        </is>
      </c>
      <c r="B18" s="4" t="n"/>
      <c r="C18" s="4" t="n"/>
      <c r="D18" s="4" t="n"/>
      <c r="E18" s="4" t="n"/>
      <c r="F18" s="4" t="n"/>
      <c r="G18" s="4" t="n"/>
      <c r="H18" s="4" t="inlineStr">
        <is>
          <t>Not started</t>
        </is>
      </c>
      <c r="I18" s="23" t="n"/>
      <c r="J18" s="4" t="n"/>
    </row>
    <row r="19">
      <c r="A19" s="12" t="inlineStr">
        <is>
          <t>Instagram profile</t>
        </is>
      </c>
      <c r="B19" s="4" t="n"/>
      <c r="C19" s="4" t="n"/>
      <c r="D19" s="4" t="n"/>
      <c r="E19" s="4" t="n"/>
      <c r="F19" s="4" t="n"/>
      <c r="G19" s="4" t="n"/>
      <c r="H19" s="4" t="inlineStr">
        <is>
          <t>Not started</t>
        </is>
      </c>
      <c r="I19" s="23" t="n"/>
      <c r="J19" s="4" t="n"/>
    </row>
    <row r="20">
      <c r="A20" s="12" t="inlineStr">
        <is>
          <t>Booking system profile</t>
        </is>
      </c>
      <c r="B20" s="4" t="n"/>
      <c r="C20" s="4" t="n"/>
      <c r="D20" s="4" t="n"/>
      <c r="E20" s="4" t="n"/>
      <c r="F20" s="4" t="n"/>
      <c r="G20" s="4" t="n"/>
      <c r="H20" s="4" t="inlineStr">
        <is>
          <t>Not started</t>
        </is>
      </c>
      <c r="I20" s="23" t="n"/>
      <c r="J20" s="4" t="n"/>
    </row>
    <row r="21">
      <c r="A21" s="12" t="inlineStr">
        <is>
          <t>Halton business directory</t>
        </is>
      </c>
      <c r="B21" s="4" t="n"/>
      <c r="C21" s="4" t="n"/>
      <c r="D21" s="4" t="n"/>
      <c r="E21" s="4" t="n"/>
      <c r="F21" s="4" t="n"/>
      <c r="G21" s="4" t="n"/>
      <c r="H21" s="4" t="inlineStr">
        <is>
          <t>Not started</t>
        </is>
      </c>
      <c r="I21" s="23" t="n"/>
      <c r="J21" s="4" t="n"/>
    </row>
    <row r="22">
      <c r="A22" s="12" t="n"/>
      <c r="B22" s="4" t="n"/>
      <c r="C22" s="4" t="n"/>
      <c r="D22" s="4" t="n"/>
      <c r="E22" s="4" t="n"/>
      <c r="F22" s="4" t="n"/>
      <c r="G22" s="4" t="n"/>
      <c r="H22" s="4" t="n"/>
      <c r="I22" s="23" t="n"/>
      <c r="J22" s="4" t="n"/>
    </row>
    <row r="23">
      <c r="A23" s="12" t="n"/>
      <c r="B23" s="4" t="n"/>
      <c r="C23" s="4" t="n"/>
      <c r="D23" s="4" t="n"/>
      <c r="E23" s="4" t="n"/>
      <c r="F23" s="4" t="n"/>
      <c r="G23" s="4" t="n"/>
      <c r="H23" s="4" t="n"/>
      <c r="I23" s="23" t="n"/>
      <c r="J23" s="4" t="n"/>
    </row>
    <row r="24">
      <c r="A24" s="12" t="n"/>
      <c r="B24" s="4" t="n"/>
      <c r="C24" s="4" t="n"/>
      <c r="D24" s="4" t="n"/>
      <c r="E24" s="4" t="n"/>
      <c r="F24" s="4" t="n"/>
      <c r="G24" s="4" t="n"/>
      <c r="H24" s="4" t="n"/>
      <c r="I24" s="23" t="n"/>
      <c r="J24" s="4" t="n"/>
    </row>
    <row r="25">
      <c r="A25" s="12" t="n"/>
      <c r="B25" s="4" t="n"/>
      <c r="C25" s="4" t="n"/>
      <c r="D25" s="4" t="n"/>
      <c r="E25" s="4" t="n"/>
      <c r="F25" s="4" t="n"/>
      <c r="G25" s="4" t="n"/>
      <c r="H25" s="4" t="n"/>
      <c r="I25" s="23" t="n"/>
      <c r="J25" s="4" t="n"/>
    </row>
    <row r="26">
      <c r="A26" s="12" t="n"/>
      <c r="B26" s="4" t="n"/>
      <c r="C26" s="4" t="n"/>
      <c r="D26" s="4" t="n"/>
      <c r="E26" s="4" t="n"/>
      <c r="F26" s="4" t="n"/>
      <c r="G26" s="4" t="n"/>
      <c r="H26" s="4" t="n"/>
      <c r="I26" s="23" t="n"/>
      <c r="J26" s="4" t="n"/>
    </row>
    <row r="27">
      <c r="A27" s="12" t="n"/>
      <c r="B27" s="4" t="n"/>
      <c r="C27" s="4" t="n"/>
      <c r="D27" s="4" t="n"/>
      <c r="E27" s="4" t="n"/>
      <c r="F27" s="4" t="n"/>
      <c r="G27" s="4" t="n"/>
      <c r="H27" s="4" t="n"/>
      <c r="I27" s="23" t="n"/>
      <c r="J27" s="4" t="n"/>
    </row>
    <row r="28">
      <c r="A28" s="12" t="n"/>
      <c r="B28" s="4" t="n"/>
      <c r="C28" s="4" t="n"/>
      <c r="D28" s="4" t="n"/>
      <c r="E28" s="4" t="n"/>
      <c r="F28" s="4" t="n"/>
      <c r="G28" s="4" t="n"/>
      <c r="H28" s="4" t="n"/>
      <c r="I28" s="23" t="n"/>
      <c r="J28" s="4" t="n"/>
    </row>
    <row r="29">
      <c r="A29" s="12" t="n"/>
      <c r="B29" s="4" t="n"/>
      <c r="C29" s="4" t="n"/>
      <c r="D29" s="4" t="n"/>
      <c r="E29" s="4" t="n"/>
      <c r="F29" s="4" t="n"/>
      <c r="G29" s="4" t="n"/>
      <c r="H29" s="4" t="n"/>
      <c r="I29" s="23" t="n"/>
      <c r="J29" s="4" t="n"/>
    </row>
    <row r="30">
      <c r="A30" s="12" t="n"/>
      <c r="B30" s="4" t="n"/>
      <c r="C30" s="4" t="n"/>
      <c r="D30" s="4" t="n"/>
      <c r="E30" s="4" t="n"/>
      <c r="F30" s="4" t="n"/>
      <c r="G30" s="4" t="n"/>
      <c r="H30" s="4" t="n"/>
      <c r="I30" s="23" t="n"/>
      <c r="J30" s="4" t="n"/>
    </row>
    <row r="31">
      <c r="A31" s="12" t="n"/>
      <c r="B31" s="4" t="n"/>
      <c r="C31" s="4" t="n"/>
      <c r="D31" s="4" t="n"/>
      <c r="E31" s="4" t="n"/>
      <c r="F31" s="4" t="n"/>
      <c r="G31" s="4" t="n"/>
      <c r="H31" s="4" t="n"/>
      <c r="I31" s="23" t="n"/>
      <c r="J31" s="4" t="n"/>
    </row>
    <row r="32">
      <c r="A32" s="12" t="n"/>
      <c r="B32" s="4" t="n"/>
      <c r="C32" s="4" t="n"/>
      <c r="D32" s="4" t="n"/>
      <c r="E32" s="4" t="n"/>
      <c r="F32" s="4" t="n"/>
      <c r="G32" s="4" t="n"/>
      <c r="H32" s="4" t="n"/>
      <c r="I32" s="23" t="n"/>
      <c r="J32" s="4" t="n"/>
    </row>
    <row r="33">
      <c r="A33" s="12" t="n"/>
      <c r="B33" s="4" t="n"/>
      <c r="C33" s="4" t="n"/>
      <c r="D33" s="4" t="n"/>
      <c r="E33" s="4" t="n"/>
      <c r="F33" s="4" t="n"/>
      <c r="G33" s="4" t="n"/>
      <c r="H33" s="4" t="n"/>
      <c r="I33" s="23" t="n"/>
      <c r="J33" s="4" t="n"/>
    </row>
    <row r="34">
      <c r="A34" s="12" t="n"/>
      <c r="B34" s="4" t="n"/>
      <c r="C34" s="4" t="n"/>
      <c r="D34" s="4" t="n"/>
      <c r="E34" s="4" t="n"/>
      <c r="F34" s="4" t="n"/>
      <c r="G34" s="4" t="n"/>
      <c r="H34" s="4" t="n"/>
      <c r="I34" s="23" t="n"/>
      <c r="J34" s="4" t="n"/>
    </row>
  </sheetData>
  <autoFilter ref="A4:J34"/>
  <conditionalFormatting sqref="A5:J34">
    <cfRule type="expression" priority="1" dxfId="0" stopIfTrue="0">
      <formula>$H5="Done"</formula>
    </cfRule>
    <cfRule type="expression" priority="2" dxfId="1" stopIfTrue="0">
      <formula>$H5="Blocked"</formula>
    </cfRule>
    <cfRule type="expression" priority="3" dxfId="2" stopIfTrue="0">
      <formula>$H5="In progress"</formula>
    </cfRule>
  </conditionalFormatting>
  <dataValidations count="6">
    <dataValidation sqref="C5:C34" showDropDown="0" showInputMessage="0" showErrorMessage="0" allowBlank="1" type="list">
      <formula1>"Yes,No,N/A"</formula1>
    </dataValidation>
    <dataValidation sqref="D5:D34" showDropDown="0" showInputMessage="0" showErrorMessage="0" allowBlank="1" type="list">
      <formula1>"Yes,No,N/A"</formula1>
    </dataValidation>
    <dataValidation sqref="E5:E34" showDropDown="0" showInputMessage="0" showErrorMessage="0" allowBlank="1" type="list">
      <formula1>"Yes,No,N/A"</formula1>
    </dataValidation>
    <dataValidation sqref="F5:F34" showDropDown="0" showInputMessage="0" showErrorMessage="0" allowBlank="1" type="list">
      <formula1>"Yes,No,N/A"</formula1>
    </dataValidation>
    <dataValidation sqref="G5:G34" showDropDown="0" showInputMessage="0" showErrorMessage="0" allowBlank="1" type="list">
      <formula1>"Yes,No,N/A"</formula1>
    </dataValidation>
    <dataValidation sqref="H5:H34" showDropDown="0" showInputMessage="0" showErrorMessage="0" allowBlank="1" type="list">
      <formula1>"Not started,In progress,Blocked,Done,Not applicable"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0" customWidth="1" min="3" max="3"/>
    <col width="26" customWidth="1" min="4" max="4"/>
    <col width="26" customWidth="1" min="5" max="5"/>
    <col width="19" customWidth="1" min="6" max="6"/>
    <col width="12" customWidth="1" min="7" max="7"/>
    <col width="34" customWidth="1" min="8" max="8"/>
  </cols>
  <sheetData>
    <row r="1" ht="22" customHeight="1">
      <c r="A1" s="1" t="inlineStr">
        <is>
          <t>Google Business Profile posts</t>
        </is>
      </c>
    </row>
    <row r="2">
      <c r="A2" s="2" t="inlineStr">
        <is>
          <t>One a day, every weekday. Rotate the five types. Every post carries the booking link. Nothing here names a prescription drug.</t>
        </is>
      </c>
      <c r="F2" s="3" t="inlineStr">
        <is>
          <t>Posts published</t>
        </is>
      </c>
      <c r="G2" s="3">
        <f>COUNTIF(G5:G144,"Yes")</f>
        <v/>
      </c>
    </row>
    <row r="4" ht="28" customHeight="1">
      <c r="A4" s="9" t="inlineStr">
        <is>
          <t>Date</t>
        </is>
      </c>
      <c r="B4" s="9" t="inlineStr">
        <is>
          <t>Post type</t>
        </is>
      </c>
      <c r="C4" s="9" t="inlineStr">
        <is>
          <t>Treatment or topic</t>
        </is>
      </c>
      <c r="D4" s="9" t="inlineStr">
        <is>
          <t>Copy source</t>
        </is>
      </c>
      <c r="E4" s="9" t="inlineStr">
        <is>
          <t>Image source</t>
        </is>
      </c>
      <c r="F4" s="9" t="inlineStr">
        <is>
          <t>Booking link included</t>
        </is>
      </c>
      <c r="G4" s="9" t="inlineStr">
        <is>
          <t>Published</t>
        </is>
      </c>
      <c r="H4" s="9" t="inlineStr">
        <is>
          <t>Notes</t>
        </is>
      </c>
    </row>
    <row r="5">
      <c r="A5" s="24" t="n"/>
      <c r="B5" s="6" t="n"/>
      <c r="C5" s="6" t="n"/>
      <c r="D5" s="6" t="n"/>
      <c r="E5" s="6" t="n"/>
      <c r="F5" s="6" t="n"/>
      <c r="G5" s="6" t="n"/>
      <c r="H5" s="6" t="n"/>
    </row>
    <row r="6">
      <c r="A6" s="24" t="n"/>
      <c r="B6" s="6" t="n"/>
      <c r="C6" s="6" t="n"/>
      <c r="D6" s="6" t="n"/>
      <c r="E6" s="6" t="n"/>
      <c r="F6" s="6" t="n"/>
      <c r="G6" s="6" t="n"/>
      <c r="H6" s="6" t="n"/>
    </row>
    <row r="7">
      <c r="A7" s="24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6" t="n"/>
      <c r="C8" s="6" t="n"/>
      <c r="D8" s="6" t="n"/>
      <c r="E8" s="6" t="n"/>
      <c r="F8" s="6" t="n"/>
      <c r="G8" s="6" t="n"/>
      <c r="H8" s="6" t="n"/>
    </row>
    <row r="9">
      <c r="A9" s="24" t="n"/>
      <c r="B9" s="6" t="n"/>
      <c r="C9" s="6" t="n"/>
      <c r="D9" s="6" t="n"/>
      <c r="E9" s="6" t="n"/>
      <c r="F9" s="6" t="n"/>
      <c r="G9" s="6" t="n"/>
      <c r="H9" s="6" t="n"/>
    </row>
    <row r="10">
      <c r="A10" s="24" t="n"/>
      <c r="B10" s="6" t="n"/>
      <c r="C10" s="6" t="n"/>
      <c r="D10" s="6" t="n"/>
      <c r="E10" s="6" t="n"/>
      <c r="F10" s="6" t="n"/>
      <c r="G10" s="6" t="n"/>
      <c r="H10" s="6" t="n"/>
    </row>
    <row r="11">
      <c r="A11" s="24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6" t="n"/>
      <c r="C12" s="6" t="n"/>
      <c r="D12" s="6" t="n"/>
      <c r="E12" s="6" t="n"/>
      <c r="F12" s="6" t="n"/>
      <c r="G12" s="6" t="n"/>
      <c r="H12" s="6" t="n"/>
    </row>
    <row r="13">
      <c r="A13" s="24" t="n"/>
      <c r="B13" s="6" t="n"/>
      <c r="C13" s="6" t="n"/>
      <c r="D13" s="6" t="n"/>
      <c r="E13" s="6" t="n"/>
      <c r="F13" s="6" t="n"/>
      <c r="G13" s="6" t="n"/>
      <c r="H13" s="6" t="n"/>
    </row>
    <row r="14">
      <c r="A14" s="24" t="n"/>
      <c r="B14" s="6" t="n"/>
      <c r="C14" s="6" t="n"/>
      <c r="D14" s="6" t="n"/>
      <c r="E14" s="6" t="n"/>
      <c r="F14" s="6" t="n"/>
      <c r="G14" s="6" t="n"/>
      <c r="H14" s="6" t="n"/>
    </row>
    <row r="15">
      <c r="A15" s="24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6" t="n"/>
      <c r="C16" s="6" t="n"/>
      <c r="D16" s="6" t="n"/>
      <c r="E16" s="6" t="n"/>
      <c r="F16" s="6" t="n"/>
      <c r="G16" s="6" t="n"/>
      <c r="H16" s="6" t="n"/>
    </row>
    <row r="17">
      <c r="A17" s="24" t="n"/>
      <c r="B17" s="6" t="n"/>
      <c r="C17" s="6" t="n"/>
      <c r="D17" s="6" t="n"/>
      <c r="E17" s="6" t="n"/>
      <c r="F17" s="6" t="n"/>
      <c r="G17" s="6" t="n"/>
      <c r="H17" s="6" t="n"/>
    </row>
    <row r="18">
      <c r="A18" s="24" t="n"/>
      <c r="B18" s="6" t="n"/>
      <c r="C18" s="6" t="n"/>
      <c r="D18" s="6" t="n"/>
      <c r="E18" s="6" t="n"/>
      <c r="F18" s="6" t="n"/>
      <c r="G18" s="6" t="n"/>
      <c r="H18" s="6" t="n"/>
    </row>
    <row r="19">
      <c r="A19" s="24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6" t="n"/>
      <c r="C20" s="6" t="n"/>
      <c r="D20" s="6" t="n"/>
      <c r="E20" s="6" t="n"/>
      <c r="F20" s="6" t="n"/>
      <c r="G20" s="6" t="n"/>
      <c r="H20" s="6" t="n"/>
    </row>
    <row r="21">
      <c r="A21" s="24" t="n"/>
      <c r="B21" s="6" t="n"/>
      <c r="C21" s="6" t="n"/>
      <c r="D21" s="6" t="n"/>
      <c r="E21" s="6" t="n"/>
      <c r="F21" s="6" t="n"/>
      <c r="G21" s="6" t="n"/>
      <c r="H21" s="6" t="n"/>
    </row>
    <row r="22">
      <c r="A22" s="24" t="n"/>
      <c r="B22" s="6" t="n"/>
      <c r="C22" s="6" t="n"/>
      <c r="D22" s="6" t="n"/>
      <c r="E22" s="6" t="n"/>
      <c r="F22" s="6" t="n"/>
      <c r="G22" s="6" t="n"/>
      <c r="H22" s="6" t="n"/>
    </row>
    <row r="23">
      <c r="A23" s="24" t="n"/>
      <c r="B23" s="6" t="n"/>
      <c r="C23" s="6" t="n"/>
      <c r="D23" s="6" t="n"/>
      <c r="E23" s="6" t="n"/>
      <c r="F23" s="6" t="n"/>
      <c r="G23" s="6" t="n"/>
      <c r="H23" s="6" t="n"/>
    </row>
    <row r="24">
      <c r="A24" s="24" t="n"/>
      <c r="B24" s="6" t="n"/>
      <c r="C24" s="6" t="n"/>
      <c r="D24" s="6" t="n"/>
      <c r="E24" s="6" t="n"/>
      <c r="F24" s="6" t="n"/>
      <c r="G24" s="6" t="n"/>
      <c r="H24" s="6" t="n"/>
    </row>
    <row r="25">
      <c r="A25" s="24" t="n"/>
      <c r="B25" s="6" t="n"/>
      <c r="C25" s="6" t="n"/>
      <c r="D25" s="6" t="n"/>
      <c r="E25" s="6" t="n"/>
      <c r="F25" s="6" t="n"/>
      <c r="G25" s="6" t="n"/>
      <c r="H25" s="6" t="n"/>
    </row>
    <row r="26">
      <c r="A26" s="24" t="n"/>
      <c r="B26" s="6" t="n"/>
      <c r="C26" s="6" t="n"/>
      <c r="D26" s="6" t="n"/>
      <c r="E26" s="6" t="n"/>
      <c r="F26" s="6" t="n"/>
      <c r="G26" s="6" t="n"/>
      <c r="H26" s="6" t="n"/>
    </row>
    <row r="27">
      <c r="A27" s="24" t="n"/>
      <c r="B27" s="6" t="n"/>
      <c r="C27" s="6" t="n"/>
      <c r="D27" s="6" t="n"/>
      <c r="E27" s="6" t="n"/>
      <c r="F27" s="6" t="n"/>
      <c r="G27" s="6" t="n"/>
      <c r="H27" s="6" t="n"/>
    </row>
    <row r="28">
      <c r="A28" s="24" t="n"/>
      <c r="B28" s="6" t="n"/>
      <c r="C28" s="6" t="n"/>
      <c r="D28" s="6" t="n"/>
      <c r="E28" s="6" t="n"/>
      <c r="F28" s="6" t="n"/>
      <c r="G28" s="6" t="n"/>
      <c r="H28" s="6" t="n"/>
    </row>
    <row r="29">
      <c r="A29" s="24" t="n"/>
      <c r="B29" s="6" t="n"/>
      <c r="C29" s="6" t="n"/>
      <c r="D29" s="6" t="n"/>
      <c r="E29" s="6" t="n"/>
      <c r="F29" s="6" t="n"/>
      <c r="G29" s="6" t="n"/>
      <c r="H29" s="6" t="n"/>
    </row>
    <row r="30">
      <c r="A30" s="24" t="n"/>
      <c r="B30" s="6" t="n"/>
      <c r="C30" s="6" t="n"/>
      <c r="D30" s="6" t="n"/>
      <c r="E30" s="6" t="n"/>
      <c r="F30" s="6" t="n"/>
      <c r="G30" s="6" t="n"/>
      <c r="H30" s="6" t="n"/>
    </row>
    <row r="31">
      <c r="A31" s="24" t="n"/>
      <c r="B31" s="6" t="n"/>
      <c r="C31" s="6" t="n"/>
      <c r="D31" s="6" t="n"/>
      <c r="E31" s="6" t="n"/>
      <c r="F31" s="6" t="n"/>
      <c r="G31" s="6" t="n"/>
      <c r="H31" s="6" t="n"/>
    </row>
    <row r="32">
      <c r="A32" s="24" t="n"/>
      <c r="B32" s="6" t="n"/>
      <c r="C32" s="6" t="n"/>
      <c r="D32" s="6" t="n"/>
      <c r="E32" s="6" t="n"/>
      <c r="F32" s="6" t="n"/>
      <c r="G32" s="6" t="n"/>
      <c r="H32" s="6" t="n"/>
    </row>
    <row r="33">
      <c r="A33" s="24" t="n"/>
      <c r="B33" s="6" t="n"/>
      <c r="C33" s="6" t="n"/>
      <c r="D33" s="6" t="n"/>
      <c r="E33" s="6" t="n"/>
      <c r="F33" s="6" t="n"/>
      <c r="G33" s="6" t="n"/>
      <c r="H33" s="6" t="n"/>
    </row>
    <row r="34">
      <c r="A34" s="24" t="n"/>
      <c r="B34" s="6" t="n"/>
      <c r="C34" s="6" t="n"/>
      <c r="D34" s="6" t="n"/>
      <c r="E34" s="6" t="n"/>
      <c r="F34" s="6" t="n"/>
      <c r="G34" s="6" t="n"/>
      <c r="H34" s="6" t="n"/>
    </row>
    <row r="35">
      <c r="A35" s="24" t="n"/>
      <c r="B35" s="6" t="n"/>
      <c r="C35" s="6" t="n"/>
      <c r="D35" s="6" t="n"/>
      <c r="E35" s="6" t="n"/>
      <c r="F35" s="6" t="n"/>
      <c r="G35" s="6" t="n"/>
      <c r="H35" s="6" t="n"/>
    </row>
    <row r="36">
      <c r="A36" s="24" t="n"/>
      <c r="B36" s="6" t="n"/>
      <c r="C36" s="6" t="n"/>
      <c r="D36" s="6" t="n"/>
      <c r="E36" s="6" t="n"/>
      <c r="F36" s="6" t="n"/>
      <c r="G36" s="6" t="n"/>
      <c r="H36" s="6" t="n"/>
    </row>
    <row r="37">
      <c r="A37" s="24" t="n"/>
      <c r="B37" s="6" t="n"/>
      <c r="C37" s="6" t="n"/>
      <c r="D37" s="6" t="n"/>
      <c r="E37" s="6" t="n"/>
      <c r="F37" s="6" t="n"/>
      <c r="G37" s="6" t="n"/>
      <c r="H37" s="6" t="n"/>
    </row>
    <row r="38">
      <c r="A38" s="24" t="n"/>
      <c r="B38" s="6" t="n"/>
      <c r="C38" s="6" t="n"/>
      <c r="D38" s="6" t="n"/>
      <c r="E38" s="6" t="n"/>
      <c r="F38" s="6" t="n"/>
      <c r="G38" s="6" t="n"/>
      <c r="H38" s="6" t="n"/>
    </row>
    <row r="39">
      <c r="A39" s="24" t="n"/>
      <c r="B39" s="6" t="n"/>
      <c r="C39" s="6" t="n"/>
      <c r="D39" s="6" t="n"/>
      <c r="E39" s="6" t="n"/>
      <c r="F39" s="6" t="n"/>
      <c r="G39" s="6" t="n"/>
      <c r="H39" s="6" t="n"/>
    </row>
    <row r="40">
      <c r="A40" s="24" t="n"/>
      <c r="B40" s="6" t="n"/>
      <c r="C40" s="6" t="n"/>
      <c r="D40" s="6" t="n"/>
      <c r="E40" s="6" t="n"/>
      <c r="F40" s="6" t="n"/>
      <c r="G40" s="6" t="n"/>
      <c r="H40" s="6" t="n"/>
    </row>
    <row r="41">
      <c r="A41" s="24" t="n"/>
      <c r="B41" s="6" t="n"/>
      <c r="C41" s="6" t="n"/>
      <c r="D41" s="6" t="n"/>
      <c r="E41" s="6" t="n"/>
      <c r="F41" s="6" t="n"/>
      <c r="G41" s="6" t="n"/>
      <c r="H41" s="6" t="n"/>
    </row>
    <row r="42">
      <c r="A42" s="24" t="n"/>
      <c r="B42" s="6" t="n"/>
      <c r="C42" s="6" t="n"/>
      <c r="D42" s="6" t="n"/>
      <c r="E42" s="6" t="n"/>
      <c r="F42" s="6" t="n"/>
      <c r="G42" s="6" t="n"/>
      <c r="H42" s="6" t="n"/>
    </row>
    <row r="43">
      <c r="A43" s="24" t="n"/>
      <c r="B43" s="6" t="n"/>
      <c r="C43" s="6" t="n"/>
      <c r="D43" s="6" t="n"/>
      <c r="E43" s="6" t="n"/>
      <c r="F43" s="6" t="n"/>
      <c r="G43" s="6" t="n"/>
      <c r="H43" s="6" t="n"/>
    </row>
    <row r="44">
      <c r="A44" s="24" t="n"/>
      <c r="B44" s="6" t="n"/>
      <c r="C44" s="6" t="n"/>
      <c r="D44" s="6" t="n"/>
      <c r="E44" s="6" t="n"/>
      <c r="F44" s="6" t="n"/>
      <c r="G44" s="6" t="n"/>
      <c r="H44" s="6" t="n"/>
    </row>
    <row r="45">
      <c r="A45" s="24" t="n"/>
      <c r="B45" s="6" t="n"/>
      <c r="C45" s="6" t="n"/>
      <c r="D45" s="6" t="n"/>
      <c r="E45" s="6" t="n"/>
      <c r="F45" s="6" t="n"/>
      <c r="G45" s="6" t="n"/>
      <c r="H45" s="6" t="n"/>
    </row>
    <row r="46">
      <c r="A46" s="24" t="n"/>
      <c r="B46" s="6" t="n"/>
      <c r="C46" s="6" t="n"/>
      <c r="D46" s="6" t="n"/>
      <c r="E46" s="6" t="n"/>
      <c r="F46" s="6" t="n"/>
      <c r="G46" s="6" t="n"/>
      <c r="H46" s="6" t="n"/>
    </row>
    <row r="47">
      <c r="A47" s="24" t="n"/>
      <c r="B47" s="6" t="n"/>
      <c r="C47" s="6" t="n"/>
      <c r="D47" s="6" t="n"/>
      <c r="E47" s="6" t="n"/>
      <c r="F47" s="6" t="n"/>
      <c r="G47" s="6" t="n"/>
      <c r="H47" s="6" t="n"/>
    </row>
    <row r="48">
      <c r="A48" s="24" t="n"/>
      <c r="B48" s="6" t="n"/>
      <c r="C48" s="6" t="n"/>
      <c r="D48" s="6" t="n"/>
      <c r="E48" s="6" t="n"/>
      <c r="F48" s="6" t="n"/>
      <c r="G48" s="6" t="n"/>
      <c r="H48" s="6" t="n"/>
    </row>
    <row r="49">
      <c r="A49" s="24" t="n"/>
      <c r="B49" s="6" t="n"/>
      <c r="C49" s="6" t="n"/>
      <c r="D49" s="6" t="n"/>
      <c r="E49" s="6" t="n"/>
      <c r="F49" s="6" t="n"/>
      <c r="G49" s="6" t="n"/>
      <c r="H49" s="6" t="n"/>
    </row>
    <row r="50">
      <c r="A50" s="24" t="n"/>
      <c r="B50" s="6" t="n"/>
      <c r="C50" s="6" t="n"/>
      <c r="D50" s="6" t="n"/>
      <c r="E50" s="6" t="n"/>
      <c r="F50" s="6" t="n"/>
      <c r="G50" s="6" t="n"/>
      <c r="H50" s="6" t="n"/>
    </row>
    <row r="51">
      <c r="A51" s="24" t="n"/>
      <c r="B51" s="6" t="n"/>
      <c r="C51" s="6" t="n"/>
      <c r="D51" s="6" t="n"/>
      <c r="E51" s="6" t="n"/>
      <c r="F51" s="6" t="n"/>
      <c r="G51" s="6" t="n"/>
      <c r="H51" s="6" t="n"/>
    </row>
    <row r="52">
      <c r="A52" s="24" t="n"/>
      <c r="B52" s="6" t="n"/>
      <c r="C52" s="6" t="n"/>
      <c r="D52" s="6" t="n"/>
      <c r="E52" s="6" t="n"/>
      <c r="F52" s="6" t="n"/>
      <c r="G52" s="6" t="n"/>
      <c r="H52" s="6" t="n"/>
    </row>
    <row r="53">
      <c r="A53" s="24" t="n"/>
      <c r="B53" s="6" t="n"/>
      <c r="C53" s="6" t="n"/>
      <c r="D53" s="6" t="n"/>
      <c r="E53" s="6" t="n"/>
      <c r="F53" s="6" t="n"/>
      <c r="G53" s="6" t="n"/>
      <c r="H53" s="6" t="n"/>
    </row>
    <row r="54">
      <c r="A54" s="24" t="n"/>
      <c r="B54" s="6" t="n"/>
      <c r="C54" s="6" t="n"/>
      <c r="D54" s="6" t="n"/>
      <c r="E54" s="6" t="n"/>
      <c r="F54" s="6" t="n"/>
      <c r="G54" s="6" t="n"/>
      <c r="H54" s="6" t="n"/>
    </row>
    <row r="55">
      <c r="A55" s="24" t="n"/>
      <c r="B55" s="6" t="n"/>
      <c r="C55" s="6" t="n"/>
      <c r="D55" s="6" t="n"/>
      <c r="E55" s="6" t="n"/>
      <c r="F55" s="6" t="n"/>
      <c r="G55" s="6" t="n"/>
      <c r="H55" s="6" t="n"/>
    </row>
    <row r="56">
      <c r="A56" s="24" t="n"/>
      <c r="B56" s="6" t="n"/>
      <c r="C56" s="6" t="n"/>
      <c r="D56" s="6" t="n"/>
      <c r="E56" s="6" t="n"/>
      <c r="F56" s="6" t="n"/>
      <c r="G56" s="6" t="n"/>
      <c r="H56" s="6" t="n"/>
    </row>
    <row r="57">
      <c r="A57" s="24" t="n"/>
      <c r="B57" s="6" t="n"/>
      <c r="C57" s="6" t="n"/>
      <c r="D57" s="6" t="n"/>
      <c r="E57" s="6" t="n"/>
      <c r="F57" s="6" t="n"/>
      <c r="G57" s="6" t="n"/>
      <c r="H57" s="6" t="n"/>
    </row>
    <row r="58">
      <c r="A58" s="24" t="n"/>
      <c r="B58" s="6" t="n"/>
      <c r="C58" s="6" t="n"/>
      <c r="D58" s="6" t="n"/>
      <c r="E58" s="6" t="n"/>
      <c r="F58" s="6" t="n"/>
      <c r="G58" s="6" t="n"/>
      <c r="H58" s="6" t="n"/>
    </row>
    <row r="59">
      <c r="A59" s="24" t="n"/>
      <c r="B59" s="6" t="n"/>
      <c r="C59" s="6" t="n"/>
      <c r="D59" s="6" t="n"/>
      <c r="E59" s="6" t="n"/>
      <c r="F59" s="6" t="n"/>
      <c r="G59" s="6" t="n"/>
      <c r="H59" s="6" t="n"/>
    </row>
    <row r="60">
      <c r="A60" s="24" t="n"/>
      <c r="B60" s="6" t="n"/>
      <c r="C60" s="6" t="n"/>
      <c r="D60" s="6" t="n"/>
      <c r="E60" s="6" t="n"/>
      <c r="F60" s="6" t="n"/>
      <c r="G60" s="6" t="n"/>
      <c r="H60" s="6" t="n"/>
    </row>
    <row r="61">
      <c r="A61" s="24" t="n"/>
      <c r="B61" s="6" t="n"/>
      <c r="C61" s="6" t="n"/>
      <c r="D61" s="6" t="n"/>
      <c r="E61" s="6" t="n"/>
      <c r="F61" s="6" t="n"/>
      <c r="G61" s="6" t="n"/>
      <c r="H61" s="6" t="n"/>
    </row>
    <row r="62">
      <c r="A62" s="24" t="n"/>
      <c r="B62" s="6" t="n"/>
      <c r="C62" s="6" t="n"/>
      <c r="D62" s="6" t="n"/>
      <c r="E62" s="6" t="n"/>
      <c r="F62" s="6" t="n"/>
      <c r="G62" s="6" t="n"/>
      <c r="H62" s="6" t="n"/>
    </row>
    <row r="63">
      <c r="A63" s="24" t="n"/>
      <c r="B63" s="6" t="n"/>
      <c r="C63" s="6" t="n"/>
      <c r="D63" s="6" t="n"/>
      <c r="E63" s="6" t="n"/>
      <c r="F63" s="6" t="n"/>
      <c r="G63" s="6" t="n"/>
      <c r="H63" s="6" t="n"/>
    </row>
    <row r="64">
      <c r="A64" s="24" t="n"/>
      <c r="B64" s="6" t="n"/>
      <c r="C64" s="6" t="n"/>
      <c r="D64" s="6" t="n"/>
      <c r="E64" s="6" t="n"/>
      <c r="F64" s="6" t="n"/>
      <c r="G64" s="6" t="n"/>
      <c r="H64" s="6" t="n"/>
    </row>
    <row r="65">
      <c r="A65" s="24" t="n"/>
      <c r="B65" s="6" t="n"/>
      <c r="C65" s="6" t="n"/>
      <c r="D65" s="6" t="n"/>
      <c r="E65" s="6" t="n"/>
      <c r="F65" s="6" t="n"/>
      <c r="G65" s="6" t="n"/>
      <c r="H65" s="6" t="n"/>
    </row>
    <row r="66">
      <c r="A66" s="24" t="n"/>
      <c r="B66" s="6" t="n"/>
      <c r="C66" s="6" t="n"/>
      <c r="D66" s="6" t="n"/>
      <c r="E66" s="6" t="n"/>
      <c r="F66" s="6" t="n"/>
      <c r="G66" s="6" t="n"/>
      <c r="H66" s="6" t="n"/>
    </row>
    <row r="67">
      <c r="A67" s="24" t="n"/>
      <c r="B67" s="6" t="n"/>
      <c r="C67" s="6" t="n"/>
      <c r="D67" s="6" t="n"/>
      <c r="E67" s="6" t="n"/>
      <c r="F67" s="6" t="n"/>
      <c r="G67" s="6" t="n"/>
      <c r="H67" s="6" t="n"/>
    </row>
    <row r="68">
      <c r="A68" s="24" t="n"/>
      <c r="B68" s="6" t="n"/>
      <c r="C68" s="6" t="n"/>
      <c r="D68" s="6" t="n"/>
      <c r="E68" s="6" t="n"/>
      <c r="F68" s="6" t="n"/>
      <c r="G68" s="6" t="n"/>
      <c r="H68" s="6" t="n"/>
    </row>
    <row r="69">
      <c r="A69" s="24" t="n"/>
      <c r="B69" s="6" t="n"/>
      <c r="C69" s="6" t="n"/>
      <c r="D69" s="6" t="n"/>
      <c r="E69" s="6" t="n"/>
      <c r="F69" s="6" t="n"/>
      <c r="G69" s="6" t="n"/>
      <c r="H69" s="6" t="n"/>
    </row>
    <row r="70">
      <c r="A70" s="24" t="n"/>
      <c r="B70" s="6" t="n"/>
      <c r="C70" s="6" t="n"/>
      <c r="D70" s="6" t="n"/>
      <c r="E70" s="6" t="n"/>
      <c r="F70" s="6" t="n"/>
      <c r="G70" s="6" t="n"/>
      <c r="H70" s="6" t="n"/>
    </row>
    <row r="71">
      <c r="A71" s="24" t="n"/>
      <c r="B71" s="6" t="n"/>
      <c r="C71" s="6" t="n"/>
      <c r="D71" s="6" t="n"/>
      <c r="E71" s="6" t="n"/>
      <c r="F71" s="6" t="n"/>
      <c r="G71" s="6" t="n"/>
      <c r="H71" s="6" t="n"/>
    </row>
    <row r="72">
      <c r="A72" s="24" t="n"/>
      <c r="B72" s="6" t="n"/>
      <c r="C72" s="6" t="n"/>
      <c r="D72" s="6" t="n"/>
      <c r="E72" s="6" t="n"/>
      <c r="F72" s="6" t="n"/>
      <c r="G72" s="6" t="n"/>
      <c r="H72" s="6" t="n"/>
    </row>
    <row r="73">
      <c r="A73" s="24" t="n"/>
      <c r="B73" s="6" t="n"/>
      <c r="C73" s="6" t="n"/>
      <c r="D73" s="6" t="n"/>
      <c r="E73" s="6" t="n"/>
      <c r="F73" s="6" t="n"/>
      <c r="G73" s="6" t="n"/>
      <c r="H73" s="6" t="n"/>
    </row>
    <row r="74">
      <c r="A74" s="24" t="n"/>
      <c r="B74" s="6" t="n"/>
      <c r="C74" s="6" t="n"/>
      <c r="D74" s="6" t="n"/>
      <c r="E74" s="6" t="n"/>
      <c r="F74" s="6" t="n"/>
      <c r="G74" s="6" t="n"/>
      <c r="H74" s="6" t="n"/>
    </row>
    <row r="75">
      <c r="A75" s="24" t="n"/>
      <c r="B75" s="6" t="n"/>
      <c r="C75" s="6" t="n"/>
      <c r="D75" s="6" t="n"/>
      <c r="E75" s="6" t="n"/>
      <c r="F75" s="6" t="n"/>
      <c r="G75" s="6" t="n"/>
      <c r="H75" s="6" t="n"/>
    </row>
    <row r="76">
      <c r="A76" s="24" t="n"/>
      <c r="B76" s="6" t="n"/>
      <c r="C76" s="6" t="n"/>
      <c r="D76" s="6" t="n"/>
      <c r="E76" s="6" t="n"/>
      <c r="F76" s="6" t="n"/>
      <c r="G76" s="6" t="n"/>
      <c r="H76" s="6" t="n"/>
    </row>
    <row r="77">
      <c r="A77" s="24" t="n"/>
      <c r="B77" s="6" t="n"/>
      <c r="C77" s="6" t="n"/>
      <c r="D77" s="6" t="n"/>
      <c r="E77" s="6" t="n"/>
      <c r="F77" s="6" t="n"/>
      <c r="G77" s="6" t="n"/>
      <c r="H77" s="6" t="n"/>
    </row>
    <row r="78">
      <c r="A78" s="24" t="n"/>
      <c r="B78" s="6" t="n"/>
      <c r="C78" s="6" t="n"/>
      <c r="D78" s="6" t="n"/>
      <c r="E78" s="6" t="n"/>
      <c r="F78" s="6" t="n"/>
      <c r="G78" s="6" t="n"/>
      <c r="H78" s="6" t="n"/>
    </row>
    <row r="79">
      <c r="A79" s="24" t="n"/>
      <c r="B79" s="6" t="n"/>
      <c r="C79" s="6" t="n"/>
      <c r="D79" s="6" t="n"/>
      <c r="E79" s="6" t="n"/>
      <c r="F79" s="6" t="n"/>
      <c r="G79" s="6" t="n"/>
      <c r="H79" s="6" t="n"/>
    </row>
    <row r="80">
      <c r="A80" s="24" t="n"/>
      <c r="B80" s="6" t="n"/>
      <c r="C80" s="6" t="n"/>
      <c r="D80" s="6" t="n"/>
      <c r="E80" s="6" t="n"/>
      <c r="F80" s="6" t="n"/>
      <c r="G80" s="6" t="n"/>
      <c r="H80" s="6" t="n"/>
    </row>
    <row r="81">
      <c r="A81" s="24" t="n"/>
      <c r="B81" s="6" t="n"/>
      <c r="C81" s="6" t="n"/>
      <c r="D81" s="6" t="n"/>
      <c r="E81" s="6" t="n"/>
      <c r="F81" s="6" t="n"/>
      <c r="G81" s="6" t="n"/>
      <c r="H81" s="6" t="n"/>
    </row>
    <row r="82">
      <c r="A82" s="24" t="n"/>
      <c r="B82" s="6" t="n"/>
      <c r="C82" s="6" t="n"/>
      <c r="D82" s="6" t="n"/>
      <c r="E82" s="6" t="n"/>
      <c r="F82" s="6" t="n"/>
      <c r="G82" s="6" t="n"/>
      <c r="H82" s="6" t="n"/>
    </row>
    <row r="83">
      <c r="A83" s="24" t="n"/>
      <c r="B83" s="6" t="n"/>
      <c r="C83" s="6" t="n"/>
      <c r="D83" s="6" t="n"/>
      <c r="E83" s="6" t="n"/>
      <c r="F83" s="6" t="n"/>
      <c r="G83" s="6" t="n"/>
      <c r="H83" s="6" t="n"/>
    </row>
    <row r="84">
      <c r="A84" s="24" t="n"/>
      <c r="B84" s="6" t="n"/>
      <c r="C84" s="6" t="n"/>
      <c r="D84" s="6" t="n"/>
      <c r="E84" s="6" t="n"/>
      <c r="F84" s="6" t="n"/>
      <c r="G84" s="6" t="n"/>
      <c r="H84" s="6" t="n"/>
    </row>
    <row r="85">
      <c r="A85" s="24" t="n"/>
      <c r="B85" s="6" t="n"/>
      <c r="C85" s="6" t="n"/>
      <c r="D85" s="6" t="n"/>
      <c r="E85" s="6" t="n"/>
      <c r="F85" s="6" t="n"/>
      <c r="G85" s="6" t="n"/>
      <c r="H85" s="6" t="n"/>
    </row>
    <row r="86">
      <c r="A86" s="24" t="n"/>
      <c r="B86" s="6" t="n"/>
      <c r="C86" s="6" t="n"/>
      <c r="D86" s="6" t="n"/>
      <c r="E86" s="6" t="n"/>
      <c r="F86" s="6" t="n"/>
      <c r="G86" s="6" t="n"/>
      <c r="H86" s="6" t="n"/>
    </row>
    <row r="87">
      <c r="A87" s="24" t="n"/>
      <c r="B87" s="6" t="n"/>
      <c r="C87" s="6" t="n"/>
      <c r="D87" s="6" t="n"/>
      <c r="E87" s="6" t="n"/>
      <c r="F87" s="6" t="n"/>
      <c r="G87" s="6" t="n"/>
      <c r="H87" s="6" t="n"/>
    </row>
    <row r="88">
      <c r="A88" s="24" t="n"/>
      <c r="B88" s="6" t="n"/>
      <c r="C88" s="6" t="n"/>
      <c r="D88" s="6" t="n"/>
      <c r="E88" s="6" t="n"/>
      <c r="F88" s="6" t="n"/>
      <c r="G88" s="6" t="n"/>
      <c r="H88" s="6" t="n"/>
    </row>
    <row r="89">
      <c r="A89" s="24" t="n"/>
      <c r="B89" s="6" t="n"/>
      <c r="C89" s="6" t="n"/>
      <c r="D89" s="6" t="n"/>
      <c r="E89" s="6" t="n"/>
      <c r="F89" s="6" t="n"/>
      <c r="G89" s="6" t="n"/>
      <c r="H89" s="6" t="n"/>
    </row>
    <row r="90">
      <c r="A90" s="24" t="n"/>
      <c r="B90" s="6" t="n"/>
      <c r="C90" s="6" t="n"/>
      <c r="D90" s="6" t="n"/>
      <c r="E90" s="6" t="n"/>
      <c r="F90" s="6" t="n"/>
      <c r="G90" s="6" t="n"/>
      <c r="H90" s="6" t="n"/>
    </row>
    <row r="91">
      <c r="A91" s="24" t="n"/>
      <c r="B91" s="6" t="n"/>
      <c r="C91" s="6" t="n"/>
      <c r="D91" s="6" t="n"/>
      <c r="E91" s="6" t="n"/>
      <c r="F91" s="6" t="n"/>
      <c r="G91" s="6" t="n"/>
      <c r="H91" s="6" t="n"/>
    </row>
    <row r="92">
      <c r="A92" s="24" t="n"/>
      <c r="B92" s="6" t="n"/>
      <c r="C92" s="6" t="n"/>
      <c r="D92" s="6" t="n"/>
      <c r="E92" s="6" t="n"/>
      <c r="F92" s="6" t="n"/>
      <c r="G92" s="6" t="n"/>
      <c r="H92" s="6" t="n"/>
    </row>
    <row r="93">
      <c r="A93" s="24" t="n"/>
      <c r="B93" s="6" t="n"/>
      <c r="C93" s="6" t="n"/>
      <c r="D93" s="6" t="n"/>
      <c r="E93" s="6" t="n"/>
      <c r="F93" s="6" t="n"/>
      <c r="G93" s="6" t="n"/>
      <c r="H93" s="6" t="n"/>
    </row>
    <row r="94">
      <c r="A94" s="24" t="n"/>
      <c r="B94" s="6" t="n"/>
      <c r="C94" s="6" t="n"/>
      <c r="D94" s="6" t="n"/>
      <c r="E94" s="6" t="n"/>
      <c r="F94" s="6" t="n"/>
      <c r="G94" s="6" t="n"/>
      <c r="H94" s="6" t="n"/>
    </row>
    <row r="95">
      <c r="A95" s="24" t="n"/>
      <c r="B95" s="6" t="n"/>
      <c r="C95" s="6" t="n"/>
      <c r="D95" s="6" t="n"/>
      <c r="E95" s="6" t="n"/>
      <c r="F95" s="6" t="n"/>
      <c r="G95" s="6" t="n"/>
      <c r="H95" s="6" t="n"/>
    </row>
    <row r="96">
      <c r="A96" s="24" t="n"/>
      <c r="B96" s="6" t="n"/>
      <c r="C96" s="6" t="n"/>
      <c r="D96" s="6" t="n"/>
      <c r="E96" s="6" t="n"/>
      <c r="F96" s="6" t="n"/>
      <c r="G96" s="6" t="n"/>
      <c r="H96" s="6" t="n"/>
    </row>
    <row r="97">
      <c r="A97" s="24" t="n"/>
      <c r="B97" s="6" t="n"/>
      <c r="C97" s="6" t="n"/>
      <c r="D97" s="6" t="n"/>
      <c r="E97" s="6" t="n"/>
      <c r="F97" s="6" t="n"/>
      <c r="G97" s="6" t="n"/>
      <c r="H97" s="6" t="n"/>
    </row>
    <row r="98">
      <c r="A98" s="24" t="n"/>
      <c r="B98" s="6" t="n"/>
      <c r="C98" s="6" t="n"/>
      <c r="D98" s="6" t="n"/>
      <c r="E98" s="6" t="n"/>
      <c r="F98" s="6" t="n"/>
      <c r="G98" s="6" t="n"/>
      <c r="H98" s="6" t="n"/>
    </row>
    <row r="99">
      <c r="A99" s="24" t="n"/>
      <c r="B99" s="6" t="n"/>
      <c r="C99" s="6" t="n"/>
      <c r="D99" s="6" t="n"/>
      <c r="E99" s="6" t="n"/>
      <c r="F99" s="6" t="n"/>
      <c r="G99" s="6" t="n"/>
      <c r="H99" s="6" t="n"/>
    </row>
    <row r="100">
      <c r="A100" s="24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24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24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24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24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24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24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24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24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24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24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24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24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24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24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24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24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24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24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24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24" t="n"/>
      <c r="B120" s="6" t="n"/>
      <c r="C120" s="6" t="n"/>
      <c r="D120" s="6" t="n"/>
      <c r="E120" s="6" t="n"/>
      <c r="F120" s="6" t="n"/>
      <c r="G120" s="6" t="n"/>
      <c r="H120" s="6" t="n"/>
    </row>
    <row r="121">
      <c r="A121" s="24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24" t="n"/>
      <c r="B122" s="6" t="n"/>
      <c r="C122" s="6" t="n"/>
      <c r="D122" s="6" t="n"/>
      <c r="E122" s="6" t="n"/>
      <c r="F122" s="6" t="n"/>
      <c r="G122" s="6" t="n"/>
      <c r="H122" s="6" t="n"/>
    </row>
    <row r="123">
      <c r="A123" s="24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24" t="n"/>
      <c r="B124" s="6" t="n"/>
      <c r="C124" s="6" t="n"/>
      <c r="D124" s="6" t="n"/>
      <c r="E124" s="6" t="n"/>
      <c r="F124" s="6" t="n"/>
      <c r="G124" s="6" t="n"/>
      <c r="H124" s="6" t="n"/>
    </row>
    <row r="125">
      <c r="A125" s="24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24" t="n"/>
      <c r="B126" s="6" t="n"/>
      <c r="C126" s="6" t="n"/>
      <c r="D126" s="6" t="n"/>
      <c r="E126" s="6" t="n"/>
      <c r="F126" s="6" t="n"/>
      <c r="G126" s="6" t="n"/>
      <c r="H126" s="6" t="n"/>
    </row>
    <row r="127">
      <c r="A127" s="24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24" t="n"/>
      <c r="B128" s="6" t="n"/>
      <c r="C128" s="6" t="n"/>
      <c r="D128" s="6" t="n"/>
      <c r="E128" s="6" t="n"/>
      <c r="F128" s="6" t="n"/>
      <c r="G128" s="6" t="n"/>
      <c r="H128" s="6" t="n"/>
    </row>
    <row r="129">
      <c r="A129" s="24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24" t="n"/>
      <c r="B130" s="6" t="n"/>
      <c r="C130" s="6" t="n"/>
      <c r="D130" s="6" t="n"/>
      <c r="E130" s="6" t="n"/>
      <c r="F130" s="6" t="n"/>
      <c r="G130" s="6" t="n"/>
      <c r="H130" s="6" t="n"/>
    </row>
    <row r="131">
      <c r="A131" s="24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24" t="n"/>
      <c r="B132" s="6" t="n"/>
      <c r="C132" s="6" t="n"/>
      <c r="D132" s="6" t="n"/>
      <c r="E132" s="6" t="n"/>
      <c r="F132" s="6" t="n"/>
      <c r="G132" s="6" t="n"/>
      <c r="H132" s="6" t="n"/>
    </row>
    <row r="133">
      <c r="A133" s="24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24" t="n"/>
      <c r="B134" s="6" t="n"/>
      <c r="C134" s="6" t="n"/>
      <c r="D134" s="6" t="n"/>
      <c r="E134" s="6" t="n"/>
      <c r="F134" s="6" t="n"/>
      <c r="G134" s="6" t="n"/>
      <c r="H134" s="6" t="n"/>
    </row>
    <row r="135">
      <c r="A135" s="24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24" t="n"/>
      <c r="B136" s="6" t="n"/>
      <c r="C136" s="6" t="n"/>
      <c r="D136" s="6" t="n"/>
      <c r="E136" s="6" t="n"/>
      <c r="F136" s="6" t="n"/>
      <c r="G136" s="6" t="n"/>
      <c r="H136" s="6" t="n"/>
    </row>
    <row r="137">
      <c r="A137" s="24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24" t="n"/>
      <c r="B138" s="6" t="n"/>
      <c r="C138" s="6" t="n"/>
      <c r="D138" s="6" t="n"/>
      <c r="E138" s="6" t="n"/>
      <c r="F138" s="6" t="n"/>
      <c r="G138" s="6" t="n"/>
      <c r="H138" s="6" t="n"/>
    </row>
    <row r="139">
      <c r="A139" s="24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24" t="n"/>
      <c r="B140" s="6" t="n"/>
      <c r="C140" s="6" t="n"/>
      <c r="D140" s="6" t="n"/>
      <c r="E140" s="6" t="n"/>
      <c r="F140" s="6" t="n"/>
      <c r="G140" s="6" t="n"/>
      <c r="H140" s="6" t="n"/>
    </row>
    <row r="141">
      <c r="A141" s="24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24" t="n"/>
      <c r="B142" s="6" t="n"/>
      <c r="C142" s="6" t="n"/>
      <c r="D142" s="6" t="n"/>
      <c r="E142" s="6" t="n"/>
      <c r="F142" s="6" t="n"/>
      <c r="G142" s="6" t="n"/>
      <c r="H142" s="6" t="n"/>
    </row>
    <row r="143">
      <c r="A143" s="24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24" t="n"/>
      <c r="B144" s="6" t="n"/>
      <c r="C144" s="6" t="n"/>
      <c r="D144" s="6" t="n"/>
      <c r="E144" s="6" t="n"/>
      <c r="F144" s="6" t="n"/>
      <c r="G144" s="6" t="n"/>
      <c r="H144" s="6" t="n"/>
    </row>
  </sheetData>
  <conditionalFormatting sqref="A5:H144">
    <cfRule type="expression" priority="1" dxfId="0" stopIfTrue="0">
      <formula>$G5="Yes"</formula>
    </cfRule>
    <cfRule type="expression" priority="2" dxfId="2" stopIfTrue="0">
      <formula>$G5="Scheduled"</formula>
    </cfRule>
  </conditionalFormatting>
  <dataValidations count="3">
    <dataValidation sqref="B5:B144" showDropDown="0" showInputMessage="0" showErrorMessage="0" allowBlank="1" type="list">
      <formula1>"Treatment spotlight,FAQ or myth,Before and after,Offer or availability,Practice update,Reel or video"</formula1>
    </dataValidation>
    <dataValidation sqref="F5:F144" showDropDown="0" showInputMessage="0" showErrorMessage="0" allowBlank="1" type="list">
      <formula1>"Yes,No"</formula1>
    </dataValidation>
    <dataValidation sqref="G5:G144" showDropDown="0" showInputMessage="0" showErrorMessage="0" allowBlank="1" type="list">
      <formula1>"Yes,No,Scheduled"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2" customHeight="1">
      <c r="A1" s="1" t="inlineStr">
        <is>
          <t>Monthly numbers</t>
        </is>
      </c>
    </row>
    <row r="2">
      <c r="A2" s="2" t="inlineStr">
        <is>
          <t>Fill at the end of each month. Compare against the baseline column, not against last month.</t>
        </is>
      </c>
    </row>
    <row r="4" ht="28" customHeight="1">
      <c r="A4" s="9" t="inlineStr">
        <is>
          <t>What we track</t>
        </is>
      </c>
      <c r="B4" s="9" t="inlineStr">
        <is>
          <t>Baseline (17 Aug)</t>
        </is>
      </c>
      <c r="C4" s="9" t="inlineStr">
        <is>
          <t>Target by 14 Feb</t>
        </is>
      </c>
      <c r="D4" s="9" t="inlineStr">
        <is>
          <t>End Sep</t>
        </is>
      </c>
      <c r="E4" s="9" t="inlineStr">
        <is>
          <t>End Oct</t>
        </is>
      </c>
      <c r="F4" s="9" t="inlineStr">
        <is>
          <t>End Nov</t>
        </is>
      </c>
      <c r="G4" s="9" t="inlineStr">
        <is>
          <t>End Dec</t>
        </is>
      </c>
      <c r="H4" s="9" t="inlineStr">
        <is>
          <t>End Jan</t>
        </is>
      </c>
      <c r="I4" s="9" t="inlineStr">
        <is>
          <t>Mid Feb</t>
        </is>
      </c>
      <c r="J4" s="9" t="inlineStr">
        <is>
          <t>Notes</t>
        </is>
      </c>
    </row>
    <row r="5">
      <c r="A5" s="12" t="inlineStr">
        <is>
          <t>Google reviews</t>
        </is>
      </c>
      <c r="B5" s="4" t="inlineStr">
        <is>
          <t>12</t>
        </is>
      </c>
      <c r="C5" s="4" t="inlineStr">
        <is>
          <t>30 to 34, still at or near 5.0</t>
        </is>
      </c>
    </row>
    <row r="6">
      <c r="A6" s="12" t="inlineStr">
        <is>
          <t>Google review average</t>
        </is>
      </c>
      <c r="B6" s="4" t="inlineStr">
        <is>
          <t>5.0</t>
        </is>
      </c>
      <c r="C6" s="4" t="inlineStr">
        <is>
          <t>At or near 5.0</t>
        </is>
      </c>
    </row>
    <row r="7">
      <c r="A7" s="12" t="inlineStr">
        <is>
          <t>Calls from Google profile</t>
        </is>
      </c>
      <c r="B7" s="4" t="inlineStr"/>
      <c r="C7" s="4" t="inlineStr">
        <is>
          <t>Up on baseline every month</t>
        </is>
      </c>
    </row>
    <row r="8">
      <c r="A8" s="12" t="inlineStr">
        <is>
          <t>Direction requests from Google</t>
        </is>
      </c>
      <c r="B8" s="4" t="inlineStr"/>
      <c r="C8" s="4" t="inlineStr">
        <is>
          <t>Up on baseline every month</t>
        </is>
      </c>
    </row>
    <row r="9">
      <c r="A9" s="12" t="inlineStr">
        <is>
          <t>Google profile views</t>
        </is>
      </c>
      <c r="B9" s="4" t="inlineStr"/>
      <c r="C9" s="4" t="inlineStr">
        <is>
          <t>Up on baseline every month</t>
        </is>
      </c>
    </row>
    <row r="10">
      <c r="A10" s="12" t="inlineStr">
        <is>
          <t>GBP posts published in the month</t>
        </is>
      </c>
      <c r="B10" s="4" t="inlineStr">
        <is>
          <t>0</t>
        </is>
      </c>
      <c r="C10" s="4" t="inlineStr">
        <is>
          <t>20 or more, every month</t>
        </is>
      </c>
    </row>
    <row r="11">
      <c r="A11" s="12" t="inlineStr">
        <is>
          <t>Map pack position: nurse injector oakville</t>
        </is>
      </c>
      <c r="B11" s="4" t="inlineStr"/>
      <c r="C11" s="4" t="inlineStr">
        <is>
          <t>Visible in the pack</t>
        </is>
      </c>
    </row>
    <row r="12">
      <c r="A12" s="12" t="inlineStr">
        <is>
          <t>Map pack position: botox oakville</t>
        </is>
      </c>
      <c r="B12" s="4" t="inlineStr"/>
      <c r="C12" s="4" t="inlineStr">
        <is>
          <t>Visible in the pack</t>
        </is>
      </c>
    </row>
    <row r="13">
      <c r="A13" s="12" t="inlineStr">
        <is>
          <t>Map pack position: lip filler oakville</t>
        </is>
      </c>
      <c r="B13" s="4" t="inlineStr"/>
      <c r="C13" s="4" t="inlineStr">
        <is>
          <t>Visible in the pack</t>
        </is>
      </c>
    </row>
    <row r="14">
      <c r="A14" s="12" t="inlineStr">
        <is>
          <t>Instagram profile visits</t>
        </is>
      </c>
      <c r="B14" s="4" t="inlineStr"/>
      <c r="C14" s="4" t="inlineStr">
        <is>
          <t>Up on baseline</t>
        </is>
      </c>
    </row>
    <row r="15">
      <c r="A15" s="12" t="inlineStr">
        <is>
          <t>Instagram link taps</t>
        </is>
      </c>
      <c r="B15" s="4" t="inlineStr"/>
      <c r="C15" s="4" t="inlineStr">
        <is>
          <t>Rising faster than profile visits</t>
        </is>
      </c>
    </row>
    <row r="16">
      <c r="A16" s="12" t="inlineStr">
        <is>
          <t>Reels published in the month</t>
        </is>
      </c>
      <c r="B16" s="4" t="inlineStr">
        <is>
          <t>0</t>
        </is>
      </c>
      <c r="C16" s="4" t="inlineStr">
        <is>
          <t>Four, one a week</t>
        </is>
      </c>
    </row>
    <row r="17">
      <c r="A17" s="12" t="inlineStr">
        <is>
          <t>DMs received</t>
        </is>
      </c>
      <c r="B17" s="4" t="inlineStr">
        <is>
          <t>Not tracked</t>
        </is>
      </c>
      <c r="C17" s="4" t="inlineStr">
        <is>
          <t>Tracked weekly from week 1</t>
        </is>
      </c>
    </row>
    <row r="18">
      <c r="A18" s="12" t="inlineStr">
        <is>
          <t>Consultations booked</t>
        </is>
      </c>
      <c r="B18" s="4" t="inlineStr">
        <is>
          <t>Not tracked</t>
        </is>
      </c>
      <c r="C18" s="4" t="inlineStr">
        <is>
          <t>Tracked weekly, attributed to source</t>
        </is>
      </c>
    </row>
    <row r="19">
      <c r="A19" s="12" t="inlineStr">
        <is>
          <t>Ad spend</t>
        </is>
      </c>
      <c r="B19" s="4" t="inlineStr">
        <is>
          <t>Not supplied</t>
        </is>
      </c>
      <c r="C19" s="4" t="inlineStr">
        <is>
          <t>Confirmed and split 70/20/10</t>
        </is>
      </c>
    </row>
    <row r="20">
      <c r="A20" s="12" t="inlineStr">
        <is>
          <t>Cost per DM from ads</t>
        </is>
      </c>
      <c r="B20" s="4" t="inlineStr"/>
      <c r="C20" s="4" t="inlineStr">
        <is>
          <t>Falling month on month</t>
        </is>
      </c>
    </row>
    <row r="21">
      <c r="A21" s="12" t="inlineStr">
        <is>
          <t>Website sessions</t>
        </is>
      </c>
      <c r="B21" s="4" t="inlineStr">
        <is>
          <t>No site</t>
        </is>
      </c>
      <c r="C21" s="4" t="inlineStr">
        <is>
          <t>From launch in October, rising month on month</t>
        </is>
      </c>
    </row>
    <row r="22">
      <c r="A22" s="12" t="inlineStr">
        <is>
          <t>Search Console impressions</t>
        </is>
      </c>
      <c r="B22" s="4" t="inlineStr">
        <is>
          <t>No site</t>
        </is>
      </c>
      <c r="C22" s="4" t="inlineStr">
        <is>
          <t>Rising month on month from October</t>
        </is>
      </c>
    </row>
    <row r="23">
      <c r="A23" s="12" t="inlineStr">
        <is>
          <t>Pages indexed</t>
        </is>
      </c>
      <c r="B23" s="4" t="inlineStr">
        <is>
          <t>No site</t>
        </is>
      </c>
      <c r="C23" s="4" t="inlineStr">
        <is>
          <t>Every page, confirmed in Search Console</t>
        </is>
      </c>
    </row>
    <row r="24">
      <c r="A24" s="12" t="inlineStr">
        <is>
          <t>Daily slot completion rate</t>
        </is>
      </c>
      <c r="B24" s="4" t="inlineStr"/>
      <c r="C24" s="4" t="inlineStr">
        <is>
          <t>85 per cent or better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46" customWidth="1" min="4" max="4"/>
    <col width="14" customWidth="1" min="5" max="5"/>
    <col width="13" customWidth="1" min="6" max="6"/>
    <col width="28" customWidth="1" min="7" max="7"/>
  </cols>
  <sheetData>
    <row r="1" ht="22" customHeight="1">
      <c r="A1" s="1" t="inlineStr">
        <is>
          <t>Waiting on Cleo</t>
        </is>
      </c>
    </row>
    <row r="2">
      <c r="A2" s="2" t="inlineStr">
        <is>
          <t>Access, assets and answers. Most delay in work like this comes from waiting on these. The top four are what the build waits on.</t>
        </is>
      </c>
    </row>
    <row r="4" ht="28" customHeight="1">
      <c r="A4" s="9" t="inlineStr">
        <is>
          <t>Type</t>
        </is>
      </c>
      <c r="B4" s="9" t="inlineStr">
        <is>
          <t>What we need</t>
        </is>
      </c>
      <c r="C4" s="9" t="inlineStr">
        <is>
          <t>Needed by</t>
        </is>
      </c>
      <c r="D4" s="9" t="inlineStr">
        <is>
          <t>Why it blocks us</t>
        </is>
      </c>
      <c r="E4" s="9" t="inlineStr">
        <is>
          <t>Status</t>
        </is>
      </c>
      <c r="F4" s="9" t="inlineStr">
        <is>
          <t>Date received</t>
        </is>
      </c>
      <c r="G4" s="9" t="inlineStr">
        <is>
          <t>Notes</t>
        </is>
      </c>
    </row>
    <row r="5">
      <c r="A5" s="12" t="inlineStr">
        <is>
          <t>Access</t>
        </is>
      </c>
      <c r="B5" s="4" t="inlineStr">
        <is>
          <t>Google Business Profile, and which email holds it</t>
        </is>
      </c>
      <c r="C5" s="23" t="n">
        <v>46255</v>
      </c>
      <c r="D5" s="4" t="inlineStr">
        <is>
          <t>Nothing on the profile can start until this is settled</t>
        </is>
      </c>
      <c r="E5" s="4" t="inlineStr">
        <is>
          <t>Not started</t>
        </is>
      </c>
      <c r="F5" s="23" t="n"/>
      <c r="G5" s="4" t="n"/>
    </row>
    <row r="6">
      <c r="A6" s="12" t="inlineStr">
        <is>
          <t>Answer</t>
        </is>
      </c>
      <c r="B6" s="4" t="inlineStr">
        <is>
          <t>Real opening hours for every day</t>
        </is>
      </c>
      <c r="C6" s="23" t="n">
        <v>46255</v>
      </c>
      <c r="D6" s="4" t="inlineStr">
        <is>
          <t>The hours on Google are wrong until we have these</t>
        </is>
      </c>
      <c r="E6" s="4" t="inlineStr">
        <is>
          <t>Not started</t>
        </is>
      </c>
      <c r="F6" s="23" t="n"/>
      <c r="G6" s="4" t="n"/>
    </row>
    <row r="7">
      <c r="A7" s="12" t="inlineStr">
        <is>
          <t>Asset</t>
        </is>
      </c>
      <c r="B7" s="4" t="inlineStr">
        <is>
          <t>Treatment list with current pricing</t>
        </is>
      </c>
      <c r="C7" s="23" t="n">
        <v>46260</v>
      </c>
      <c r="D7" s="4" t="inlineStr">
        <is>
          <t>Sitemap, service pages and the GBP services list all key off it</t>
        </is>
      </c>
      <c r="E7" s="4" t="inlineStr">
        <is>
          <t>Not started</t>
        </is>
      </c>
      <c r="F7" s="23" t="n"/>
      <c r="G7" s="4" t="n"/>
    </row>
    <row r="8">
      <c r="A8" s="12" t="inlineStr">
        <is>
          <t>Access</t>
        </is>
      </c>
      <c r="B8" s="4" t="inlineStr">
        <is>
          <t>Domain registrar login for luxurybeautybycleo.ca</t>
        </is>
      </c>
      <c r="C8" s="23" t="n">
        <v>46262</v>
      </c>
      <c r="D8" s="4" t="inlineStr">
        <is>
          <t>DNS has to be pointed before the build can start on 1 September</t>
        </is>
      </c>
      <c r="E8" s="4" t="inlineStr">
        <is>
          <t>Not started</t>
        </is>
      </c>
      <c r="F8" s="23" t="n"/>
      <c r="G8" s="4" t="n"/>
    </row>
    <row r="9">
      <c r="A9" s="12" t="inlineStr">
        <is>
          <t>Answer</t>
        </is>
      </c>
      <c r="B9" s="4" t="inlineStr">
        <is>
          <t>DESIGN SIGN-OFF on the wireframes and the look</t>
        </is>
      </c>
      <c r="C9" s="23" t="n">
        <v>46265</v>
      </c>
      <c r="D9" s="4" t="inlineStr">
        <is>
          <t>The build gate. Everything after it slips one-for-one</t>
        </is>
      </c>
      <c r="E9" s="4" t="inlineStr">
        <is>
          <t>Not started</t>
        </is>
      </c>
      <c r="F9" s="23" t="n"/>
      <c r="G9" s="4" t="n"/>
    </row>
    <row r="10">
      <c r="A10" s="12" t="inlineStr">
        <is>
          <t>Asset</t>
        </is>
      </c>
      <c r="B10" s="4" t="inlineStr">
        <is>
          <t>Photos of the treatment room and the space</t>
        </is>
      </c>
      <c r="C10" s="23" t="n">
        <v>46262</v>
      </c>
      <c r="D10" s="4" t="inlineStr">
        <is>
          <t>GBP photos and every website page</t>
        </is>
      </c>
      <c r="E10" s="4" t="inlineStr">
        <is>
          <t>Not started</t>
        </is>
      </c>
      <c r="F10" s="23" t="n"/>
      <c r="G10" s="4" t="n"/>
    </row>
    <row r="11">
      <c r="A11" s="12" t="inlineStr">
        <is>
          <t>Asset</t>
        </is>
      </c>
      <c r="B11" s="4" t="inlineStr">
        <is>
          <t>A current headshot</t>
        </is>
      </c>
      <c r="C11" s="23" t="n">
        <v>46262</v>
      </c>
      <c r="D11" s="4" t="inlineStr">
        <is>
          <t>GBP, Instagram and the site</t>
        </is>
      </c>
      <c r="E11" s="4" t="inlineStr">
        <is>
          <t>Not started</t>
        </is>
      </c>
      <c r="F11" s="23" t="n"/>
      <c r="G11" s="4" t="n"/>
    </row>
    <row r="12">
      <c r="A12" s="12" t="inlineStr">
        <is>
          <t>Asset</t>
        </is>
      </c>
      <c r="B12" s="4" t="inlineStr">
        <is>
          <t>Logo files and any brand assets you already have</t>
        </is>
      </c>
      <c r="C12" s="23" t="n">
        <v>46262</v>
      </c>
      <c r="D12" s="4" t="inlineStr">
        <is>
          <t>The design cannot be finalised without them</t>
        </is>
      </c>
      <c r="E12" s="4" t="inlineStr">
        <is>
          <t>Not started</t>
        </is>
      </c>
      <c r="F12" s="23" t="n"/>
      <c r="G12" s="4" t="n"/>
    </row>
    <row r="13">
      <c r="A13" s="12" t="inlineStr">
        <is>
          <t>Asset</t>
        </is>
      </c>
      <c r="B13" s="4" t="inlineStr">
        <is>
          <t>Signed before-and-after consent form</t>
        </is>
      </c>
      <c r="C13" s="23" t="n">
        <v>46271</v>
      </c>
      <c r="D13" s="4" t="inlineStr">
        <is>
          <t>Determines what we are allowed to publish anywhere</t>
        </is>
      </c>
      <c r="E13" s="4" t="inlineStr">
        <is>
          <t>Not started</t>
        </is>
      </c>
      <c r="F13" s="23" t="n"/>
      <c r="G13" s="4" t="n"/>
    </row>
    <row r="14">
      <c r="A14" s="12" t="inlineStr">
        <is>
          <t>Access</t>
        </is>
      </c>
      <c r="B14" s="4" t="inlineStr">
        <is>
          <t>Meta Business account and ad account</t>
        </is>
      </c>
      <c r="C14" s="23" t="n">
        <v>46285</v>
      </c>
      <c r="D14" s="4" t="inlineStr">
        <is>
          <t>Needed to build audiences and run ads</t>
        </is>
      </c>
      <c r="E14" s="4" t="inlineStr">
        <is>
          <t>Not started</t>
        </is>
      </c>
      <c r="F14" s="23" t="n"/>
      <c r="G14" s="4" t="n"/>
    </row>
    <row r="15">
      <c r="A15" s="12" t="inlineStr">
        <is>
          <t>Access</t>
        </is>
      </c>
      <c r="B15" s="4" t="inlineStr">
        <is>
          <t>Instagram collaborator invitation</t>
        </is>
      </c>
      <c r="C15" s="23" t="n">
        <v>46262</v>
      </c>
      <c r="D15" s="4" t="inlineStr">
        <is>
          <t>Needed to fix the name field, bio and link</t>
        </is>
      </c>
      <c r="E15" s="4" t="inlineStr">
        <is>
          <t>Not started</t>
        </is>
      </c>
      <c r="F15" s="23" t="n"/>
      <c r="G15" s="4" t="n"/>
    </row>
    <row r="16">
      <c r="A16" s="12" t="inlineStr">
        <is>
          <t>Access</t>
        </is>
      </c>
      <c r="B16" s="4" t="inlineStr">
        <is>
          <t>Booking system login</t>
        </is>
      </c>
      <c r="C16" s="23" t="n">
        <v>46271</v>
      </c>
      <c r="D16" s="4" t="inlineStr">
        <is>
          <t>Needed for the booking link and the lookalike audience</t>
        </is>
      </c>
      <c r="E16" s="4" t="inlineStr">
        <is>
          <t>Not started</t>
        </is>
      </c>
      <c r="F16" s="23" t="n"/>
      <c r="G16" s="4" t="n"/>
    </row>
    <row r="17">
      <c r="A17" s="12" t="inlineStr">
        <is>
          <t>Answer</t>
        </is>
      </c>
      <c r="B17" s="4" t="inlineStr">
        <is>
          <t>Whether Allure allows your own signage and suite designation</t>
        </is>
      </c>
      <c r="C17" s="23" t="n">
        <v>46257</v>
      </c>
      <c r="D17" s="4" t="inlineStr">
        <is>
          <t>Decides how we build the Google listing</t>
        </is>
      </c>
      <c r="E17" s="4" t="inlineStr">
        <is>
          <t>Not started</t>
        </is>
      </c>
      <c r="F17" s="23" t="n"/>
      <c r="G17" s="4" t="n"/>
    </row>
    <row r="18">
      <c r="A18" s="12" t="inlineStr">
        <is>
          <t>Answer</t>
        </is>
      </c>
      <c r="B18" s="4" t="inlineStr">
        <is>
          <t>The three competitors you want to be measured against</t>
        </is>
      </c>
      <c r="C18" s="23" t="n">
        <v>46257</v>
      </c>
      <c r="D18" s="4" t="inlineStr">
        <is>
          <t>Shapes what we track and benchmark</t>
        </is>
      </c>
      <c r="E18" s="4" t="inlineStr">
        <is>
          <t>Not started</t>
        </is>
      </c>
      <c r="F18" s="23" t="n"/>
      <c r="G18" s="4" t="n"/>
    </row>
    <row r="19">
      <c r="A19" s="12" t="inlineStr">
        <is>
          <t>Answer</t>
        </is>
      </c>
      <c r="B19" s="4" t="inlineStr">
        <is>
          <t>Your ideal patient, in your own words</t>
        </is>
      </c>
      <c r="C19" s="23" t="n">
        <v>46278</v>
      </c>
      <c r="D19" s="4" t="inlineStr">
        <is>
          <t>Ad audiences and page copy</t>
        </is>
      </c>
      <c r="E19" s="4" t="inlineStr">
        <is>
          <t>Not started</t>
        </is>
      </c>
      <c r="F19" s="23" t="n"/>
      <c r="G19" s="4" t="n"/>
    </row>
    <row r="20">
      <c r="A20" s="12" t="inlineStr">
        <is>
          <t>Answer</t>
        </is>
      </c>
      <c r="B20" s="4" t="inlineStr">
        <is>
          <t>Current monthly spend on Instagram and Google ads</t>
        </is>
      </c>
      <c r="C20" s="23" t="n">
        <v>46278</v>
      </c>
      <c r="D20" s="4" t="inlineStr">
        <is>
          <t>Cannot recommend a budget without it</t>
        </is>
      </c>
      <c r="E20" s="4" t="inlineStr">
        <is>
          <t>Not started</t>
        </is>
      </c>
      <c r="F20" s="23" t="n"/>
      <c r="G20" s="4" t="n"/>
    </row>
    <row r="21">
      <c r="A21" s="12" t="inlineStr">
        <is>
          <t>Answer</t>
        </is>
      </c>
      <c r="B21" s="4" t="inlineStr">
        <is>
          <t>Approval of the home page copy</t>
        </is>
      </c>
      <c r="C21" s="23" t="n">
        <v>46278</v>
      </c>
      <c r="D21" s="4" t="inlineStr">
        <is>
          <t>Home and contact cannot go into staging without it</t>
        </is>
      </c>
      <c r="E21" s="4" t="inlineStr">
        <is>
          <t>Not started</t>
        </is>
      </c>
      <c r="F21" s="23" t="n"/>
      <c r="G21" s="4" t="n"/>
    </row>
    <row r="22">
      <c r="A22" s="12" t="inlineStr">
        <is>
          <t>Answer</t>
        </is>
      </c>
      <c r="B22" s="4" t="inlineStr">
        <is>
          <t>Approval of the treatment page copy</t>
        </is>
      </c>
      <c r="C22" s="23" t="n">
        <v>46292</v>
      </c>
      <c r="D22" s="4" t="inlineStr">
        <is>
          <t>Every claim has to be one you can stand behind</t>
        </is>
      </c>
      <c r="E22" s="4" t="inlineStr">
        <is>
          <t>Not started</t>
        </is>
      </c>
      <c r="F22" s="23" t="n"/>
      <c r="G22" s="4" t="n"/>
    </row>
    <row r="23">
      <c r="A23" s="12" t="inlineStr">
        <is>
          <t>Answer</t>
        </is>
      </c>
      <c r="B23" s="4" t="inlineStr">
        <is>
          <t>The questions you get asked most in consults</t>
        </is>
      </c>
      <c r="C23" s="23" t="n">
        <v>46313</v>
      </c>
      <c r="D23" s="4" t="inlineStr">
        <is>
          <t>The articles are written from them, not invented</t>
        </is>
      </c>
      <c r="E23" s="4" t="inlineStr">
        <is>
          <t>Not started</t>
        </is>
      </c>
      <c r="F23" s="23" t="n"/>
      <c r="G23" s="4" t="n"/>
    </row>
    <row r="24">
      <c r="A24" s="12" t="inlineStr">
        <is>
          <t>Answer</t>
        </is>
      </c>
      <c r="B24" s="4" t="inlineStr">
        <is>
          <t>Commitment to the daily routine</t>
        </is>
      </c>
      <c r="C24" s="23" t="n">
        <v>46255</v>
      </c>
      <c r="D24" s="4" t="inlineStr">
        <is>
          <t>Five slots a day. Without them the rest of the plan does not compound</t>
        </is>
      </c>
      <c r="E24" s="4" t="inlineStr">
        <is>
          <t>Not started</t>
        </is>
      </c>
      <c r="F24" s="23" t="n"/>
      <c r="G24" s="4" t="n"/>
    </row>
  </sheetData>
  <conditionalFormatting sqref="A5:G24">
    <cfRule type="expression" priority="1" dxfId="0" stopIfTrue="0">
      <formula>$E5="Received"</formula>
    </cfRule>
    <cfRule type="expression" priority="2" dxfId="2" stopIfTrue="0">
      <formula>$E5="Chased"</formula>
    </cfRule>
    <cfRule type="expression" priority="3" dxfId="3" stopIfTrue="0">
      <formula>AND($C5&lt;TODAY(),$E5&lt;&gt;"Received",$E5&lt;&gt;"Not applicable")</formula>
    </cfRule>
  </conditionalFormatting>
  <dataValidations count="1">
    <dataValidation sqref="E5:E24" showDropDown="0" showInputMessage="0" showErrorMessage="0" allowBlank="1" type="list">
      <formula1>"Not started,Asked,Chased,Received,Not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2026-08-19T09:09:04Z</dcterms:created>
  <dcterms:modified xsi:type="dcterms:W3CDTF">2026-08-19T09:09:05Z</dcterms:modified>
</cp:coreProperties>
</file>