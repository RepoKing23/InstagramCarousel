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GBP Daily" sheetId="3" state="visible" r:id="rId3"/>
    <sheet name="Monthly Themes" sheetId="4" state="visible" r:id="rId4"/>
    <sheet name="Content Pillars" sheetId="5" state="visible" r:id="rId5"/>
    <sheet name="Hashtag Sets" sheetId="6" state="visible" r:id="rId6"/>
    <sheet name="Photo Library" sheetId="7" state="visible" r:id="rId7"/>
    <sheet name="Ideas Backlog" sheetId="8" state="visible" r:id="rId8"/>
  </sheets>
  <definedNames>
    <definedName name="_xlnm._FilterDatabase" localSheetId="1" hidden="1">'Posting Schedule'!$A$1:$AB$66</definedName>
    <definedName name="_xlnm._FilterDatabase" localSheetId="3" hidden="1">'Monthly Themes'!$A$1:$E$5</definedName>
    <definedName name="_xlnm._FilterDatabase" localSheetId="4" hidden="1">'Content Pillars'!$A$1:$E$5</definedName>
    <definedName name="_xlnm._FilterDatabase" localSheetId="5" hidden="1">'Hashtag Sets'!$A$1:$C$6</definedName>
    <definedName name="_xlnm._FilterDatabase" localSheetId="6" hidden="1">'Photo Library'!$A$1:$G$21</definedName>
    <definedName name="_xlnm._FilterDatabase" localSheetId="7" hidden="1">'Ideas Backlog'!$A$1:$E$15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yyyy-mm-dd"/>
    <numFmt numFmtId="166" formatCode="yyyy-mm-dd h:mm:ss"/>
  </numFmts>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
      <b val="1"/>
      <color rgb="00FFFFFF"/>
    </font>
    <font>
      <name val="Calibri"/>
      <family val="2"/>
      <color theme="10"/>
      <sz val="12"/>
      <scheme val="minor"/>
    </font>
    <font>
      <name val="Calibri"/>
      <sz val="11"/>
    </font>
    <font>
      <b val="1"/>
    </font>
    <font>
      <name val="Calibri"/>
      <b val="1"/>
      <color rgb="00FFFFFF"/>
      <sz val="11"/>
    </font>
    <font>
      <name val="Calibri"/>
      <b val="1"/>
    </font>
  </fonts>
  <fills count="8">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
      <patternFill patternType="solid">
        <fgColor rgb="002E2A23"/>
      </patternFill>
    </fill>
    <fill>
      <patternFill patternType="solid">
        <fgColor rgb="00F3EEE5"/>
      </patternFill>
    </fill>
    <fill>
      <patternFill patternType="solid">
        <fgColor rgb="00FFF6DF"/>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8"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xf numFmtId="0" fontId="17" fillId="5" borderId="0" applyAlignment="1" pivotButton="0" quotePrefix="0" xfId="0">
      <alignment vertical="center"/>
    </xf>
    <xf numFmtId="165" fontId="19" fillId="6" borderId="0" pivotButton="0" quotePrefix="0" xfId="0"/>
    <xf numFmtId="0" fontId="19" fillId="6" borderId="0" pivotButton="0" quotePrefix="0" xfId="0"/>
    <xf numFmtId="0" fontId="19" fillId="6" borderId="0" applyAlignment="1" pivotButton="0" quotePrefix="0" xfId="0">
      <alignment vertical="top" wrapText="1"/>
    </xf>
    <xf numFmtId="0" fontId="19" fillId="6" borderId="0" pivotButton="0" quotePrefix="0" xfId="6"/>
    <xf numFmtId="165" fontId="19" fillId="0" borderId="0" pivotButton="0" quotePrefix="0" xfId="0"/>
    <xf numFmtId="0" fontId="19" fillId="0" borderId="0" pivotButton="0" quotePrefix="0" xfId="0"/>
    <xf numFmtId="0" fontId="19" fillId="0" borderId="0" applyAlignment="1" pivotButton="0" quotePrefix="0" xfId="0">
      <alignment vertical="top" wrapText="1"/>
    </xf>
    <xf numFmtId="0" fontId="19" fillId="0" borderId="0" pivotButton="0" quotePrefix="0" xfId="6"/>
    <xf numFmtId="0" fontId="20" fillId="0" borderId="0" pivotButton="0" quotePrefix="0" xfId="0"/>
    <xf numFmtId="0" fontId="0" fillId="0" borderId="0" applyAlignment="1" pivotButton="0" quotePrefix="0" xfId="0">
      <alignment vertical="top" wrapText="1"/>
    </xf>
    <xf numFmtId="165" fontId="19" fillId="6" borderId="0" pivotButton="0" quotePrefix="0" xfId="0"/>
    <xf numFmtId="165" fontId="19" fillId="0" borderId="0" pivotButton="0" quotePrefix="0" xfId="0"/>
    <xf numFmtId="0" fontId="21" fillId="5" borderId="0" applyAlignment="1" pivotButton="0" quotePrefix="0" xfId="0">
      <alignment vertical="center" wrapText="1"/>
    </xf>
    <xf numFmtId="0" fontId="21" fillId="5" borderId="1" applyAlignment="1" pivotButton="0" quotePrefix="0" xfId="0">
      <alignment vertical="center" wrapText="1"/>
    </xf>
    <xf numFmtId="0" fontId="7" fillId="7" borderId="1" applyAlignment="1" pivotButton="0" quotePrefix="0" xfId="0">
      <alignment horizontal="general" vertical="top" wrapText="1"/>
    </xf>
    <xf numFmtId="0" fontId="19" fillId="7" borderId="0" applyAlignment="1" pivotButton="0" quotePrefix="0" xfId="0">
      <alignment vertical="top" wrapText="1"/>
    </xf>
    <xf numFmtId="0" fontId="22" fillId="0" borderId="0" pivotButton="0" quotePrefix="0" xfId="0"/>
    <xf numFmtId="0" fontId="19" fillId="0" borderId="0" applyAlignment="1" pivotButton="0" quotePrefix="0" xfId="0">
      <alignment vertical="center"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Hyperlink" xfId="6" builtinId="8" hidden="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3.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github.com/RepoKing23/InstagramCarousel/tree/claude/med-spa-carousel-ideas-sim9wz/content/gbp" TargetMode="External" Id="rId2" /><Relationship Type="http://schemas.openxmlformats.org/officeDocument/2006/relationships/hyperlink" Target="https://raw.githubusercontent.com/RepoKing23/InstagramCarousel/claude/med-spa-carousel-ideas-sim9wz/content/gbp/2026-08-19-one-client-at-a-time.jpg" TargetMode="External" Id="rId3" /><Relationship Type="http://schemas.openxmlformats.org/officeDocument/2006/relationships/hyperlink" Target="https://unsplash.com/photos/SlpmIhUd860" TargetMode="External" Id="rId4" /><Relationship Type="http://schemas.openxmlformats.org/officeDocument/2006/relationships/hyperlink" Target="https://www.instagram.com/luxury_beauty_aestheticz/" TargetMode="External" Id="rId5" /><Relationship Type="http://schemas.openxmlformats.org/officeDocument/2006/relationships/hyperlink" Target="https://github.com/RepoKing23/InstagramCarousel/tree/claude/med-spa-carousel-ideas-sim9wz/content/gbp" TargetMode="External" Id="rId6" /><Relationship Type="http://schemas.openxmlformats.org/officeDocument/2006/relationships/hyperlink" Target="https://raw.githubusercontent.com/RepoKing23/InstagramCarousel/claude/med-spa-carousel-ideas-sim9wz/content/gbp/2026-08-20-5-red-flags.jpg" TargetMode="External" Id="rId7" /><Relationship Type="http://schemas.openxmlformats.org/officeDocument/2006/relationships/hyperlink" Target="https://unsplash.com/photos/HtXyytr9304" TargetMode="External" Id="rId8" /><Relationship Type="http://schemas.openxmlformats.org/officeDocument/2006/relationships/hyperlink" Target="https://www.instagram.com/luxury_beauty_aestheticz/" TargetMode="External" Id="rId9" /><Relationship Type="http://schemas.openxmlformats.org/officeDocument/2006/relationships/hyperlink" Target="https://github.com/RepoKing23/InstagramCarousel/tree/claude/med-spa-carousel-ideas-sim9wz/content/gbp" TargetMode="External" Id="rId10" /><Relationship Type="http://schemas.openxmlformats.org/officeDocument/2006/relationships/hyperlink" Target="https://raw.githubusercontent.com/RepoKing23/InstagramCarousel/claude/med-spa-carousel-ideas-sim9wz/content/gbp/2026-08-21-before-the-needle.jpg" TargetMode="External" Id="rId11" /><Relationship Type="http://schemas.openxmlformats.org/officeDocument/2006/relationships/hyperlink" Target="https://unsplash.com/photos/q2csrSPGM_k"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github.com/RepoKing23/InstagramCarousel/tree/claude/med-spa-carousel-ideas-sim9wz/content/gbp" TargetMode="External" Id="rId14" /><Relationship Type="http://schemas.openxmlformats.org/officeDocument/2006/relationships/hyperlink" Target="https://raw.githubusercontent.com/RepoKing23/InstagramCarousel/claude/med-spa-carousel-ideas-sim9wz/content/gbp/2026-08-22-great-work-is-invisible.jpg" TargetMode="External" Id="rId15" /><Relationship Type="http://schemas.openxmlformats.org/officeDocument/2006/relationships/hyperlink" Target="https://unsplash.com/photos/-FT1IVUnUd8" TargetMode="External" Id="rId16" /><Relationship Type="http://schemas.openxmlformats.org/officeDocument/2006/relationships/hyperlink" Target="https://www.instagram.com/luxury_beauty_aestheticz/" TargetMode="External" Id="rId17" /><Relationship Type="http://schemas.openxmlformats.org/officeDocument/2006/relationships/hyperlink" Target="https://github.com/RepoKing23/InstagramCarousel/tree/claude/med-spa-carousel-ideas-sim9wz/content/gbp" TargetMode="External" Id="rId18" /><Relationship Type="http://schemas.openxmlformats.org/officeDocument/2006/relationships/hyperlink" Target="https://raw.githubusercontent.com/RepoKing23/InstagramCarousel/claude/med-spa-carousel-ideas-sim9wz/content/gbp/2026-08-23-how-long-does-it-take.jpg" TargetMode="External" Id="rId19" /><Relationship Type="http://schemas.openxmlformats.org/officeDocument/2006/relationships/hyperlink" Target="https://unsplash.com/photos/16mHHrY3PUk" TargetMode="External" Id="rId20" /><Relationship Type="http://schemas.openxmlformats.org/officeDocument/2006/relationships/hyperlink" Target="https://www.instagram.com/luxury_beauty_aestheticz/" TargetMode="External" Id="rId21" /><Relationship Type="http://schemas.openxmlformats.org/officeDocument/2006/relationships/hyperlink" Target="https://github.com/RepoKing23/InstagramCarousel/tree/claude/med-spa-carousel-ideas-sim9wz/content/gbp" TargetMode="External" Id="rId22" /><Relationship Type="http://schemas.openxmlformats.org/officeDocument/2006/relationships/hyperlink" Target="https://raw.githubusercontent.com/RepoKing23/InstagramCarousel/claude/med-spa-carousel-ideas-sim9wz/content/gbp/2026-08-24-what-actually-happens.jpg" TargetMode="External" Id="rId23" /><Relationship Type="http://schemas.openxmlformats.org/officeDocument/2006/relationships/hyperlink" Target="https://unsplash.com/photos/PqyzuzFiQfY"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github.com/RepoKing23/InstagramCarousel/tree/claude/med-spa-carousel-ideas-sim9wz/content/gbp" TargetMode="External" Id="rId26" /><Relationship Type="http://schemas.openxmlformats.org/officeDocument/2006/relationships/hyperlink" Target="https://raw.githubusercontent.com/RepoKing23/InstagramCarousel/claude/med-spa-carousel-ideas-sim9wz/content/gbp/2026-08-25-why-no-prices.jpg" TargetMode="External" Id="rId27" /><Relationship Type="http://schemas.openxmlformats.org/officeDocument/2006/relationships/hyperlink" Target="https://unsplash.com/photos/w6zVwAYoqWM" TargetMode="External" Id="rId28" /><Relationship Type="http://schemas.openxmlformats.org/officeDocument/2006/relationships/hyperlink" Target="https://www.instagram.com/luxury_beauty_aestheticz/" TargetMode="External" Id="rId29" /><Relationship Type="http://schemas.openxmlformats.org/officeDocument/2006/relationships/hyperlink" Target="https://github.com/RepoKing23/InstagramCarousel/tree/claude/med-spa-carousel-ideas-sim9wz/content/gbp" TargetMode="External" Id="rId30" /><Relationship Type="http://schemas.openxmlformats.org/officeDocument/2006/relationships/hyperlink" Target="https://raw.githubusercontent.com/RepoKing23/InstagramCarousel/claude/med-spa-carousel-ideas-sim9wz/content/gbp/2026-08-26-who-injects-you.jpg" TargetMode="External" Id="rId31" /><Relationship Type="http://schemas.openxmlformats.org/officeDocument/2006/relationships/hyperlink" Target="https://unsplash.com/photos/6Cz6R3El3p0" TargetMode="External" Id="rId32" /><Relationship Type="http://schemas.openxmlformats.org/officeDocument/2006/relationships/hyperlink" Target="https://www.instagram.com/luxury_beauty_aestheticz/" TargetMode="External" Id="rId33" /><Relationship Type="http://schemas.openxmlformats.org/officeDocument/2006/relationships/hyperlink" Target="https://github.com/RepoKing23/InstagramCarousel/tree/claude/med-spa-carousel-ideas-sim9wz/content/gbp" TargetMode="External" Id="rId34" /><Relationship Type="http://schemas.openxmlformats.org/officeDocument/2006/relationships/hyperlink" Target="https://raw.githubusercontent.com/RepoKing23/InstagramCarousel/claude/med-spa-carousel-ideas-sim9wz/content/gbp/2026-08-27-meet-np-cleo.jpg" TargetMode="External" Id="rId35" /><Relationship Type="http://schemas.openxmlformats.org/officeDocument/2006/relationships/hyperlink" Target="https://unsplash.com/photos/TQSPgNqeCo8"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github.com/RepoKing23/InstagramCarousel/tree/claude/med-spa-carousel-ideas-sim9wz/content/gbp" TargetMode="External" Id="rId38" /><Relationship Type="http://schemas.openxmlformats.org/officeDocument/2006/relationships/hyperlink" Target="https://raw.githubusercontent.com/RepoKing23/InstagramCarousel/claude/med-spa-carousel-ideas-sim9wz/content/gbp/2026-08-28-where-calm-meets-careful.jpg" TargetMode="External" Id="rId39" /><Relationship Type="http://schemas.openxmlformats.org/officeDocument/2006/relationships/hyperlink" Target="https://unsplash.com/photos/MGKzomg0Dts" TargetMode="External" Id="rId40" /><Relationship Type="http://schemas.openxmlformats.org/officeDocument/2006/relationships/hyperlink" Target="https://www.instagram.com/luxury_beauty_aestheticz/" TargetMode="External" Id="rId41" /><Relationship Type="http://schemas.openxmlformats.org/officeDocument/2006/relationships/hyperlink" Target="https://github.com/RepoKing23/InstagramCarousel/tree/claude/med-spa-carousel-ideas-sim9wz/content/gbp" TargetMode="External" Id="rId42" /><Relationship Type="http://schemas.openxmlformats.org/officeDocument/2006/relationships/hyperlink" Target="https://raw.githubusercontent.com/RepoKing23/InstagramCarousel/claude/med-spa-carousel-ideas-sim9wz/content/gbp/2026-08-29-rested-or-frozen.jpg" TargetMode="External" Id="rId43" /><Relationship Type="http://schemas.openxmlformats.org/officeDocument/2006/relationships/hyperlink" Target="https://unsplash.com/photos/n5RNynnttF8" TargetMode="External" Id="rId44" /><Relationship Type="http://schemas.openxmlformats.org/officeDocument/2006/relationships/hyperlink" Target="https://www.instagram.com/luxury_beauty_aestheticz/" TargetMode="External" Id="rId45" /><Relationship Type="http://schemas.openxmlformats.org/officeDocument/2006/relationships/hyperlink" Target="https://github.com/RepoKing23/InstagramCarousel/tree/claude/med-spa-carousel-ideas-sim9wz/content/gbp" TargetMode="External" Id="rId46" /><Relationship Type="http://schemas.openxmlformats.org/officeDocument/2006/relationships/hyperlink" Target="https://raw.githubusercontent.com/RepoKing23/InstagramCarousel/claude/med-spa-carousel-ideas-sim9wz/content/gbp/2026-08-30-what-a-consult-includes.jpg" TargetMode="External" Id="rId47" /><Relationship Type="http://schemas.openxmlformats.org/officeDocument/2006/relationships/hyperlink" Target="https://unsplash.com/photos/XGv1wuuNvYU"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github.com/RepoKing23/InstagramCarousel/tree/claude/med-spa-carousel-ideas-sim9wz/content/gbp" TargetMode="External" Id="rId50" /><Relationship Type="http://schemas.openxmlformats.org/officeDocument/2006/relationships/hyperlink" Target="https://raw.githubusercontent.com/RepoKing23/InstagramCarousel/claude/med-spa-carousel-ideas-sim9wz/content/gbp/2026-08-31-when-to-start.jpg" TargetMode="External" Id="rId51" /><Relationship Type="http://schemas.openxmlformats.org/officeDocument/2006/relationships/hyperlink" Target="https://unsplash.com/photos/w4Dj3MshHQ0" TargetMode="External" Id="rId52" /><Relationship Type="http://schemas.openxmlformats.org/officeDocument/2006/relationships/hyperlink" Target="https://www.instagram.com/luxury_beauty_aestheticz/" TargetMode="External" Id="rId53" /><Relationship Type="http://schemas.openxmlformats.org/officeDocument/2006/relationships/hyperlink" Target="https://github.com/RepoKing23/InstagramCarousel/tree/claude/med-spa-carousel-ideas-sim9wz/content/gbp" TargetMode="External" Id="rId54" /><Relationship Type="http://schemas.openxmlformats.org/officeDocument/2006/relationships/hyperlink" Target="https://raw.githubusercontent.com/RepoKing23/InstagramCarousel/claude/med-spa-carousel-ideas-sim9wz/content/gbp/2026-09-01-spotlight-preventative.jpg" TargetMode="External" Id="rId55" /><Relationship Type="http://schemas.openxmlformats.org/officeDocument/2006/relationships/hyperlink" Target="https://unsplash.com/photos/GG8i22DQTHw" TargetMode="External" Id="rId56" /><Relationship Type="http://schemas.openxmlformats.org/officeDocument/2006/relationships/hyperlink" Target="https://www.instagram.com/luxury_beauty_aestheticz/" TargetMode="External" Id="rId57" /><Relationship Type="http://schemas.openxmlformats.org/officeDocument/2006/relationships/hyperlink" Target="https://github.com/RepoKing23/InstagramCarousel/tree/claude/med-spa-carousel-ideas-sim9wz/content/gbp" TargetMode="External" Id="rId58" /><Relationship Type="http://schemas.openxmlformats.org/officeDocument/2006/relationships/hyperlink" Target="https://raw.githubusercontent.com/RepoKing23/InstagramCarousel/claude/med-spa-carousel-ideas-sim9wz/content/gbp/2026-09-02-is-it-safe.jpg" TargetMode="External" Id="rId59" /><Relationship Type="http://schemas.openxmlformats.org/officeDocument/2006/relationships/hyperlink" Target="https://unsplash.com/photos/HtXyytr9304" TargetMode="External" Id="rId60" /><Relationship Type="http://schemas.openxmlformats.org/officeDocument/2006/relationships/hyperlink" Target="https://www.instagram.com/luxury_beauty_aestheticz/" TargetMode="External" Id="rId61" /><Relationship Type="http://schemas.openxmlformats.org/officeDocument/2006/relationships/hyperlink" Target="https://github.com/RepoKing23/InstagramCarousel/tree/claude/med-spa-carousel-ideas-sim9wz/content/gbp" TargetMode="External" Id="rId62" /><Relationship Type="http://schemas.openxmlformats.org/officeDocument/2006/relationships/hyperlink" Target="https://raw.githubusercontent.com/RepoKing23/InstagramCarousel/claude/med-spa-carousel-ideas-sim9wz/content/gbp/2026-09-03-20-units.jpg" TargetMode="External" Id="rId63" /><Relationship Type="http://schemas.openxmlformats.org/officeDocument/2006/relationships/hyperlink" Target="https://unsplash.com/photos/qJ1mYraktLg" TargetMode="External" Id="rId64" /><Relationship Type="http://schemas.openxmlformats.org/officeDocument/2006/relationships/hyperlink" Target="https://www.instagram.com/luxury_beauty_aestheticz/" TargetMode="External" Id="rId65" /><Relationship Type="http://schemas.openxmlformats.org/officeDocument/2006/relationships/hyperlink" Target="https://github.com/RepoKing23/InstagramCarousel/tree/claude/med-spa-carousel-ideas-sim9wz/content/gbp" TargetMode="External" Id="rId66" /><Relationship Type="http://schemas.openxmlformats.org/officeDocument/2006/relationships/hyperlink" Target="https://raw.githubusercontent.com/RepoKing23/InstagramCarousel/claude/med-spa-carousel-ideas-sim9wz/content/gbp/2026-09-04-meet-your-injector.jpg" TargetMode="External" Id="rId67" /><Relationship Type="http://schemas.openxmlformats.org/officeDocument/2006/relationships/hyperlink" Target="https://unsplash.com/photos/q2csrSPGM_k" TargetMode="External" Id="rId68" /><Relationship Type="http://schemas.openxmlformats.org/officeDocument/2006/relationships/hyperlink" Target="https://www.instagram.com/luxury_beauty_aestheticz/" TargetMode="External" Id="rId69" /><Relationship Type="http://schemas.openxmlformats.org/officeDocument/2006/relationships/hyperlink" Target="https://github.com/RepoKing23/InstagramCarousel/tree/claude/med-spa-carousel-ideas-sim9wz/content/gbp" TargetMode="External" Id="rId70" /><Relationship Type="http://schemas.openxmlformats.org/officeDocument/2006/relationships/hyperlink" Target="https://raw.githubusercontent.com/RepoKing23/InstagramCarousel/claude/med-spa-carousel-ideas-sim9wz/content/gbp/2026-09-05-prevention-beats-erasing.jpg" TargetMode="External" Id="rId71" /><Relationship Type="http://schemas.openxmlformats.org/officeDocument/2006/relationships/hyperlink" Target="https://unsplash.com/photos/0YT1p3lEPTg" TargetMode="External" Id="rId72" /><Relationship Type="http://schemas.openxmlformats.org/officeDocument/2006/relationships/hyperlink" Target="https://www.instagram.com/luxury_beauty_aestheticz/" TargetMode="External" Id="rId73" /><Relationship Type="http://schemas.openxmlformats.org/officeDocument/2006/relationships/hyperlink" Target="https://github.com/RepoKing23/InstagramCarousel/tree/claude/med-spa-carousel-ideas-sim9wz/content/gbp" TargetMode="External" Id="rId74" /><Relationship Type="http://schemas.openxmlformats.org/officeDocument/2006/relationships/hyperlink" Target="https://raw.githubusercontent.com/RepoKing23/InstagramCarousel/claude/med-spa-carousel-ideas-sim9wz/content/gbp/2026-09-06-first-timer.jpg" TargetMode="External" Id="rId75" /><Relationship Type="http://schemas.openxmlformats.org/officeDocument/2006/relationships/hyperlink" Target="https://unsplash.com/photos/16mHHrY3PUk" TargetMode="External" Id="rId76" /><Relationship Type="http://schemas.openxmlformats.org/officeDocument/2006/relationships/hyperlink" Target="https://www.instagram.com/luxury_beauty_aestheticz/" TargetMode="External" Id="rId77" /><Relationship Type="http://schemas.openxmlformats.org/officeDocument/2006/relationships/hyperlink" Target="https://github.com/RepoKing23/InstagramCarousel/tree/claude/med-spa-carousel-ideas-sim9wz/content/gbp" TargetMode="External" Id="rId78" /><Relationship Type="http://schemas.openxmlformats.org/officeDocument/2006/relationships/hyperlink" Target="https://raw.githubusercontent.com/RepoKing23/InstagramCarousel/claude/med-spa-carousel-ideas-sim9wz/content/gbp/2026-09-07-botox-vs-dysport.jpg" TargetMode="External" Id="rId79" /><Relationship Type="http://schemas.openxmlformats.org/officeDocument/2006/relationships/hyperlink" Target="https://unsplash.com/photos/N6N-DcYcDZ8" TargetMode="External" Id="rId80" /><Relationship Type="http://schemas.openxmlformats.org/officeDocument/2006/relationships/hyperlink" Target="https://www.instagram.com/luxury_beauty_aestheticz/" TargetMode="External" Id="rId81" /><Relationship Type="http://schemas.openxmlformats.org/officeDocument/2006/relationships/hyperlink" Target="https://github.com/RepoKing23/InstagramCarousel/tree/claude/med-spa-carousel-ideas-sim9wz/content/gbp" TargetMode="External" Id="rId82" /><Relationship Type="http://schemas.openxmlformats.org/officeDocument/2006/relationships/hyperlink" Target="https://raw.githubusercontent.com/RepoKing23/InstagramCarousel/claude/med-spa-carousel-ideas-sim9wz/content/gbp/2026-09-08-at-a-glance.jpg" TargetMode="External" Id="rId83" /><Relationship Type="http://schemas.openxmlformats.org/officeDocument/2006/relationships/hyperlink" Target="https://unsplash.com/photos/w6zVwAYoqWM" TargetMode="External" Id="rId84" /><Relationship Type="http://schemas.openxmlformats.org/officeDocument/2006/relationships/hyperlink" Target="https://www.instagram.com/luxury_beauty_aestheticz/" TargetMode="External" Id="rId85" /><Relationship Type="http://schemas.openxmlformats.org/officeDocument/2006/relationships/hyperlink" Target="https://github.com/RepoKing23/InstagramCarousel/tree/claude/med-spa-carousel-ideas-sim9wz/content/gbp" TargetMode="External" Id="rId86" /><Relationship Type="http://schemas.openxmlformats.org/officeDocument/2006/relationships/hyperlink" Target="https://raw.githubusercontent.com/RepoKing23/InstagramCarousel/claude/med-spa-carousel-ideas-sim9wz/content/gbp/2026-09-09-aftercare-rules.jpg" TargetMode="External" Id="rId87" /><Relationship Type="http://schemas.openxmlformats.org/officeDocument/2006/relationships/hyperlink" Target="https://unsplash.com/photos/qJ1mYraktLg" TargetMode="External" Id="rId88" /><Relationship Type="http://schemas.openxmlformats.org/officeDocument/2006/relationships/hyperlink" Target="https://www.instagram.com/luxury_beauty_aestheticz/" TargetMode="External" Id="rId89" /><Relationship Type="http://schemas.openxmlformats.org/officeDocument/2006/relationships/hyperlink" Target="https://github.com/RepoKing23/InstagramCarousel/tree/claude/med-spa-carousel-ideas-sim9wz/content/gbp" TargetMode="External" Id="rId90" /><Relationship Type="http://schemas.openxmlformats.org/officeDocument/2006/relationships/hyperlink" Target="https://raw.githubusercontent.com/RepoKing23/InstagramCarousel/claude/med-spa-carousel-ideas-sim9wz/content/gbp/2026-09-10-first-48-hours.jpg" TargetMode="External" Id="rId91" /><Relationship Type="http://schemas.openxmlformats.org/officeDocument/2006/relationships/hyperlink" Target="https://unsplash.com/photos/MGKzomg0Dts" TargetMode="External" Id="rId92" /><Relationship Type="http://schemas.openxmlformats.org/officeDocument/2006/relationships/hyperlink" Target="https://www.instagram.com/luxury_beauty_aestheticz/" TargetMode="External" Id="rId93" /><Relationship Type="http://schemas.openxmlformats.org/officeDocument/2006/relationships/hyperlink" Target="https://github.com/RepoKing23/InstagramCarousel/tree/claude/med-spa-carousel-ideas-sim9wz/content/gbp" TargetMode="External" Id="rId94" /><Relationship Type="http://schemas.openxmlformats.org/officeDocument/2006/relationships/hyperlink" Target="https://raw.githubusercontent.com/RepoKing23/InstagramCarousel/claude/med-spa-carousel-ideas-sim9wz/content/gbp/2026-09-11-the-face-map.jpg" TargetMode="External" Id="rId95" /><Relationship Type="http://schemas.openxmlformats.org/officeDocument/2006/relationships/hyperlink" Target="https://unsplash.com/photos/4mCQh80Jzyo" TargetMode="External" Id="rId96" /><Relationship Type="http://schemas.openxmlformats.org/officeDocument/2006/relationships/hyperlink" Target="https://www.instagram.com/luxury_beauty_aestheticz/" TargetMode="External" Id="rId97" /><Relationship Type="http://schemas.openxmlformats.org/officeDocument/2006/relationships/hyperlink" Target="https://github.com/RepoKing23/InstagramCarousel/tree/claude/med-spa-carousel-ideas-sim9wz/content/gbp" TargetMode="External" Id="rId98" /><Relationship Type="http://schemas.openxmlformats.org/officeDocument/2006/relationships/hyperlink" Target="https://raw.githubusercontent.com/RepoKing23/InstagramCarousel/claude/med-spa-carousel-ideas-sim9wz/content/gbp/2026-09-12-does-it-hurt.jpg" TargetMode="External" Id="rId99" /><Relationship Type="http://schemas.openxmlformats.org/officeDocument/2006/relationships/hyperlink" Target="https://unsplash.com/photos/hX9V80PDxrQ" TargetMode="External" Id="rId100" /><Relationship Type="http://schemas.openxmlformats.org/officeDocument/2006/relationships/hyperlink" Target="https://www.instagram.com/luxury_beauty_aestheticz/" TargetMode="External" Id="rId101" /><Relationship Type="http://schemas.openxmlformats.org/officeDocument/2006/relationships/hyperlink" Target="https://github.com/RepoKing23/InstagramCarousel/tree/claude/med-spa-carousel-ideas-sim9wz/content/gbp" TargetMode="External" Id="rId102" /><Relationship Type="http://schemas.openxmlformats.org/officeDocument/2006/relationships/hyperlink" Target="https://raw.githubusercontent.com/RepoKing23/InstagramCarousel/claude/med-spa-carousel-ideas-sim9wz/content/gbp/2026-09-13-still-look-like-you.jpg" TargetMode="External" Id="rId103" /><Relationship Type="http://schemas.openxmlformats.org/officeDocument/2006/relationships/hyperlink" Target="https://unsplash.com/photos/H9YAbOsqDt8" TargetMode="External" Id="rId104" /><Relationship Type="http://schemas.openxmlformats.org/officeDocument/2006/relationships/hyperlink" Target="https://www.instagram.com/luxury_beauty_aestheticz/" TargetMode="External" Id="rId105" /><Relationship Type="http://schemas.openxmlformats.org/officeDocument/2006/relationships/hyperlink" Target="https://github.com/RepoKing23/InstagramCarousel/tree/claude/med-spa-carousel-ideas-sim9wz/content/gbp" TargetMode="External" Id="rId106" /><Relationship Type="http://schemas.openxmlformats.org/officeDocument/2006/relationships/hyperlink" Target="https://raw.githubusercontent.com/RepoKing23/InstagramCarousel/claude/med-spa-carousel-ideas-sim9wz/content/gbp/2026-09-14-5-things-botox-cannot-do.jpg" TargetMode="External" Id="rId107" /><Relationship Type="http://schemas.openxmlformats.org/officeDocument/2006/relationships/hyperlink" Target="https://unsplash.com/photos/w4Dj3MshHQ0" TargetMode="External" Id="rId108" /><Relationship Type="http://schemas.openxmlformats.org/officeDocument/2006/relationships/hyperlink" Target="https://www.instagram.com/luxury_beauty_aestheticz/" TargetMode="External" Id="rId109" /><Relationship Type="http://schemas.openxmlformats.org/officeDocument/2006/relationships/hyperlink" Target="https://github.com/RepoKing23/InstagramCarousel/tree/claude/med-spa-carousel-ideas-sim9wz/content/gbp" TargetMode="External" Id="rId110" /><Relationship Type="http://schemas.openxmlformats.org/officeDocument/2006/relationships/hyperlink" Target="https://raw.githubusercontent.com/RepoKing23/InstagramCarousel/claude/med-spa-carousel-ideas-sim9wz/content/gbp/2026-09-15-what-it-cannot-fix.jpg" TargetMode="External" Id="rId111" /><Relationship Type="http://schemas.openxmlformats.org/officeDocument/2006/relationships/hyperlink" Target="https://unsplash.com/photos/GG8i22DQTHw" TargetMode="External" Id="rId112" /><Relationship Type="http://schemas.openxmlformats.org/officeDocument/2006/relationships/hyperlink" Target="https://www.instagram.com/luxury_beauty_aestheticz/" TargetMode="External" Id="rId113" /><Relationship Type="http://schemas.openxmlformats.org/officeDocument/2006/relationships/hyperlink" Target="https://github.com/RepoKing23/InstagramCarousel/tree/claude/med-spa-carousel-ideas-sim9wz/content/gbp" TargetMode="External" Id="rId114" /><Relationship Type="http://schemas.openxmlformats.org/officeDocument/2006/relationships/hyperlink" Target="https://raw.githubusercontent.com/RepoKing23/InstagramCarousel/claude/med-spa-carousel-ideas-sim9wz/content/gbp/2026-09-16-how-to-book.jpg" TargetMode="External" Id="rId115" /><Relationship Type="http://schemas.openxmlformats.org/officeDocument/2006/relationships/hyperlink" Target="https://unsplash.com/photos/SlpmIhUd860" TargetMode="External" Id="rId116" /><Relationship Type="http://schemas.openxmlformats.org/officeDocument/2006/relationships/hyperlink" Target="https://www.instagram.com/luxury_beauty_aestheticz/" TargetMode="External" Id="rId117" /><Relationship Type="http://schemas.openxmlformats.org/officeDocument/2006/relationships/hyperlink" Target="https://github.com/RepoKing23/InstagramCarousel/tree/claude/med-spa-carousel-ideas-sim9wz/content/gbp" TargetMode="External" Id="rId118" /><Relationship Type="http://schemas.openxmlformats.org/officeDocument/2006/relationships/hyperlink" Target="https://raw.githubusercontent.com/RepoKing23/InstagramCarousel/claude/med-spa-carousel-ideas-sim9wz/content/gbp/2026-09-17-still-you-just-refreshed.jpg" TargetMode="External" Id="rId119" /><Relationship Type="http://schemas.openxmlformats.org/officeDocument/2006/relationships/hyperlink" Target="https://unsplash.com/photos/k6vhjQF720E" TargetMode="External" Id="rId120" /><Relationship Type="http://schemas.openxmlformats.org/officeDocument/2006/relationships/hyperlink" Target="https://www.instagram.com/luxury_beauty_aestheticz/" TargetMode="External" Id="rId121" /><Relationship Type="http://schemas.openxmlformats.org/officeDocument/2006/relationships/hyperlink" Target="https://github.com/RepoKing23/InstagramCarousel/tree/claude/med-spa-carousel-ideas-sim9wz/content/gbp" TargetMode="External" Id="rId122" /><Relationship Type="http://schemas.openxmlformats.org/officeDocument/2006/relationships/hyperlink" Target="https://raw.githubusercontent.com/RepoKing23/InstagramCarousel/claude/med-spa-carousel-ideas-sim9wz/content/gbp/2026-09-18-frozen-face-myth.jpg" TargetMode="External" Id="rId123" /><Relationship Type="http://schemas.openxmlformats.org/officeDocument/2006/relationships/hyperlink" Target="https://unsplash.com/photos/N6N-DcYcDZ8" TargetMode="External" Id="rId124" /><Relationship Type="http://schemas.openxmlformats.org/officeDocument/2006/relationships/hyperlink" Target="https://www.instagram.com/luxury_beauty_aestheticz/" TargetMode="External" Id="rId125" /><Relationship Type="http://schemas.openxmlformats.org/officeDocument/2006/relationships/hyperlink" Target="https://github.com/RepoKing23/InstagramCarousel/tree/claude/med-spa-carousel-ideas-sim9wz/content/gbp" TargetMode="External" Id="rId126" /><Relationship Type="http://schemas.openxmlformats.org/officeDocument/2006/relationships/hyperlink" Target="https://raw.githubusercontent.com/RepoKing23/InstagramCarousel/claude/med-spa-carousel-ideas-sim9wz/content/gbp/2026-09-19-nobody-guessed.jpg" TargetMode="External" Id="rId127" /><Relationship Type="http://schemas.openxmlformats.org/officeDocument/2006/relationships/hyperlink" Target="https://unsplash.com/photos/w6zVwAYoqWM" TargetMode="External" Id="rId128" /><Relationship Type="http://schemas.openxmlformats.org/officeDocument/2006/relationships/hyperlink" Target="https://www.instagram.com/luxury_beauty_aestheticz/" TargetMode="External" Id="rId129" /><Relationship Type="http://schemas.openxmlformats.org/officeDocument/2006/relationships/hyperlink" Target="https://github.com/RepoKing23/InstagramCarousel/tree/claude/med-spa-carousel-ideas-sim9wz/content/gbp" TargetMode="External" Id="rId130" /><Relationship Type="http://schemas.openxmlformats.org/officeDocument/2006/relationships/hyperlink" Target="https://raw.githubusercontent.com/RepoKing23/InstagramCarousel/claude/med-spa-carousel-ideas-sim9wz/content/gbp/2026-09-20-service-area.jpg" TargetMode="External" Id="rId131" /><Relationship Type="http://schemas.openxmlformats.org/officeDocument/2006/relationships/hyperlink" Target="https://unsplash.com/photos/XGv1wuuNvYU" TargetMode="External" Id="rId132" /><Relationship Type="http://schemas.openxmlformats.org/officeDocument/2006/relationships/hyperlink" Target="https://www.instagram.com/luxury_beauty_aestheticz/" TargetMode="External" Id="rId133" /><Relationship Type="http://schemas.openxmlformats.org/officeDocument/2006/relationships/hyperlink" Target="https://github.com/RepoKing23/InstagramCarousel/tree/claude/med-spa-carousel-ideas-sim9wz/content/gbp" TargetMode="External" Id="rId134" /><Relationship Type="http://schemas.openxmlformats.org/officeDocument/2006/relationships/hyperlink" Target="https://raw.githubusercontent.com/RepoKing23/InstagramCarousel/claude/med-spa-carousel-ideas-sim9wz/content/gbp/2026-09-21-botox-or-filler.jpg" TargetMode="External" Id="rId135" /><Relationship Type="http://schemas.openxmlformats.org/officeDocument/2006/relationships/hyperlink" Target="https://unsplash.com/photos/-FT1IVUnUd8" TargetMode="External" Id="rId136" /><Relationship Type="http://schemas.openxmlformats.org/officeDocument/2006/relationships/hyperlink" Target="https://www.instagram.com/luxury_beauty_aestheticz/" TargetMode="External" Id="rId137" /><Relationship Type="http://schemas.openxmlformats.org/officeDocument/2006/relationships/hyperlink" Target="https://github.com/RepoKing23/InstagramCarousel/tree/claude/med-spa-carousel-ideas-sim9wz/content/gbp" TargetMode="External" Id="rId138" /><Relationship Type="http://schemas.openxmlformats.org/officeDocument/2006/relationships/hyperlink" Target="https://raw.githubusercontent.com/RepoKing23/InstagramCarousel/claude/med-spa-carousel-ideas-sim9wz/content/gbp/2026-09-22-lines-vs-volume.jpg" TargetMode="External" Id="rId139" /><Relationship Type="http://schemas.openxmlformats.org/officeDocument/2006/relationships/hyperlink" Target="https://unsplash.com/photos/Pe9IXUuC6QU" TargetMode="External" Id="rId140" /><Relationship Type="http://schemas.openxmlformats.org/officeDocument/2006/relationships/hyperlink" Target="https://www.instagram.com/luxury_beauty_aestheticz/" TargetMode="External" Id="rId141" /><Relationship Type="http://schemas.openxmlformats.org/officeDocument/2006/relationships/hyperlink" Target="https://github.com/RepoKing23/InstagramCarousel/tree/claude/med-spa-carousel-ideas-sim9wz/content/gbp" TargetMode="External" Id="rId142" /><Relationship Type="http://schemas.openxmlformats.org/officeDocument/2006/relationships/hyperlink" Target="https://raw.githubusercontent.com/RepoKing23/InstagramCarousel/claude/med-spa-carousel-ideas-sim9wz/content/gbp/2026-09-23-what-to-ask.jpg" TargetMode="External" Id="rId143" /><Relationship Type="http://schemas.openxmlformats.org/officeDocument/2006/relationships/hyperlink" Target="https://unsplash.com/photos/qJ1mYraktLg" TargetMode="External" Id="rId144" /><Relationship Type="http://schemas.openxmlformats.org/officeDocument/2006/relationships/hyperlink" Target="https://www.instagram.com/luxury_beauty_aestheticz/" TargetMode="External" Id="rId145" /><Relationship Type="http://schemas.openxmlformats.org/officeDocument/2006/relationships/hyperlink" Target="https://github.com/RepoKing23/InstagramCarousel/tree/claude/med-spa-carousel-ideas-sim9wz/content/gbp" TargetMode="External" Id="rId146" /><Relationship Type="http://schemas.openxmlformats.org/officeDocument/2006/relationships/hyperlink" Target="https://raw.githubusercontent.com/RepoKing23/InstagramCarousel/claude/med-spa-carousel-ideas-sim9wz/content/gbp/2026-09-24-ask-np-cleo.jpg" TargetMode="External" Id="rId147" /><Relationship Type="http://schemas.openxmlformats.org/officeDocument/2006/relationships/hyperlink" Target="https://unsplash.com/photos/TQSPgNqeCo8" TargetMode="External" Id="rId148" /><Relationship Type="http://schemas.openxmlformats.org/officeDocument/2006/relationships/hyperlink" Target="https://www.instagram.com/luxury_beauty_aestheticz/" TargetMode="External" Id="rId149" /><Relationship Type="http://schemas.openxmlformats.org/officeDocument/2006/relationships/hyperlink" Target="https://github.com/RepoKing23/InstagramCarousel/tree/claude/med-spa-carousel-ideas-sim9wz/content/gbp" TargetMode="External" Id="rId150" /><Relationship Type="http://schemas.openxmlformats.org/officeDocument/2006/relationships/hyperlink" Target="https://raw.githubusercontent.com/RepoKing23/InstagramCarousel/claude/med-spa-carousel-ideas-sim9wz/content/gbp/2026-09-25-your-dms-answered.jpg" TargetMode="External" Id="rId151" /><Relationship Type="http://schemas.openxmlformats.org/officeDocument/2006/relationships/hyperlink" Target="https://unsplash.com/photos/MGKzomg0Dts" TargetMode="External" Id="rId152" /><Relationship Type="http://schemas.openxmlformats.org/officeDocument/2006/relationships/hyperlink" Target="https://www.instagram.com/luxury_beauty_aestheticz/" TargetMode="External" Id="rId153" /><Relationship Type="http://schemas.openxmlformats.org/officeDocument/2006/relationships/hyperlink" Target="https://github.com/RepoKing23/InstagramCarousel/tree/claude/med-spa-carousel-ideas-sim9wz/content/gbp" TargetMode="External" Id="rId154" /><Relationship Type="http://schemas.openxmlformats.org/officeDocument/2006/relationships/hyperlink" Target="https://raw.githubusercontent.com/RepoKing23/InstagramCarousel/claude/med-spa-carousel-ideas-sim9wz/content/gbp/2026-09-26-what-next.jpg" TargetMode="External" Id="rId155" /><Relationship Type="http://schemas.openxmlformats.org/officeDocument/2006/relationships/hyperlink" Target="https://unsplash.com/photos/0YT1p3lEPTg" TargetMode="External" Id="rId156" /><Relationship Type="http://schemas.openxmlformats.org/officeDocument/2006/relationships/hyperlink" Target="https://www.instagram.com/luxury_beauty_aestheticz/" TargetMode="External" Id="rId157" /><Relationship Type="http://schemas.openxmlformats.org/officeDocument/2006/relationships/hyperlink" Target="https://github.com/RepoKing23/InstagramCarousel/tree/claude/med-spa-carousel-ideas-sim9wz/content/gbp" TargetMode="External" Id="rId158" /><Relationship Type="http://schemas.openxmlformats.org/officeDocument/2006/relationships/hyperlink" Target="https://raw.githubusercontent.com/RepoKing23/InstagramCarousel/claude/med-spa-carousel-ideas-sim9wz/content/gbp/2026-09-27-two-week-review.jpg" TargetMode="External" Id="rId159" /><Relationship Type="http://schemas.openxmlformats.org/officeDocument/2006/relationships/hyperlink" Target="https://unsplash.com/photos/16mHHrY3PUk" TargetMode="External" Id="rId160" /><Relationship Type="http://schemas.openxmlformats.org/officeDocument/2006/relationships/hyperlink" Target="https://www.instagram.com/luxury_beauty_aestheticz/" TargetMode="External" Id="rId161" /><Relationship Type="http://schemas.openxmlformats.org/officeDocument/2006/relationships/hyperlink" Target="https://github.com/RepoKing23/InstagramCarousel/tree/claude/med-spa-carousel-ideas-sim9wz/content/gbp" TargetMode="External" Id="rId162" /><Relationship Type="http://schemas.openxmlformats.org/officeDocument/2006/relationships/hyperlink" Target="https://raw.githubusercontent.com/RepoKing23/InstagramCarousel/claude/med-spa-carousel-ideas-sim9wz/content/gbp/2026-09-28-how-long-does-it-last.jpg" TargetMode="External" Id="rId163" /><Relationship Type="http://schemas.openxmlformats.org/officeDocument/2006/relationships/hyperlink" Target="https://unsplash.com/photos/H9YAbOsqDt8" TargetMode="External" Id="rId164" /><Relationship Type="http://schemas.openxmlformats.org/officeDocument/2006/relationships/hyperlink" Target="https://www.instagram.com/luxury_beauty_aestheticz/" TargetMode="External" Id="rId165" /><Relationship Type="http://schemas.openxmlformats.org/officeDocument/2006/relationships/hyperlink" Target="https://github.com/RepoKing23/InstagramCarousel/tree/claude/med-spa-carousel-ideas-sim9wz/content/gbp" TargetMode="External" Id="rId166" /><Relationship Type="http://schemas.openxmlformats.org/officeDocument/2006/relationships/hyperlink" Target="https://raw.githubusercontent.com/RepoKing23/InstagramCarousel/claude/med-spa-carousel-ideas-sim9wz/content/gbp/2026-09-29-three-month-timeline.jpg" TargetMode="External" Id="rId167" /><Relationship Type="http://schemas.openxmlformats.org/officeDocument/2006/relationships/hyperlink" Target="https://unsplash.com/photos/k6vhjQF720E" TargetMode="External" Id="rId168" /><Relationship Type="http://schemas.openxmlformats.org/officeDocument/2006/relationships/hyperlink" Target="https://www.instagram.com/luxury_beauty_aestheticz/" TargetMode="External" Id="rId169" /><Relationship Type="http://schemas.openxmlformats.org/officeDocument/2006/relationships/hyperlink" Target="https://github.com/RepoKing23/InstagramCarousel/tree/claude/med-spa-carousel-ideas-sim9wz/content/gbp" TargetMode="External" Id="rId170" /><Relationship Type="http://schemas.openxmlformats.org/officeDocument/2006/relationships/hyperlink" Target="https://raw.githubusercontent.com/RepoKing23/InstagramCarousel/claude/med-spa-carousel-ideas-sim9wz/content/gbp/2026-09-30-october-preview.jpg" TargetMode="External" Id="rId171" /><Relationship Type="http://schemas.openxmlformats.org/officeDocument/2006/relationships/hyperlink" Target="https://unsplash.com/photos/Bsg_9a2PDX0" TargetMode="External" Id="rId172" /><Relationship Type="http://schemas.openxmlformats.org/officeDocument/2006/relationships/hyperlink" Target="https://www.instagram.com/luxury_beauty_aestheticz/" TargetMode="External" Id="rId173" /><Relationship Type="http://schemas.openxmlformats.org/officeDocument/2006/relationships/hyperlink" Target="https://github.com/RepoKing23/InstagramCarousel/tree/claude/med-spa-carousel-ideas-sim9wz/content/gbp" TargetMode="External" Id="rId174" /><Relationship Type="http://schemas.openxmlformats.org/officeDocument/2006/relationships/hyperlink" Target="https://raw.githubusercontent.com/RepoKing23/InstagramCarousel/claude/med-spa-carousel-ideas-sim9wz/content/gbp/2026-10-01-why-i-say-no.jpg" TargetMode="External" Id="rId175" /><Relationship Type="http://schemas.openxmlformats.org/officeDocument/2006/relationships/hyperlink" Target="https://unsplash.com/photos/TQSPgNqeCo8" TargetMode="External" Id="rId176" /><Relationship Type="http://schemas.openxmlformats.org/officeDocument/2006/relationships/hyperlink" Target="https://www.instagram.com/luxury_beauty_aestheticz/" TargetMode="External" Id="rId177" /><Relationship Type="http://schemas.openxmlformats.org/officeDocument/2006/relationships/hyperlink" Target="https://github.com/RepoKing23/InstagramCarousel/tree/claude/med-spa-carousel-ideas-sim9wz/content/gbp" TargetMode="External" Id="rId178" /><Relationship Type="http://schemas.openxmlformats.org/officeDocument/2006/relationships/hyperlink" Target="https://raw.githubusercontent.com/RepoKing23/InstagramCarousel/claude/med-spa-carousel-ideas-sim9wz/content/gbp/2026-10-02-every-first-timer.jpg" TargetMode="External" Id="rId179" /><Relationship Type="http://schemas.openxmlformats.org/officeDocument/2006/relationships/hyperlink" Target="https://unsplash.com/photos/PqyzuzFiQfY" TargetMode="External" Id="rId180" /><Relationship Type="http://schemas.openxmlformats.org/officeDocument/2006/relationships/hyperlink" Target="https://www.instagram.com/luxury_beauty_aestheticz/" TargetMode="External" Id="rId181" /><Relationship Type="http://schemas.openxmlformats.org/officeDocument/2006/relationships/hyperlink" Target="https://github.com/RepoKing23/InstagramCarousel/tree/claude/med-spa-carousel-ideas-sim9wz/content/gbp" TargetMode="External" Id="rId182" /><Relationship Type="http://schemas.openxmlformats.org/officeDocument/2006/relationships/hyperlink" Target="https://raw.githubusercontent.com/RepoKing23/InstagramCarousel/claude/med-spa-carousel-ideas-sim9wz/content/gbp/2026-10-03-no-is-protection.jpg" TargetMode="External" Id="rId183" /><Relationship Type="http://schemas.openxmlformats.org/officeDocument/2006/relationships/hyperlink" Target="https://unsplash.com/photos/n5RNynnttF8" TargetMode="External" Id="rId184" /><Relationship Type="http://schemas.openxmlformats.org/officeDocument/2006/relationships/hyperlink" Target="https://www.instagram.com/luxury_beauty_aestheticz/" TargetMode="External" Id="rId185" /><Relationship Type="http://schemas.openxmlformats.org/officeDocument/2006/relationships/hyperlink" Target="https://github.com/RepoKing23/InstagramCarousel/tree/claude/med-spa-carousel-ideas-sim9wz/content/gbp" TargetMode="External" Id="rId186" /><Relationship Type="http://schemas.openxmlformats.org/officeDocument/2006/relationships/hyperlink" Target="https://raw.githubusercontent.com/RepoKing23/InstagramCarousel/claude/med-spa-carousel-ideas-sim9wz/content/gbp/2026-10-04-is-filler-safe.jpg" TargetMode="External" Id="rId187" /><Relationship Type="http://schemas.openxmlformats.org/officeDocument/2006/relationships/hyperlink" Target="https://unsplash.com/photos/HtXyytr9304" TargetMode="External" Id="rId188" /><Relationship Type="http://schemas.openxmlformats.org/officeDocument/2006/relationships/hyperlink" Target="https://www.instagram.com/luxury_beauty_aestheticz/" TargetMode="External" Id="rId189" /><Relationship Type="http://schemas.openxmlformats.org/officeDocument/2006/relationships/hyperlink" Target="https://github.com/RepoKing23/InstagramCarousel/tree/claude/med-spa-carousel-ideas-sim9wz/content/gbp" TargetMode="External" Id="rId190" /><Relationship Type="http://schemas.openxmlformats.org/officeDocument/2006/relationships/hyperlink" Target="https://raw.githubusercontent.com/RepoKing23/InstagramCarousel/claude/med-spa-carousel-ideas-sim9wz/content/gbp/2026-10-05-fake-is-not-the-filler.jpg" TargetMode="External" Id="rId191" /><Relationship Type="http://schemas.openxmlformats.org/officeDocument/2006/relationships/hyperlink" Target="https://unsplash.com/photos/4mCQh80Jzyo" TargetMode="External" Id="rId192" /><Relationship Type="http://schemas.openxmlformats.org/officeDocument/2006/relationships/hyperlink" Target="https://www.instagram.com/luxury_beauty_aestheticz/" TargetMode="External" Id="rId193" /><Relationship Type="http://schemas.openxmlformats.org/officeDocument/2006/relationships/hyperlink" Target="https://github.com/RepoKing23/InstagramCarousel/tree/claude/med-spa-carousel-ideas-sim9wz/content/gbp" TargetMode="External" Id="rId194" /><Relationship Type="http://schemas.openxmlformats.org/officeDocument/2006/relationships/hyperlink" Target="https://raw.githubusercontent.com/RepoKing23/InstagramCarousel/claude/med-spa-carousel-ideas-sim9wz/content/gbp/2026-10-06-spotlight-dermal-filler.jpg" TargetMode="External" Id="rId195" /><Relationship Type="http://schemas.openxmlformats.org/officeDocument/2006/relationships/hyperlink" Target="https://unsplash.com/photos/0YT1p3lEPTg" TargetMode="External" Id="rId196" /><Relationship Type="http://schemas.openxmlformats.org/officeDocument/2006/relationships/hyperlink" Target="https://www.instagram.com/luxury_beauty_aestheticz/" TargetMode="External" Id="rId197" /><Relationship Type="http://schemas.openxmlformats.org/officeDocument/2006/relationships/hyperlink" Target="https://github.com/RepoKing23/InstagramCarousel/tree/claude/med-spa-carousel-ideas-sim9wz/content/gbp" TargetMode="External" Id="rId198" /><Relationship Type="http://schemas.openxmlformats.org/officeDocument/2006/relationships/hyperlink" Target="https://raw.githubusercontent.com/RepoKing23/InstagramCarousel/claude/med-spa-carousel-ideas-sim9wz/content/gbp/2026-10-07-before-the-syringe.jpg" TargetMode="External" Id="rId199" /><Relationship Type="http://schemas.openxmlformats.org/officeDocument/2006/relationships/hyperlink" Target="https://unsplash.com/photos/Pe9IXUuC6QU" TargetMode="External" Id="rId200" /><Relationship Type="http://schemas.openxmlformats.org/officeDocument/2006/relationships/hyperlink" Target="https://www.instagram.com/luxury_beauty_aestheticz/" TargetMode="External" Id="rId201" /><Relationship Type="http://schemas.openxmlformats.org/officeDocument/2006/relationships/hyperlink" Target="https://github.com/RepoKing23/InstagramCarousel/tree/claude/med-spa-carousel-ideas-sim9wz/content/gbp" TargetMode="External" Id="rId202" /><Relationship Type="http://schemas.openxmlformats.org/officeDocument/2006/relationships/hyperlink" Target="https://raw.githubusercontent.com/RepoKing23/InstagramCarousel/claude/med-spa-carousel-ideas-sim9wz/content/gbp/2026-10-08-natural-or-overdone.jpg" TargetMode="External" Id="rId203" /><Relationship Type="http://schemas.openxmlformats.org/officeDocument/2006/relationships/hyperlink" Target="https://unsplash.com/photos/w4Dj3MshHQ0" TargetMode="External" Id="rId204" /><Relationship Type="http://schemas.openxmlformats.org/officeDocument/2006/relationships/hyperlink" Target="https://www.instagram.com/luxury_beauty_aestheticz/" TargetMode="External" Id="rId205" /><Relationship Type="http://schemas.openxmlformats.org/officeDocument/2006/relationships/hyperlink" Target="https://github.com/RepoKing23/InstagramCarousel/tree/claude/med-spa-carousel-ideas-sim9wz/content/gbp" TargetMode="External" Id="rId206" /><Relationship Type="http://schemas.openxmlformats.org/officeDocument/2006/relationships/hyperlink" Target="https://raw.githubusercontent.com/RepoKing23/InstagramCarousel/claude/med-spa-carousel-ideas-sim9wz/content/gbp/2026-10-09-inside-the-appointment.jpg" TargetMode="External" Id="rId207" /><Relationship Type="http://schemas.openxmlformats.org/officeDocument/2006/relationships/hyperlink" Target="https://unsplash.com/photos/6Cz6R3El3p0" TargetMode="External" Id="rId208" /><Relationship Type="http://schemas.openxmlformats.org/officeDocument/2006/relationships/hyperlink" Target="https://www.instagram.com/luxury_beauty_aestheticz/" TargetMode="External" Id="rId209" /><Relationship Type="http://schemas.openxmlformats.org/officeDocument/2006/relationships/hyperlink" Target="https://github.com/RepoKing23/InstagramCarousel/tree/claude/med-spa-carousel-ideas-sim9wz/content/gbp" TargetMode="External" Id="rId210" /><Relationship Type="http://schemas.openxmlformats.org/officeDocument/2006/relationships/hyperlink" Target="https://raw.githubusercontent.com/RepoKing23/InstagramCarousel/claude/med-spa-carousel-ideas-sim9wz/content/gbp/2026-10-10-subtle-is-the-point.jpg" TargetMode="External" Id="rId211" /><Relationship Type="http://schemas.openxmlformats.org/officeDocument/2006/relationships/hyperlink" Target="https://unsplash.com/photos/GG8i22DQTHw" TargetMode="External" Id="rId212" /><Relationship Type="http://schemas.openxmlformats.org/officeDocument/2006/relationships/hyperlink" Target="https://www.instagram.com/luxury_beauty_aestheticz/" TargetMode="External" Id="rId213" /><Relationship Type="http://schemas.openxmlformats.org/officeDocument/2006/relationships/hyperlink" Target="https://github.com/RepoKing23/InstagramCarousel/tree/claude/med-spa-carousel-ideas-sim9wz/content/gbp" TargetMode="External" Id="rId214" /><Relationship Type="http://schemas.openxmlformats.org/officeDocument/2006/relationships/hyperlink" Target="https://raw.githubusercontent.com/RepoKing23/InstagramCarousel/claude/med-spa-carousel-ideas-sim9wz/content/gbp/2026-10-11-find-the-studio.jpg" TargetMode="External" Id="rId215" /><Relationship Type="http://schemas.openxmlformats.org/officeDocument/2006/relationships/hyperlink" Target="https://unsplash.com/photos/SlpmIhUd860" TargetMode="External" Id="rId216" /><Relationship Type="http://schemas.openxmlformats.org/officeDocument/2006/relationships/hyperlink" Target="https://www.instagram.com/luxury_beauty_aestheticz/" TargetMode="External" Id="rId217" /><Relationship Type="http://schemas.openxmlformats.org/officeDocument/2006/relationships/hyperlink" Target="https://github.com/RepoKing23/InstagramCarousel/tree/claude/med-spa-carousel-ideas-sim9wz/content/gbp" TargetMode="External" Id="rId218" /><Relationship Type="http://schemas.openxmlformats.org/officeDocument/2006/relationships/hyperlink" Target="https://raw.githubusercontent.com/RepoKing23/InstagramCarousel/claude/med-spa-carousel-ideas-sim9wz/content/gbp/2026-10-12-cheeks-hold-the-face.jpg" TargetMode="External" Id="rId219" /><Relationship Type="http://schemas.openxmlformats.org/officeDocument/2006/relationships/hyperlink" Target="https://unsplash.com/photos/XGv1wuuNvYU" TargetMode="External" Id="rId220" /><Relationship Type="http://schemas.openxmlformats.org/officeDocument/2006/relationships/hyperlink" Target="https://www.instagram.com/luxury_beauty_aestheticz/" TargetMode="External" Id="rId221" /><Relationship Type="http://schemas.openxmlformats.org/officeDocument/2006/relationships/hyperlink" Target="https://github.com/RepoKing23/InstagramCarousel/tree/claude/med-spa-carousel-ideas-sim9wz/content/gbp" TargetMode="External" Id="rId222" /><Relationship Type="http://schemas.openxmlformats.org/officeDocument/2006/relationships/hyperlink" Target="https://raw.githubusercontent.com/RepoKing23/InstagramCarousel/claude/med-spa-carousel-ideas-sim9wz/content/gbp/2026-10-13-spotlight-cheek-filler.jpg" TargetMode="External" Id="rId223" /><Relationship Type="http://schemas.openxmlformats.org/officeDocument/2006/relationships/hyperlink" Target="https://unsplash.com/photos/H9YAbOsqDt8" TargetMode="External" Id="rId224" /><Relationship Type="http://schemas.openxmlformats.org/officeDocument/2006/relationships/hyperlink" Target="https://www.instagram.com/luxury_beauty_aestheticz/" TargetMode="External" Id="rId225" /><Relationship Type="http://schemas.openxmlformats.org/officeDocument/2006/relationships/hyperlink" Target="https://github.com/RepoKing23/InstagramCarousel/tree/claude/med-spa-carousel-ideas-sim9wz/content/gbp" TargetMode="External" Id="rId226" /><Relationship Type="http://schemas.openxmlformats.org/officeDocument/2006/relationships/hyperlink" Target="https://raw.githubusercontent.com/RepoKing23/InstagramCarousel/claude/med-spa-carousel-ideas-sim9wz/content/gbp/2026-10-14-not-everyone-is-a-candidate.jpg" TargetMode="External" Id="rId227" /><Relationship Type="http://schemas.openxmlformats.org/officeDocument/2006/relationships/hyperlink" Target="https://unsplash.com/photos/q2csrSPGM_k" TargetMode="External" Id="rId228" /><Relationship Type="http://schemas.openxmlformats.org/officeDocument/2006/relationships/hyperlink" Target="https://www.instagram.com/luxury_beauty_aestheticz/" TargetMode="External" Id="rId229" /><Relationship Type="http://schemas.openxmlformats.org/officeDocument/2006/relationships/hyperlink" Target="https://github.com/RepoKing23/InstagramCarousel/tree/claude/med-spa-carousel-ideas-sim9wz/content/gbp" TargetMode="External" Id="rId230" /><Relationship Type="http://schemas.openxmlformats.org/officeDocument/2006/relationships/hyperlink" Target="https://raw.githubusercontent.com/RepoKing23/InstagramCarousel/claude/med-spa-carousel-ideas-sim9wz/content/gbp/2026-10-15-real-lips-real-results.jpg" TargetMode="External" Id="rId231" /><Relationship Type="http://schemas.openxmlformats.org/officeDocument/2006/relationships/hyperlink" Target="https://unsplash.com/photos/w6zVwAYoqWM" TargetMode="External" Id="rId232" /><Relationship Type="http://schemas.openxmlformats.org/officeDocument/2006/relationships/hyperlink" Target="https://www.instagram.com/luxury_beauty_aestheticz/" TargetMode="External" Id="rId233" /><Relationship Type="http://schemas.openxmlformats.org/officeDocument/2006/relationships/hyperlink" Target="https://github.com/RepoKing23/InstagramCarousel/tree/claude/med-spa-carousel-ideas-sim9wz/content/gbp" TargetMode="External" Id="rId234" /><Relationship Type="http://schemas.openxmlformats.org/officeDocument/2006/relationships/hyperlink" Target="https://raw.githubusercontent.com/RepoKing23/InstagramCarousel/claude/med-spa-carousel-ideas-sim9wz/content/gbp/2026-10-16-facial-balancing-101.jpg" TargetMode="External" Id="rId235" /><Relationship Type="http://schemas.openxmlformats.org/officeDocument/2006/relationships/hyperlink" Target="https://unsplash.com/photos/MGKzomg0Dts" TargetMode="External" Id="rId236" /><Relationship Type="http://schemas.openxmlformats.org/officeDocument/2006/relationships/hyperlink" Target="https://www.instagram.com/luxury_beauty_aestheticz/" TargetMode="External" Id="rId237" /><Relationship Type="http://schemas.openxmlformats.org/officeDocument/2006/relationships/hyperlink" Target="https://github.com/RepoKing23/InstagramCarousel/tree/claude/med-spa-carousel-ideas-sim9wz/content/gbp" TargetMode="External" Id="rId238" /><Relationship Type="http://schemas.openxmlformats.org/officeDocument/2006/relationships/hyperlink" Target="https://raw.githubusercontent.com/RepoKing23/InstagramCarousel/claude/med-spa-carousel-ideas-sim9wz/content/gbp/2026-10-17-how-much-do-i-need.jpg" TargetMode="External" Id="rId239" /><Relationship Type="http://schemas.openxmlformats.org/officeDocument/2006/relationships/hyperlink" Target="https://unsplash.com/photos/hX9V80PDxrQ" TargetMode="External" Id="rId240" /><Relationship Type="http://schemas.openxmlformats.org/officeDocument/2006/relationships/hyperlink" Target="https://www.instagram.com/luxury_beauty_aestheticz/" TargetMode="External" Id="rId241" /><Relationship Type="http://schemas.openxmlformats.org/officeDocument/2006/relationships/hyperlink" Target="https://github.com/RepoKing23/InstagramCarousel/tree/claude/med-spa-carousel-ideas-sim9wz/content/gbp" TargetMode="External" Id="rId242" /><Relationship Type="http://schemas.openxmlformats.org/officeDocument/2006/relationships/hyperlink" Target="https://raw.githubusercontent.com/RepoKing23/InstagramCarousel/claude/med-spa-carousel-ideas-sim9wz/content/gbp/2026-10-18-on-the-day-itself.jpg" TargetMode="External" Id="rId243" /><Relationship Type="http://schemas.openxmlformats.org/officeDocument/2006/relationships/hyperlink" Target="https://unsplash.com/photos/Bsg_9a2PDX0" TargetMode="External" Id="rId244" /><Relationship Type="http://schemas.openxmlformats.org/officeDocument/2006/relationships/hyperlink" Target="https://www.instagram.com/luxury_beauty_aestheticz/" TargetMode="External" Id="rId245" /><Relationship Type="http://schemas.openxmlformats.org/officeDocument/2006/relationships/hyperlink" Target="https://github.com/RepoKing23/InstagramCarousel/tree/claude/med-spa-carousel-ideas-sim9wz/content/gbp" TargetMode="External" Id="rId246" /><Relationship Type="http://schemas.openxmlformats.org/officeDocument/2006/relationships/hyperlink" Target="https://raw.githubusercontent.com/RepoKing23/InstagramCarousel/claude/med-spa-carousel-ideas-sim9wz/content/gbp/2026-10-19-it-dissolves.jpg" TargetMode="External" Id="rId247" /><Relationship Type="http://schemas.openxmlformats.org/officeDocument/2006/relationships/hyperlink" Target="https://unsplash.com/photos/-FT1IVUnUd8" TargetMode="External" Id="rId248" /><Relationship Type="http://schemas.openxmlformats.org/officeDocument/2006/relationships/hyperlink" Target="https://www.instagram.com/luxury_beauty_aestheticz/" TargetMode="External" Id="rId249" /><Relationship Type="http://schemas.openxmlformats.org/officeDocument/2006/relationships/hyperlink" Target="https://github.com/RepoKing23/InstagramCarousel/tree/claude/med-spa-carousel-ideas-sim9wz/content/gbp" TargetMode="External" Id="rId250" /><Relationship Type="http://schemas.openxmlformats.org/officeDocument/2006/relationships/hyperlink" Target="https://raw.githubusercontent.com/RepoKing23/InstagramCarousel/claude/med-spa-carousel-ideas-sim9wz/content/gbp/2026-10-20-the-filler-timeline.jpg" TargetMode="External" Id="rId251" /><Relationship Type="http://schemas.openxmlformats.org/officeDocument/2006/relationships/hyperlink" Target="https://unsplash.com/photos/k6vhjQF720E" TargetMode="External" Id="rId252" /><Relationship Type="http://schemas.openxmlformats.org/officeDocument/2006/relationships/hyperlink" Target="https://www.instagram.com/luxury_beauty_aestheticz/" TargetMode="External" Id="rId253" /><Relationship Type="http://schemas.openxmlformats.org/officeDocument/2006/relationships/hyperlink" Target="https://github.com/RepoKing23/InstagramCarousel/tree/claude/med-spa-carousel-ideas-sim9wz/content/gbp" TargetMode="External" Id="rId254" /><Relationship Type="http://schemas.openxmlformats.org/officeDocument/2006/relationships/hyperlink" Target="https://raw.githubusercontent.com/RepoKing23/InstagramCarousel/claude/med-spa-carousel-ideas-sim9wz/content/gbp/2026-10-21-will-i-bruise.jpg" TargetMode="External" Id="rId255" /><Relationship Type="http://schemas.openxmlformats.org/officeDocument/2006/relationships/hyperlink" Target="https://unsplash.com/photos/N6N-DcYcDZ8" TargetMode="External" Id="rId256" /><Relationship Type="http://schemas.openxmlformats.org/officeDocument/2006/relationships/hyperlink" Target="https://www.instagram.com/luxury_beauty_aestheticz/" TargetMode="External" Id="rId257" /><Relationship Type="http://schemas.openxmlformats.org/officeDocument/2006/relationships/hyperlink" Target="https://github.com/RepoKing23/InstagramCarousel/tree/claude/med-spa-carousel-ideas-sim9wz/content/gbp" TargetMode="External" Id="rId258" /><Relationship Type="http://schemas.openxmlformats.org/officeDocument/2006/relationships/hyperlink" Target="https://raw.githubusercontent.com/RepoKing23/InstagramCarousel/claude/med-spa-carousel-ideas-sim9wz/content/gbp/2026-10-22-the-first-week.jpg" TargetMode="External" Id="rId259" /><Relationship Type="http://schemas.openxmlformats.org/officeDocument/2006/relationships/hyperlink" Target="https://unsplash.com/photos/qJ1mYraktLg" TargetMode="External" Id="rId260" /><Relationship Type="http://schemas.openxmlformats.org/officeDocument/2006/relationships/hyperlink" Target="https://www.instagram.com/luxury_beauty_aestheticz/" TargetMode="External" Id="rId261" /><Relationship Type="http://schemas.openxmlformats.org/officeDocument/2006/relationships/hyperlink" Target="https://github.com/RepoKing23/InstagramCarousel/tree/claude/med-spa-carousel-ideas-sim9wz/content/gbp" TargetMode="External" Id="rId262" /><Relationship Type="http://schemas.openxmlformats.org/officeDocument/2006/relationships/hyperlink" Target="https://raw.githubusercontent.com/RepoKing23/InstagramCarousel/claude/med-spa-carousel-ideas-sim9wz/content/gbp/2026-10-23-aftercare-essentials.jpg" TargetMode="External" Id="rId263" /><Relationship Type="http://schemas.openxmlformats.org/officeDocument/2006/relationships/hyperlink" Target="https://unsplash.com/photos/Pe9IXUuC6QU" TargetMode="External" Id="rId264" /><Relationship Type="http://schemas.openxmlformats.org/officeDocument/2006/relationships/hyperlink" Target="https://www.instagram.com/luxury_beauty_aestheticz/" TargetMode="External" Id="rId265" /><Relationship Type="http://schemas.openxmlformats.org/officeDocument/2006/relationships/hyperlink" Target="https://github.com/RepoKing23/InstagramCarousel/tree/claude/med-spa-carousel-ideas-sim9wz/content/gbp" TargetMode="External" Id="rId266" /><Relationship Type="http://schemas.openxmlformats.org/officeDocument/2006/relationships/hyperlink" Target="https://raw.githubusercontent.com/RepoKing23/InstagramCarousel/claude/med-spa-carousel-ideas-sim9wz/content/gbp/2026-10-24-client-words-lips.jpg" TargetMode="External" Id="rId267" /><Relationship Type="http://schemas.openxmlformats.org/officeDocument/2006/relationships/hyperlink" Target="https://unsplash.com/photos/0YT1p3lEPTg" TargetMode="External" Id="rId268" /><Relationship Type="http://schemas.openxmlformats.org/officeDocument/2006/relationships/hyperlink" Target="https://www.instagram.com/luxury_beauty_aestheticz/" TargetMode="External" Id="rId269" /><Relationship Type="http://schemas.openxmlformats.org/officeDocument/2006/relationships/hyperlink" Target="https://github.com/RepoKing23/InstagramCarousel/tree/claude/med-spa-carousel-ideas-sim9wz/content/gbp" TargetMode="External" Id="rId270" /><Relationship Type="http://schemas.openxmlformats.org/officeDocument/2006/relationships/hyperlink" Target="https://raw.githubusercontent.com/RepoKing23/InstagramCarousel/claude/med-spa-carousel-ideas-sim9wz/content/gbp/2026-10-25-how-to-book-filler.jpg" TargetMode="External" Id="rId271" /><Relationship Type="http://schemas.openxmlformats.org/officeDocument/2006/relationships/hyperlink" Target="https://unsplash.com/photos/TQSPgNqeCo8" TargetMode="External" Id="rId272" /><Relationship Type="http://schemas.openxmlformats.org/officeDocument/2006/relationships/hyperlink" Target="https://www.instagram.com/luxury_beauty_aestheticz/" TargetMode="External" Id="rId273" /><Relationship Type="http://schemas.openxmlformats.org/officeDocument/2006/relationships/hyperlink" Target="https://github.com/RepoKing23/InstagramCarousel/tree/claude/med-spa-carousel-ideas-sim9wz/content/gbp" TargetMode="External" Id="rId274" /><Relationship Type="http://schemas.openxmlformats.org/officeDocument/2006/relationships/hyperlink" Target="https://raw.githubusercontent.com/RepoKing23/InstagramCarousel/claude/med-spa-carousel-ideas-sim9wz/content/gbp/2026-10-26-five-filler-lies.jpg" TargetMode="External" Id="rId275" /><Relationship Type="http://schemas.openxmlformats.org/officeDocument/2006/relationships/hyperlink" Target="https://unsplash.com/photos/PqyzuzFiQfY" TargetMode="External" Id="rId276" /><Relationship Type="http://schemas.openxmlformats.org/officeDocument/2006/relationships/hyperlink" Target="https://www.instagram.com/luxury_beauty_aestheticz/" TargetMode="External" Id="rId277" /><Relationship Type="http://schemas.openxmlformats.org/officeDocument/2006/relationships/hyperlink" Target="https://github.com/RepoKing23/InstagramCarousel/tree/claude/med-spa-carousel-ideas-sim9wz/content/gbp" TargetMode="External" Id="rId278" /><Relationship Type="http://schemas.openxmlformats.org/officeDocument/2006/relationships/hyperlink" Target="https://raw.githubusercontent.com/RepoKing23/InstagramCarousel/claude/med-spa-carousel-ideas-sim9wz/content/gbp/2026-10-27-myth-vs-truth-filler.jpg" TargetMode="External" Id="rId279" /><Relationship Type="http://schemas.openxmlformats.org/officeDocument/2006/relationships/hyperlink" Target="https://unsplash.com/photos/16mHHrY3PUk" TargetMode="External" Id="rId280" /><Relationship Type="http://schemas.openxmlformats.org/officeDocument/2006/relationships/hyperlink" Target="https://www.instagram.com/luxury_beauty_aestheticz/" TargetMode="External" Id="rId281" /><Relationship Type="http://schemas.openxmlformats.org/officeDocument/2006/relationships/hyperlink" Target="https://github.com/RepoKing23/InstagramCarousel/tree/claude/med-spa-carousel-ideas-sim9wz/content/gbp" TargetMode="External" Id="rId282" /><Relationship Type="http://schemas.openxmlformats.org/officeDocument/2006/relationships/hyperlink" Target="https://raw.githubusercontent.com/RepoKing23/InstagramCarousel/claude/med-spa-carousel-ideas-sim9wz/content/gbp/2026-10-28-priced-by-the-syringe.jpg" TargetMode="External" Id="rId283" /><Relationship Type="http://schemas.openxmlformats.org/officeDocument/2006/relationships/hyperlink" Target="https://unsplash.com/photos/q2csrSPGM_k" TargetMode="External" Id="rId284" /><Relationship Type="http://schemas.openxmlformats.org/officeDocument/2006/relationships/hyperlink" Target="https://www.instagram.com/luxury_beauty_aestheticz/" TargetMode="External" Id="rId285" /><Relationship Type="http://schemas.openxmlformats.org/officeDocument/2006/relationships/hyperlink" Target="https://github.com/RepoKing23/InstagramCarousel/tree/claude/med-spa-carousel-ideas-sim9wz/content/gbp" TargetMode="External" Id="rId286" /><Relationship Type="http://schemas.openxmlformats.org/officeDocument/2006/relationships/hyperlink" Target="https://raw.githubusercontent.com/RepoKing23/InstagramCarousel/claude/med-spa-carousel-ideas-sim9wz/content/gbp/2026-10-29-faces-not-lines.jpg" TargetMode="External" Id="rId287" /><Relationship Type="http://schemas.openxmlformats.org/officeDocument/2006/relationships/hyperlink" Target="https://unsplash.com/photos/XGv1wuuNvYU" TargetMode="External" Id="rId288" /><Relationship Type="http://schemas.openxmlformats.org/officeDocument/2006/relationships/hyperlink" Target="https://www.instagram.com/luxury_beauty_aestheticz/" TargetMode="External" Id="rId289" /><Relationship Type="http://schemas.openxmlformats.org/officeDocument/2006/relationships/hyperlink" Target="https://github.com/RepoKing23/InstagramCarousel/tree/claude/med-spa-carousel-ideas-sim9wz/content/gbp" TargetMode="External" Id="rId290" /><Relationship Type="http://schemas.openxmlformats.org/officeDocument/2006/relationships/hyperlink" Target="https://raw.githubusercontent.com/RepoKing23/InstagramCarousel/claude/med-spa-carousel-ideas-sim9wz/content/gbp/2026-10-30-one-syringe-balanced-lips.jpg" TargetMode="External" Id="rId291" /><Relationship Type="http://schemas.openxmlformats.org/officeDocument/2006/relationships/hyperlink" Target="https://unsplash.com/photos/w6zVwAYoqWM" TargetMode="External" Id="rId292" /><Relationship Type="http://schemas.openxmlformats.org/officeDocument/2006/relationships/hyperlink" Target="https://www.instagram.com/luxury_beauty_aestheticz/" TargetMode="External" Id="rId293" /><Relationship Type="http://schemas.openxmlformats.org/officeDocument/2006/relationships/hyperlink" Target="https://github.com/RepoKing23/InstagramCarousel/tree/claude/med-spa-carousel-ideas-sim9wz/content/gbp" TargetMode="External" Id="rId294" /><Relationship Type="http://schemas.openxmlformats.org/officeDocument/2006/relationships/hyperlink" Target="https://raw.githubusercontent.com/RepoKing23/InstagramCarousel/claude/med-spa-carousel-ideas-sim9wz/content/gbp/2026-10-31-ask-anything-filler.jpg" TargetMode="External" Id="rId295" /><Relationship Type="http://schemas.openxmlformats.org/officeDocument/2006/relationships/hyperlink" Target="https://unsplash.com/photos/-FT1IVUnUd8" TargetMode="External" Id="rId296" /></Relationships>
</file>

<file path=xl/worksheets/sheet1.xml><?xml version="1.0" encoding="utf-8"?>
<worksheet xmlns="http://schemas.openxmlformats.org/spreadsheetml/2006/main">
  <sheetPr>
    <tabColor rgb="002E2A23"/>
    <outlinePr summaryBelow="1" summaryRight="1"/>
    <pageSetUpPr/>
  </sheetPr>
  <dimension ref="A1:C56"/>
  <sheetViews>
    <sheetView showGridLines="0" workbookViewId="0">
      <selection activeCell="A1" sqref="A1"/>
    </sheetView>
  </sheetViews>
  <sheetFormatPr baseColWidth="8" defaultRowHeight="15"/>
  <cols>
    <col width="3" customWidth="1" style="14" min="1" max="1"/>
    <col width="26" customWidth="1" style="14" min="2" max="2"/>
    <col width="104" customWidth="1" style="14" min="3" max="3"/>
  </cols>
  <sheetData>
    <row r="1" s="14">
      <c r="A1" s="57" t="n"/>
      <c r="B1" s="57" t="n"/>
      <c r="C1" s="57" t="n"/>
    </row>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48" t="inlineStr">
        <is>
          <t>Every day</t>
        </is>
      </c>
      <c r="C23" s="49" t="inlineStr">
        <is>
          <t>Google Business Profile also posts on Wednesday and Sunday, when Instagram does not. Those days are evergreen and live on the GBP Daily tab.</t>
        </is>
      </c>
    </row>
    <row r="24">
      <c r="B24" s="48" t="inlineStr">
        <is>
          <t>GBP Daily tab</t>
        </is>
      </c>
      <c r="C24" s="49" t="inlineStr">
        <is>
          <t>One row per day, Aug 19 to Sep 30. Image, post text and the Learn more link, ready to paste. Shaded rows are the GBP only days. Full plan in strategy/gbp-daily-plan.md.</t>
        </is>
      </c>
    </row>
    <row r="25">
      <c r="B25" s="22" t="inlineStr">
        <is>
          <t>4. Post</t>
        </is>
      </c>
      <c r="C25" s="24" t="inlineStr">
        <is>
          <t>Instagram gets the caption and hashtags. GBP gets the GBP caption, the GBP image, and a button pointed at the Instagram profile.</t>
        </is>
      </c>
    </row>
    <row r="26">
      <c r="B26" s="22" t="inlineStr">
        <is>
          <t>5. Track</t>
        </is>
      </c>
      <c r="C26" s="24" t="inlineStr">
        <is>
          <t>Move Status as each post progresses: Idea, Design, Ready, Posted. Hold means blocked, see the row notes.</t>
        </is>
      </c>
    </row>
    <row r="27">
      <c r="B27" s="22" t="inlineStr">
        <is>
          <t>6. Measure</t>
        </is>
      </c>
      <c r="C27" s="24" t="inlineStr">
        <is>
          <t>After 48 hours fill Reach, Saves, Comments, DMs, Bookings from IG Insights. Saves and DMs are the numbers that matter.</t>
        </is>
      </c>
    </row>
    <row r="28">
      <c r="B28" s="22" t="inlineStr">
        <is>
          <t>7. Repeat</t>
        </is>
      </c>
      <c r="C28" s="24" t="inlineStr">
        <is>
          <t>Anything with high saves or DMs becomes next month’s sequel.</t>
        </is>
      </c>
    </row>
    <row r="30">
      <c r="B30" s="37" t="inlineStr">
        <is>
          <t>HOUSE RULES</t>
        </is>
      </c>
      <c r="C30" s="38" t="n"/>
    </row>
    <row r="31">
      <c r="B31" s="22" t="inlineStr">
        <is>
          <t>Client photos</t>
        </is>
      </c>
      <c r="C31" s="24" t="inlineStr">
        <is>
          <t>Written consent on file before anything is posted. Every photo is cropped to the treatment area: no eyes, brows, tattoos or jewellery. Always add "individual results vary". Never boost before and after posts on IG or TikTok; organic only.</t>
        </is>
      </c>
    </row>
    <row r="32">
      <c r="B32" s="22" t="inlineStr">
        <is>
          <t>Grid tone</t>
        </is>
      </c>
      <c r="C32" s="24" t="inlineStr">
        <is>
          <t>The profile grid runs three tiles per row, newest first. Keep exactly one Dark or Photo-dark tile per row and never let two Dark tiles touch. The Tone column tracks this; re-check it whenever a date moves.</t>
        </is>
      </c>
    </row>
    <row r="33">
      <c r="B33" s="22" t="inlineStr">
        <is>
          <t>GBP</t>
        </is>
      </c>
      <c r="C33" s="24" t="inlineStr">
        <is>
          <t>No hashtags on GBP, they do not work there. The offer goes in the first 80 characters. Images are 1200x900 with everything inside the centre 900x900 square, because Maps crops to a square.</t>
        </is>
      </c>
    </row>
    <row r="34">
      <c r="B34" s="22" t="inlineStr">
        <is>
          <t>Hashtags</t>
        </is>
      </c>
      <c r="C34" s="24" t="inlineStr">
        <is>
          <t>Every set leads with local tags (Oakville, Burlington, Milton, Mississauga, Halton). Location plus service is the highest-intent combination. Sets live on the Hashtag Sets tab.</t>
        </is>
      </c>
    </row>
    <row r="35">
      <c r="B35" s="22" t="inlineStr">
        <is>
          <t>Voice</t>
        </is>
      </c>
      <c r="C35" s="24" t="inlineStr">
        <is>
          <t>Plain, direct, first person. No em dashes, no sparkle emoji, no borrowed captions. If a line sounds like a template, rewrite it.</t>
        </is>
      </c>
    </row>
    <row r="36">
      <c r="B36" s="22" t="inlineStr">
        <is>
          <t>Compliance</t>
        </is>
      </c>
      <c r="C36"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8">
      <c r="B38" s="37" t="inlineStr">
        <is>
          <t>STATUS SNAPSHOT</t>
        </is>
      </c>
      <c r="C38" s="38" t="n"/>
    </row>
    <row r="39">
      <c r="B39" s="22" t="inlineStr">
        <is>
          <t>Posts planned</t>
        </is>
      </c>
      <c r="C39" s="24">
        <f>COUNTA('Posting Schedule'!A2:A66)</f>
        <v/>
      </c>
    </row>
    <row r="40">
      <c r="B40" s="22" t="inlineStr">
        <is>
          <t>Ideas</t>
        </is>
      </c>
      <c r="C40" s="24">
        <f>COUNTIF('Posting Schedule'!S2:S66,"Idea")</f>
        <v/>
      </c>
    </row>
    <row r="41">
      <c r="B41" s="22" t="inlineStr">
        <is>
          <t>In design</t>
        </is>
      </c>
      <c r="C41" s="24">
        <f>COUNTIF('Posting Schedule'!S2:S66,"Design")</f>
        <v/>
      </c>
    </row>
    <row r="42">
      <c r="B42" s="22" t="inlineStr">
        <is>
          <t>Ready to post</t>
        </is>
      </c>
      <c r="C42" s="24">
        <f>COUNTIF('Posting Schedule'!S2:S66,"Ready")</f>
        <v/>
      </c>
    </row>
    <row r="43">
      <c r="B43" s="22" t="inlineStr">
        <is>
          <t>Posted</t>
        </is>
      </c>
      <c r="C43" s="24">
        <f>COUNTIF('Posting Schedule'!S2:S66,"Posted")</f>
        <v/>
      </c>
    </row>
    <row r="45">
      <c r="B45" s="22" t="inlineStr">
        <is>
          <t>Google Sheets</t>
        </is>
      </c>
      <c r="C45" s="24" t="inlineStr">
        <is>
          <t>drive.google.com &gt; New &gt; File upload &gt; pick this file &gt; open with Google Sheets. Preview thumbnails and links work there.</t>
        </is>
      </c>
    </row>
    <row r="47">
      <c r="B47" s="56" t="inlineStr">
        <is>
          <t>GBP DAILY SNAPSHOT</t>
        </is>
      </c>
      <c r="C47" s="49" t="inlineStr"/>
    </row>
    <row r="48">
      <c r="B48" s="56" t="inlineStr">
        <is>
          <t>Daily posts planned</t>
        </is>
      </c>
      <c r="C48" s="49">
        <f>COUNTA('GBP Daily'!A2:A44)</f>
        <v/>
      </c>
    </row>
    <row r="49">
      <c r="B49" s="56" t="inlineStr">
        <is>
          <t>Ready to post</t>
        </is>
      </c>
      <c r="C49" s="49">
        <f>COUNTIF('GBP Daily'!P2:P44,"Ready")</f>
        <v/>
      </c>
    </row>
    <row r="50">
      <c r="B50" s="56" t="inlineStr">
        <is>
          <t>Posted</t>
        </is>
      </c>
      <c r="C50" s="49">
        <f>COUNTIF('GBP Daily'!P2:P44,"Posted")</f>
        <v/>
      </c>
    </row>
    <row r="52">
      <c r="B52" s="56" t="inlineStr">
        <is>
          <t>READING THIS FILE</t>
        </is>
      </c>
      <c r="C52" s="49" t="inlineStr"/>
    </row>
    <row r="53">
      <c r="B53" s="56" t="inlineStr">
        <is>
          <t>Shaded cells</t>
        </is>
      </c>
      <c r="C53" s="49" t="inlineStr">
        <is>
          <t>The cream shaded columns are yours to fill in: Status, Posted Link, Reach, Saves, Comments, DMs, Bookings on the schedule, and Status and Notes on GBP Daily. Everything else is generated.</t>
        </is>
      </c>
    </row>
    <row r="54">
      <c r="B54" s="56" t="inlineStr">
        <is>
          <t>Which tab wins</t>
        </is>
      </c>
      <c r="C54" s="49" t="inlineStr">
        <is>
          <t>GBP Daily is the source of truth for Google Business Profile from Aug 19 to Sep 30, one post every day. The GBP Caption, GBP CTA and GBP Image Link columns on Posting Schedule cover the Instagram posting days only, and run past Sep 30 where GBP Daily stops.</t>
        </is>
      </c>
    </row>
    <row r="55">
      <c r="B55" s="56" t="inlineStr">
        <is>
          <t>Preview column</t>
        </is>
      </c>
      <c r="C55" s="49" t="inlineStr">
        <is>
          <t>Preview uses IMAGE(), which is a Google Sheets function. It shows a live thumbnail there and an error in Excel. Open Folder, Open Image and every other link work in both.</t>
        </is>
      </c>
    </row>
    <row r="56">
      <c r="B56" s="56" t="inlineStr">
        <is>
          <t>Regenerating</t>
        </is>
      </c>
      <c r="C56" s="49" t="inlineStr">
        <is>
          <t>GBP Daily is rebuilt by design/build-gbp-daily.py from strategy/gbp-daily-content.json. Run strategy/organize-workbook.py afterwards to restore this formatting. Status and Notes survive a rebuild, matched by date; other edits to that tab do not.</t>
        </is>
      </c>
    </row>
  </sheetData>
  <pageMargins left="0.75" right="0.75" top="1" bottom="1" header="0.5" footer="0.5"/>
</worksheet>
</file>

<file path=xl/worksheets/sheet2.xml><?xml version="1.0" encoding="utf-8"?>
<worksheet xmlns="http://schemas.openxmlformats.org/spreadsheetml/2006/main">
  <sheetPr filterMode="0">
    <tabColor rgb="00C9A85C"/>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30" customHeight="1" s="14">
      <c r="A1" s="53" t="inlineStr">
        <is>
          <t>Date</t>
        </is>
      </c>
      <c r="B1" s="53" t="inlineStr">
        <is>
          <t>Day</t>
        </is>
      </c>
      <c r="C1" s="53" t="inlineStr">
        <is>
          <t>Week</t>
        </is>
      </c>
      <c r="D1" s="53" t="inlineStr">
        <is>
          <t>Month Theme</t>
        </is>
      </c>
      <c r="E1" s="53" t="inlineStr">
        <is>
          <t>Format</t>
        </is>
      </c>
      <c r="F1" s="52" t="inlineStr">
        <is>
          <t>Tone</t>
        </is>
      </c>
      <c r="G1" s="53" t="inlineStr">
        <is>
          <t>Platforms</t>
        </is>
      </c>
      <c r="H1" s="53" t="inlineStr">
        <is>
          <t>Pillar</t>
        </is>
      </c>
      <c r="I1" s="53" t="inlineStr">
        <is>
          <t>Topic &amp; Hook</t>
        </is>
      </c>
      <c r="J1" s="53" t="inlineStr">
        <is>
          <t>Caption Draft</t>
        </is>
      </c>
      <c r="K1" s="53" t="inlineStr">
        <is>
          <t>CTA</t>
        </is>
      </c>
      <c r="L1" s="53" t="inlineStr">
        <is>
          <t>Hashtag Set</t>
        </is>
      </c>
      <c r="M1" s="53" t="inlineStr">
        <is>
          <t>Visual / Asset</t>
        </is>
      </c>
      <c r="N1" s="52" t="inlineStr">
        <is>
          <t>Photo Assets</t>
        </is>
      </c>
      <c r="O1" s="52" t="inlineStr">
        <is>
          <t>Consent</t>
        </is>
      </c>
      <c r="P1" s="53" t="inlineStr">
        <is>
          <t>Folder Link</t>
        </is>
      </c>
      <c r="Q1" s="52" t="inlineStr">
        <is>
          <t>Image Link</t>
        </is>
      </c>
      <c r="R1" s="52" t="inlineStr">
        <is>
          <t>Preview</t>
        </is>
      </c>
      <c r="S1" s="53" t="inlineStr">
        <is>
          <t>Status</t>
        </is>
      </c>
      <c r="T1" s="53" t="inlineStr">
        <is>
          <t>Posted Link</t>
        </is>
      </c>
      <c r="U1" s="53" t="inlineStr">
        <is>
          <t>Reach</t>
        </is>
      </c>
      <c r="V1" s="53" t="inlineStr">
        <is>
          <t>Saves</t>
        </is>
      </c>
      <c r="W1" s="53" t="inlineStr">
        <is>
          <t>Comments</t>
        </is>
      </c>
      <c r="X1" s="53" t="inlineStr">
        <is>
          <t>DMs</t>
        </is>
      </c>
      <c r="Y1" s="53" t="inlineStr">
        <is>
          <t>Bookings</t>
        </is>
      </c>
      <c r="Z1" s="52" t="inlineStr">
        <is>
          <t>GBP Caption</t>
        </is>
      </c>
      <c r="AA1" s="52" t="inlineStr">
        <is>
          <t>GBP CTA</t>
        </is>
      </c>
      <c r="AB1" s="52"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https://github.com/RepoKing23/InstagramCarousel/tree/claude/med-spa-carousel-ideas-sim9wz/content/2026-08-17-5-botox-lies-you-still</t>
        </is>
      </c>
      <c r="P2" s="32" t="inlineStr">
        <is>
          <t>Open folder</t>
        </is>
      </c>
      <c r="Q2" s="33" t="inlineStr">
        <is>
          <t>View 8 slides (jpg)</t>
        </is>
      </c>
      <c r="R2" s="24">
        <f>IMAGE("https://raw.githubusercontent.com/RepoKing23/InstagramCarousel/claude/med-spa-carousel-ideas-sim9wz/content/2026-08-17-5-botox-lies-you-still/images/slide-1.jpg")</f>
        <v/>
      </c>
      <c r="S2" s="28" t="inlineStr">
        <is>
          <t>Ready</t>
        </is>
      </c>
      <c r="T2" s="54" t="n"/>
      <c r="U2" s="54" t="n"/>
      <c r="V2" s="54" t="n"/>
      <c r="W2" s="54" t="n"/>
      <c r="X2" s="54" t="n"/>
      <c r="Y2" s="54" t="n"/>
      <c r="Z2" s="24" t="n"/>
      <c r="AA2" s="24" t="inlineStr">
        <is>
          <t>Learn more &gt; Instagram</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https://github.com/RepoKing23/InstagramCarousel/tree/claude/med-spa-carousel-ideas-sim9wz/content/2026-08-18-service-spotlight-botox</t>
        </is>
      </c>
      <c r="P3" s="34" t="inlineStr">
        <is>
          <t>Open folder</t>
        </is>
      </c>
      <c r="Q3" s="33" t="inlineStr">
        <is>
          <t>View image (jpg)</t>
        </is>
      </c>
      <c r="R3" s="24">
        <f>IMAGE("https://raw.githubusercontent.com/RepoKing23/InstagramCarousel/claude/med-spa-carousel-ideas-sim9wz/content/2026-08-18-service-spotlight-botox/images/post.jpg")</f>
        <v/>
      </c>
      <c r="S3" s="30" t="inlineStr">
        <is>
          <t>Ready</t>
        </is>
      </c>
      <c r="T3" s="54" t="n"/>
      <c r="U3" s="54" t="n"/>
      <c r="V3" s="54" t="n"/>
      <c r="W3" s="54" t="n"/>
      <c r="X3" s="54" t="n"/>
      <c r="Y3" s="54" t="n"/>
      <c r="Z3" s="24" t="n"/>
      <c r="AA3" s="24" t="inlineStr">
        <is>
          <t>Learn more &gt; Instagram</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https://github.com/RepoKing23/InstagramCarousel/tree/claude/med-spa-carousel-ideas-sim9wz/content/2026-08-20-5-red-flags-at-a</t>
        </is>
      </c>
      <c r="P4" s="32" t="inlineStr">
        <is>
          <t>Open folder</t>
        </is>
      </c>
      <c r="Q4" s="33" t="inlineStr">
        <is>
          <t>View 7 slides (jpg)</t>
        </is>
      </c>
      <c r="R4" s="24">
        <f>IMAGE("https://raw.githubusercontent.com/RepoKing23/InstagramCarousel/claude/med-spa-carousel-ideas-sim9wz/content/2026-08-20-5-red-flags-at-a/images/slide-1.jpg")</f>
        <v/>
      </c>
      <c r="S4" s="28" t="inlineStr">
        <is>
          <t>Ready</t>
        </is>
      </c>
      <c r="T4" s="54" t="n"/>
      <c r="U4" s="54" t="n"/>
      <c r="V4" s="54" t="n"/>
      <c r="W4" s="54" t="n"/>
      <c r="X4" s="54" t="n"/>
      <c r="Y4" s="54"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https://github.com/RepoKing23/InstagramCarousel/tree/claude/med-spa-carousel-ideas-sim9wz/content/2026-08-21-behind-the-scenes-the-prep</t>
        </is>
      </c>
      <c r="P5" s="34" t="inlineStr">
        <is>
          <t>Open folder</t>
        </is>
      </c>
      <c r="Q5" s="33" t="inlineStr">
        <is>
          <t>View image (jpg)</t>
        </is>
      </c>
      <c r="R5" s="24">
        <f>IMAGE("https://raw.githubusercontent.com/RepoKing23/InstagramCarousel/claude/med-spa-carousel-ideas-sim9wz/content/2026-08-21-behind-the-scenes-the-prep/images/post.jpg")</f>
        <v/>
      </c>
      <c r="S5" s="30" t="inlineStr">
        <is>
          <t>Ready</t>
        </is>
      </c>
      <c r="T5" s="54" t="n"/>
      <c r="U5" s="54" t="n"/>
      <c r="V5" s="54" t="n"/>
      <c r="W5" s="54" t="n"/>
      <c r="X5" s="54" t="n"/>
      <c r="Y5" s="54"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IMAGE("https://raw.githubusercontent.com/RepoKing23/InstagramCarousel/claude/med-spa-carousel-ideas-sim9wz/content/2026-08-22-great-work-is-invisible/images/before-after-result.jpg")</f>
        <v/>
      </c>
      <c r="S6" s="30" t="inlineStr">
        <is>
          <t>Ready</t>
        </is>
      </c>
      <c r="T6" s="54" t="n"/>
      <c r="U6" s="54" t="n"/>
      <c r="V6" s="54" t="n"/>
      <c r="W6" s="54" t="n"/>
      <c r="X6" s="54" t="n"/>
      <c r="Y6" s="54"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https://github.com/RepoKing23/InstagramCarousel/tree/claude/med-spa-carousel-ideas-sim9wz/content/2026-08-24-your-first-visit-step-by</t>
        </is>
      </c>
      <c r="P7" s="32" t="inlineStr">
        <is>
          <t>Open folder</t>
        </is>
      </c>
      <c r="Q7" s="33" t="inlineStr">
        <is>
          <t>View 8 slides (jpg)</t>
        </is>
      </c>
      <c r="R7" s="24">
        <f>IMAGE("https://raw.githubusercontent.com/RepoKing23/InstagramCarousel/claude/med-spa-carousel-ideas-sim9wz/content/2026-08-24-your-first-visit-step-by/images/slide-1.jpg")</f>
        <v/>
      </c>
      <c r="S7" s="28" t="inlineStr">
        <is>
          <t>Ready</t>
        </is>
      </c>
      <c r="T7" s="54" t="n"/>
      <c r="U7" s="54" t="n"/>
      <c r="V7" s="54" t="n"/>
      <c r="W7" s="54" t="n"/>
      <c r="X7" s="54" t="n"/>
      <c r="Y7" s="54"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https://github.com/RepoKing23/InstagramCarousel/tree/claude/med-spa-carousel-ideas-sim9wz/content/2026-08-25-why-i-do-not-post</t>
        </is>
      </c>
      <c r="P8" s="34" t="inlineStr">
        <is>
          <t>Open folder</t>
        </is>
      </c>
      <c r="Q8" s="33" t="inlineStr">
        <is>
          <t>View image (jpg)</t>
        </is>
      </c>
      <c r="R8" s="24">
        <f>IMAGE("https://raw.githubusercontent.com/RepoKing23/InstagramCarousel/claude/med-spa-carousel-ideas-sim9wz/content/2026-08-25-why-i-do-not-post/images/post.jpg")</f>
        <v/>
      </c>
      <c r="S8" s="30" t="inlineStr">
        <is>
          <t>Ready</t>
        </is>
      </c>
      <c r="T8" s="54" t="n"/>
      <c r="U8" s="54" t="n"/>
      <c r="V8" s="54" t="n"/>
      <c r="W8" s="54" t="n"/>
      <c r="X8" s="54" t="n"/>
      <c r="Y8" s="54"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https://github.com/RepoKing23/InstagramCarousel/tree/claude/med-spa-carousel-ideas-sim9wz/content/2026-08-27-meet-np-cleo-the-face</t>
        </is>
      </c>
      <c r="P9" s="32" t="inlineStr">
        <is>
          <t>Open folder</t>
        </is>
      </c>
      <c r="Q9" s="33" t="inlineStr">
        <is>
          <t>View 5 slides (jpg)</t>
        </is>
      </c>
      <c r="R9" s="24">
        <f>IMAGE("https://raw.githubusercontent.com/RepoKing23/InstagramCarousel/claude/med-spa-carousel-ideas-sim9wz/content/2026-08-27-meet-np-cleo-the-face/images/slide-1.jpg")</f>
        <v/>
      </c>
      <c r="S9" s="28" t="inlineStr">
        <is>
          <t>Ready</t>
        </is>
      </c>
      <c r="T9" s="54" t="n"/>
      <c r="U9" s="54" t="n"/>
      <c r="V9" s="54" t="n"/>
      <c r="W9" s="54" t="n"/>
      <c r="X9" s="54" t="n"/>
      <c r="Y9" s="54"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https://github.com/RepoKing23/InstagramCarousel/tree/claude/med-spa-carousel-ideas-sim9wz/content/2026-08-28-welcome-to-the-treatment-room</t>
        </is>
      </c>
      <c r="P10" s="34" t="inlineStr">
        <is>
          <t>Open folder</t>
        </is>
      </c>
      <c r="Q10" s="33" t="inlineStr">
        <is>
          <t>View image (jpg)</t>
        </is>
      </c>
      <c r="R10" s="24">
        <f>IMAGE("https://raw.githubusercontent.com/RepoKing23/InstagramCarousel/claude/med-spa-carousel-ideas-sim9wz/content/2026-08-28-welcome-to-the-treatment-room/images/post.jpg")</f>
        <v/>
      </c>
      <c r="S10" s="30" t="inlineStr">
        <is>
          <t>Ready</t>
        </is>
      </c>
      <c r="T10" s="54" t="n"/>
      <c r="U10" s="54" t="n"/>
      <c r="V10" s="54" t="n"/>
      <c r="W10" s="54" t="n"/>
      <c r="X10" s="54" t="n"/>
      <c r="Y10" s="54"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https://github.com/RepoKing23/InstagramCarousel/tree/claude/med-spa-carousel-ideas-sim9wz/content/2026-08-29-this-or-that-rested-vs</t>
        </is>
      </c>
      <c r="P11" s="34" t="inlineStr">
        <is>
          <t>Open folder</t>
        </is>
      </c>
      <c r="Q11" s="33" t="inlineStr">
        <is>
          <t>View image (jpg)</t>
        </is>
      </c>
      <c r="R11" s="24">
        <f>IMAGE("https://raw.githubusercontent.com/RepoKing23/InstagramCarousel/claude/med-spa-carousel-ideas-sim9wz/content/2026-08-29-this-or-that-rested-vs/images/post.jpg")</f>
        <v/>
      </c>
      <c r="S11" s="30" t="inlineStr">
        <is>
          <t>Ready</t>
        </is>
      </c>
      <c r="T11" s="54" t="n"/>
      <c r="U11" s="54" t="n"/>
      <c r="V11" s="54" t="n"/>
      <c r="W11" s="54" t="n"/>
      <c r="X11" s="54" t="n"/>
      <c r="Y11" s="54"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https://github.com/RepoKing23/InstagramCarousel/tree/claude/med-spa-carousel-ideas-sim9wz/content/2026-08-31-preventative-botox-when-to-actually</t>
        </is>
      </c>
      <c r="P12" s="32" t="inlineStr">
        <is>
          <t>Open folder</t>
        </is>
      </c>
      <c r="Q12" s="33" t="inlineStr">
        <is>
          <t>View 7 slides (jpg)</t>
        </is>
      </c>
      <c r="R12" s="24">
        <f>IMAGE("https://raw.githubusercontent.com/RepoKing23/InstagramCarousel/claude/med-spa-carousel-ideas-sim9wz/content/2026-08-31-preventative-botox-when-to-actually/images/slide-1.jpg")</f>
        <v/>
      </c>
      <c r="S12" s="28" t="inlineStr">
        <is>
          <t>Ready</t>
        </is>
      </c>
      <c r="T12" s="54" t="n"/>
      <c r="U12" s="54" t="n"/>
      <c r="V12" s="54" t="n"/>
      <c r="W12" s="54" t="n"/>
      <c r="X12" s="54" t="n"/>
      <c r="Y12" s="54"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https://github.com/RepoKing23/InstagramCarousel/tree/claude/med-spa-carousel-ideas-sim9wz/content/2026-09-01-service-spotlight-preventative-botox</t>
        </is>
      </c>
      <c r="P13" s="34" t="inlineStr">
        <is>
          <t>Open folder</t>
        </is>
      </c>
      <c r="Q13" s="24" t="inlineStr">
        <is>
          <t>Not designed yet</t>
        </is>
      </c>
      <c r="R13" s="24" t="n"/>
      <c r="S13" s="30" t="inlineStr">
        <is>
          <t>Idea</t>
        </is>
      </c>
      <c r="T13" s="54" t="n"/>
      <c r="U13" s="54" t="n"/>
      <c r="V13" s="54" t="n"/>
      <c r="W13" s="54" t="n"/>
      <c r="X13" s="54" t="n"/>
      <c r="Y13" s="54"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https://github.com/RepoKing23/InstagramCarousel/tree/claude/med-spa-carousel-ideas-sim9wz/content/2026-09-03-what-20-units-actually-looks</t>
        </is>
      </c>
      <c r="P14" s="32" t="inlineStr">
        <is>
          <t>Open folder</t>
        </is>
      </c>
      <c r="Q14" s="24" t="inlineStr">
        <is>
          <t>Not designed yet</t>
        </is>
      </c>
      <c r="R14" s="24" t="n"/>
      <c r="S14" s="28" t="inlineStr">
        <is>
          <t>Idea</t>
        </is>
      </c>
      <c r="T14" s="54" t="n"/>
      <c r="U14" s="54" t="n"/>
      <c r="V14" s="54" t="n"/>
      <c r="W14" s="54" t="n"/>
      <c r="X14" s="54" t="n"/>
      <c r="Y14" s="54"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https://github.com/RepoKing23/InstagramCarousel/tree/claude/med-spa-carousel-ideas-sim9wz/content/2026-09-04-meet-your-injector</t>
        </is>
      </c>
      <c r="P15" s="34" t="inlineStr">
        <is>
          <t>Open folder</t>
        </is>
      </c>
      <c r="Q15" s="24" t="inlineStr">
        <is>
          <t>Not designed yet</t>
        </is>
      </c>
      <c r="R15" s="24" t="n"/>
      <c r="S15" s="30" t="inlineStr">
        <is>
          <t>Idea</t>
        </is>
      </c>
      <c r="T15" s="54" t="n"/>
      <c r="U15" s="54" t="n"/>
      <c r="V15" s="54" t="n"/>
      <c r="W15" s="54" t="n"/>
      <c r="X15" s="54" t="n"/>
      <c r="Y15" s="54"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https://github.com/RepoKing23/InstagramCarousel/tree/claude/med-spa-carousel-ideas-sim9wz/content/2026-09-05-quote-prevention-beats-erasing</t>
        </is>
      </c>
      <c r="P16" s="34" t="inlineStr">
        <is>
          <t>Open folder</t>
        </is>
      </c>
      <c r="Q16" s="24" t="inlineStr">
        <is>
          <t>Not designed yet</t>
        </is>
      </c>
      <c r="R16" s="24" t="n"/>
      <c r="S16" s="30" t="inlineStr">
        <is>
          <t>Idea</t>
        </is>
      </c>
      <c r="T16" s="54" t="n"/>
      <c r="U16" s="54" t="n"/>
      <c r="V16" s="54" t="n"/>
      <c r="W16" s="54" t="n"/>
      <c r="X16" s="54" t="n"/>
      <c r="Y16" s="54"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https://github.com/RepoKing23/InstagramCarousel/tree/claude/med-spa-carousel-ideas-sim9wz/content/2026-09-07-botox-vs-dysport-the-real</t>
        </is>
      </c>
      <c r="P17" s="32" t="inlineStr">
        <is>
          <t>Open folder</t>
        </is>
      </c>
      <c r="Q17" s="24" t="inlineStr">
        <is>
          <t>Not designed yet</t>
        </is>
      </c>
      <c r="R17" s="24" t="n"/>
      <c r="S17" s="28" t="inlineStr">
        <is>
          <t>Idea</t>
        </is>
      </c>
      <c r="T17" s="54" t="n"/>
      <c r="U17" s="54" t="n"/>
      <c r="V17" s="54" t="n"/>
      <c r="W17" s="54" t="n"/>
      <c r="X17" s="54" t="n"/>
      <c r="Y17" s="54"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https://github.com/RepoKing23/InstagramCarousel/tree/claude/med-spa-carousel-ideas-sim9wz/content/2026-09-08-botox-vs-dysport-at-a</t>
        </is>
      </c>
      <c r="P18" s="34" t="inlineStr">
        <is>
          <t>Open folder</t>
        </is>
      </c>
      <c r="Q18" s="24" t="inlineStr">
        <is>
          <t>Not designed yet</t>
        </is>
      </c>
      <c r="R18" s="24" t="n"/>
      <c r="S18" s="30" t="inlineStr">
        <is>
          <t>Idea</t>
        </is>
      </c>
      <c r="T18" s="54" t="n"/>
      <c r="U18" s="54" t="n"/>
      <c r="V18" s="54" t="n"/>
      <c r="W18" s="54" t="n"/>
      <c r="X18" s="54" t="n"/>
      <c r="Y18" s="54"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https://github.com/RepoKing23/InstagramCarousel/tree/claude/med-spa-carousel-ideas-sim9wz/content/2026-09-10-botox-aftercare-the-first-48</t>
        </is>
      </c>
      <c r="P19" s="32" t="inlineStr">
        <is>
          <t>Open folder</t>
        </is>
      </c>
      <c r="Q19" s="24" t="inlineStr">
        <is>
          <t>Not designed yet</t>
        </is>
      </c>
      <c r="R19" s="24" t="n"/>
      <c r="S19" s="28" t="inlineStr">
        <is>
          <t>Idea</t>
        </is>
      </c>
      <c r="T19" s="54" t="n"/>
      <c r="U19" s="54" t="n"/>
      <c r="V19" s="54" t="n"/>
      <c r="W19" s="54" t="n"/>
      <c r="X19" s="54" t="n"/>
      <c r="Y19" s="54"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https://github.com/RepoKing23/InstagramCarousel/tree/claude/med-spa-carousel-ideas-sim9wz/content/2026-09-11-the-face-map</t>
        </is>
      </c>
      <c r="P20" s="34" t="inlineStr">
        <is>
          <t>Open folder</t>
        </is>
      </c>
      <c r="Q20" s="24" t="inlineStr">
        <is>
          <t>Not designed yet</t>
        </is>
      </c>
      <c r="R20" s="24" t="n"/>
      <c r="S20" s="30" t="inlineStr">
        <is>
          <t>Idea</t>
        </is>
      </c>
      <c r="T20" s="54" t="n"/>
      <c r="U20" s="54" t="n"/>
      <c r="V20" s="54" t="n"/>
      <c r="W20" s="54" t="n"/>
      <c r="X20" s="54" t="n"/>
      <c r="Y20" s="54"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https://github.com/RepoKing23/InstagramCarousel/tree/claude/med-spa-carousel-ideas-sim9wz/content/2026-09-12-faq-does-botox-hurt</t>
        </is>
      </c>
      <c r="P21" s="34" t="inlineStr">
        <is>
          <t>Open folder</t>
        </is>
      </c>
      <c r="Q21" s="24" t="inlineStr">
        <is>
          <t>Not designed yet</t>
        </is>
      </c>
      <c r="R21" s="24" t="n"/>
      <c r="S21" s="30" t="inlineStr">
        <is>
          <t>Idea</t>
        </is>
      </c>
      <c r="T21" s="54" t="n"/>
      <c r="U21" s="54" t="n"/>
      <c r="V21" s="54" t="n"/>
      <c r="W21" s="54" t="n"/>
      <c r="X21" s="54" t="n"/>
      <c r="Y21" s="54"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https://github.com/RepoKing23/InstagramCarousel/tree/claude/med-spa-carousel-ideas-sim9wz/content/2026-09-14-5-things-botox-can-t</t>
        </is>
      </c>
      <c r="P22" s="32" t="inlineStr">
        <is>
          <t>Open folder</t>
        </is>
      </c>
      <c r="Q22" s="24" t="inlineStr">
        <is>
          <t>Not designed yet</t>
        </is>
      </c>
      <c r="R22" s="24" t="n"/>
      <c r="S22" s="28" t="inlineStr">
        <is>
          <t>Idea</t>
        </is>
      </c>
      <c r="T22" s="54" t="n"/>
      <c r="U22" s="54" t="n"/>
      <c r="V22" s="54" t="n"/>
      <c r="W22" s="54" t="n"/>
      <c r="X22" s="54" t="n"/>
      <c r="Y22" s="54"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https://github.com/RepoKing23/InstagramCarousel/tree/claude/med-spa-carousel-ideas-sim9wz/content/2026-09-15-what-botox-can-t-fix</t>
        </is>
      </c>
      <c r="P23" s="34" t="inlineStr">
        <is>
          <t>Open folder</t>
        </is>
      </c>
      <c r="Q23" s="24" t="inlineStr">
        <is>
          <t>Not designed yet</t>
        </is>
      </c>
      <c r="R23" s="24" t="n"/>
      <c r="S23" s="30" t="inlineStr">
        <is>
          <t>Idea</t>
        </is>
      </c>
      <c r="T23" s="54" t="n"/>
      <c r="U23" s="54" t="n"/>
      <c r="V23" s="54" t="n"/>
      <c r="W23" s="54" t="n"/>
      <c r="X23" s="54" t="n"/>
      <c r="Y23" s="54"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https://github.com/RepoKing23/InstagramCarousel/tree/claude/med-spa-carousel-ideas-sim9wz/content/2026-09-17-still-you-just-refreshed</t>
        </is>
      </c>
      <c r="P24" s="32" t="inlineStr">
        <is>
          <t>Open folder</t>
        </is>
      </c>
      <c r="Q24" s="24" t="inlineStr">
        <is>
          <t>Not designed yet</t>
        </is>
      </c>
      <c r="R24" s="24" t="n"/>
      <c r="S24" s="28" t="inlineStr">
        <is>
          <t>Idea</t>
        </is>
      </c>
      <c r="T24" s="54" t="n"/>
      <c r="U24" s="54" t="n"/>
      <c r="V24" s="54" t="n"/>
      <c r="W24" s="54" t="n"/>
      <c r="X24" s="54" t="n"/>
      <c r="Y24" s="54"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https://github.com/RepoKing23/InstagramCarousel/tree/claude/med-spa-carousel-ideas-sim9wz/content/2026-09-18-myth-vs-truth-the-frozen</t>
        </is>
      </c>
      <c r="P25" s="34" t="inlineStr">
        <is>
          <t>Open folder</t>
        </is>
      </c>
      <c r="Q25" s="24" t="inlineStr">
        <is>
          <t>Not designed yet</t>
        </is>
      </c>
      <c r="R25" s="24" t="n"/>
      <c r="S25" s="30" t="inlineStr">
        <is>
          <t>Idea</t>
        </is>
      </c>
      <c r="T25" s="54" t="n"/>
      <c r="U25" s="54" t="n"/>
      <c r="V25" s="54" t="n"/>
      <c r="W25" s="54" t="n"/>
      <c r="X25" s="54" t="n"/>
      <c r="Y25" s="54"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https://github.com/RepoKing23/InstagramCarousel/tree/claude/med-spa-carousel-ideas-sim9wz/content/2026-09-19-client-words-natural-results</t>
        </is>
      </c>
      <c r="P26" s="34" t="inlineStr">
        <is>
          <t>Open folder</t>
        </is>
      </c>
      <c r="Q26" s="24" t="inlineStr">
        <is>
          <t>Not designed yet</t>
        </is>
      </c>
      <c r="R26" s="24" t="n"/>
      <c r="S26" s="30" t="inlineStr">
        <is>
          <t>Idea</t>
        </is>
      </c>
      <c r="T26" s="54" t="n"/>
      <c r="U26" s="54" t="n"/>
      <c r="V26" s="54" t="n"/>
      <c r="W26" s="54" t="n"/>
      <c r="X26" s="54" t="n"/>
      <c r="Y26" s="54"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https://github.com/RepoKing23/InstagramCarousel/tree/claude/med-spa-carousel-ideas-sim9wz/content/2026-09-21-botox-or-filler-you-might</t>
        </is>
      </c>
      <c r="P27" s="32" t="inlineStr">
        <is>
          <t>Open folder</t>
        </is>
      </c>
      <c r="Q27" s="24" t="inlineStr">
        <is>
          <t>Not designed yet</t>
        </is>
      </c>
      <c r="R27" s="24" t="n"/>
      <c r="S27" s="28" t="inlineStr">
        <is>
          <t>Idea</t>
        </is>
      </c>
      <c r="T27" s="54" t="n"/>
      <c r="U27" s="54" t="n"/>
      <c r="V27" s="54" t="n"/>
      <c r="W27" s="54" t="n"/>
      <c r="X27" s="54" t="n"/>
      <c r="Y27" s="54"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https://github.com/RepoKing23/InstagramCarousel/tree/claude/med-spa-carousel-ideas-sim9wz/content/2026-09-22-lines-vs-volume</t>
        </is>
      </c>
      <c r="P28" s="34" t="inlineStr">
        <is>
          <t>Open folder</t>
        </is>
      </c>
      <c r="Q28" s="24" t="inlineStr">
        <is>
          <t>Not designed yet</t>
        </is>
      </c>
      <c r="R28" s="24" t="n"/>
      <c r="S28" s="30" t="inlineStr">
        <is>
          <t>Idea</t>
        </is>
      </c>
      <c r="T28" s="54" t="n"/>
      <c r="U28" s="54" t="n"/>
      <c r="V28" s="54" t="n"/>
      <c r="W28" s="54" t="n"/>
      <c r="X28" s="54" t="n"/>
      <c r="Y28" s="54"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https://github.com/RepoKing23/InstagramCarousel/tree/claude/med-spa-carousel-ideas-sim9wz/content/2026-09-24-ask-np-cleo-your-questions</t>
        </is>
      </c>
      <c r="P29" s="32" t="inlineStr">
        <is>
          <t>Open folder</t>
        </is>
      </c>
      <c r="Q29" s="24" t="inlineStr">
        <is>
          <t>Not designed yet</t>
        </is>
      </c>
      <c r="R29" s="24" t="n"/>
      <c r="S29" s="28" t="inlineStr">
        <is>
          <t>Idea</t>
        </is>
      </c>
      <c r="T29" s="54" t="n"/>
      <c r="U29" s="54" t="n"/>
      <c r="V29" s="54" t="n"/>
      <c r="W29" s="54" t="n"/>
      <c r="X29" s="54" t="n"/>
      <c r="Y29" s="54"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https://github.com/RepoKing23/InstagramCarousel/tree/claude/med-spa-carousel-ideas-sim9wz/content/2026-09-25-your-dms-answered</t>
        </is>
      </c>
      <c r="P30" s="34" t="inlineStr">
        <is>
          <t>Open folder</t>
        </is>
      </c>
      <c r="Q30" s="24" t="inlineStr">
        <is>
          <t>Not designed yet</t>
        </is>
      </c>
      <c r="R30" s="24" t="n"/>
      <c r="S30" s="30" t="inlineStr">
        <is>
          <t>Idea</t>
        </is>
      </c>
      <c r="T30" s="54" t="n"/>
      <c r="U30" s="54" t="n"/>
      <c r="V30" s="54" t="n"/>
      <c r="W30" s="54" t="n"/>
      <c r="X30" s="54" t="n"/>
      <c r="Y30" s="54"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https://github.com/RepoKing23/InstagramCarousel/tree/claude/med-spa-carousel-ideas-sim9wz/content/2026-09-26-poll-what-should-np-cleo</t>
        </is>
      </c>
      <c r="P31" s="34" t="inlineStr">
        <is>
          <t>Open folder</t>
        </is>
      </c>
      <c r="Q31" s="24" t="inlineStr">
        <is>
          <t>Not designed yet</t>
        </is>
      </c>
      <c r="R31" s="24" t="n"/>
      <c r="S31" s="30" t="inlineStr">
        <is>
          <t>Idea</t>
        </is>
      </c>
      <c r="T31" s="54" t="n"/>
      <c r="U31" s="54" t="n"/>
      <c r="V31" s="54" t="n"/>
      <c r="W31" s="54" t="n"/>
      <c r="X31" s="54" t="n"/>
      <c r="Y31" s="54"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https://github.com/RepoKing23/InstagramCarousel/tree/claude/med-spa-carousel-ideas-sim9wz/content/2026-09-28-how-long-does-botox-really</t>
        </is>
      </c>
      <c r="P32" s="32" t="inlineStr">
        <is>
          <t>Open folder</t>
        </is>
      </c>
      <c r="Q32" s="24" t="inlineStr">
        <is>
          <t>Not designed yet</t>
        </is>
      </c>
      <c r="R32" s="24" t="n"/>
      <c r="S32" s="28" t="inlineStr">
        <is>
          <t>Idea</t>
        </is>
      </c>
      <c r="T32" s="54" t="n"/>
      <c r="U32" s="54" t="n"/>
      <c r="V32" s="54" t="n"/>
      <c r="W32" s="54" t="n"/>
      <c r="X32" s="54" t="n"/>
      <c r="Y32" s="54"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https://github.com/RepoKing23/InstagramCarousel/tree/claude/med-spa-carousel-ideas-sim9wz/content/2026-09-29-the-3-month-botox-timeline</t>
        </is>
      </c>
      <c r="P33" s="34" t="inlineStr">
        <is>
          <t>Open folder</t>
        </is>
      </c>
      <c r="Q33" s="24" t="inlineStr">
        <is>
          <t>Not designed yet</t>
        </is>
      </c>
      <c r="R33" s="24" t="n"/>
      <c r="S33" s="30" t="inlineStr">
        <is>
          <t>Idea</t>
        </is>
      </c>
      <c r="T33" s="54" t="n"/>
      <c r="U33" s="54" t="n"/>
      <c r="V33" s="54" t="n"/>
      <c r="W33" s="54" t="n"/>
      <c r="X33" s="54" t="n"/>
      <c r="Y33" s="54"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https://github.com/RepoKing23/InstagramCarousel/tree/claude/med-spa-carousel-ideas-sim9wz/content/2026-10-01-why-we-sometimes-say-no</t>
        </is>
      </c>
      <c r="P34" s="32" t="inlineStr">
        <is>
          <t>Open folder</t>
        </is>
      </c>
      <c r="Q34" s="24" t="inlineStr">
        <is>
          <t>Not designed yet</t>
        </is>
      </c>
      <c r="R34" s="24" t="n"/>
      <c r="S34" s="28" t="inlineStr">
        <is>
          <t>Idea</t>
        </is>
      </c>
      <c r="T34" s="54" t="n"/>
      <c r="U34" s="54" t="n"/>
      <c r="V34" s="54" t="n"/>
      <c r="W34" s="54" t="n"/>
      <c r="X34" s="54" t="n"/>
      <c r="Y34" s="54"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https://github.com/RepoKing23/InstagramCarousel/tree/claude/med-spa-carousel-ideas-sim9wz/content/2026-10-02-what-i-tell-every-first</t>
        </is>
      </c>
      <c r="P35" s="34" t="inlineStr">
        <is>
          <t>Open folder</t>
        </is>
      </c>
      <c r="Q35" s="24" t="inlineStr">
        <is>
          <t>Not designed yet</t>
        </is>
      </c>
      <c r="R35" s="24" t="n"/>
      <c r="S35" s="30" t="inlineStr">
        <is>
          <t>Idea</t>
        </is>
      </c>
      <c r="T35" s="54" t="n"/>
      <c r="U35" s="54" t="n"/>
      <c r="V35" s="54" t="n"/>
      <c r="W35" s="54" t="n"/>
      <c r="X35" s="54" t="n"/>
      <c r="Y35" s="54"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https://github.com/RepoKing23/InstagramCarousel/tree/claude/med-spa-carousel-ideas-sim9wz/content/2026-10-03-quote-no-is-protection</t>
        </is>
      </c>
      <c r="P36" s="34" t="inlineStr">
        <is>
          <t>Open folder</t>
        </is>
      </c>
      <c r="Q36" s="24" t="inlineStr">
        <is>
          <t>Not designed yet</t>
        </is>
      </c>
      <c r="R36" s="24" t="n"/>
      <c r="S36" s="30" t="inlineStr">
        <is>
          <t>Idea</t>
        </is>
      </c>
      <c r="T36" s="54" t="n"/>
      <c r="U36" s="54" t="n"/>
      <c r="V36" s="54" t="n"/>
      <c r="W36" s="54" t="n"/>
      <c r="X36" s="54" t="n"/>
      <c r="Y36" s="54"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https://github.com/RepoKing23/InstagramCarousel/tree/claude/med-spa-carousel-ideas-sim9wz/content/2026-10-05-filler-won-t-make-you</t>
        </is>
      </c>
      <c r="P37" s="32" t="inlineStr">
        <is>
          <t>Open folder</t>
        </is>
      </c>
      <c r="Q37" s="24" t="inlineStr">
        <is>
          <t>Not designed yet</t>
        </is>
      </c>
      <c r="R37" s="24" t="n"/>
      <c r="S37" s="28" t="inlineStr">
        <is>
          <t>Idea</t>
        </is>
      </c>
      <c r="T37" s="54" t="n"/>
      <c r="U37" s="54" t="n"/>
      <c r="V37" s="54" t="n"/>
      <c r="W37" s="54" t="n"/>
      <c r="X37" s="54" t="n"/>
      <c r="Y37" s="54"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https://github.com/RepoKing23/InstagramCarousel/tree/claude/med-spa-carousel-ideas-sim9wz/content/2026-10-06-service-spotlight-dermal-filler</t>
        </is>
      </c>
      <c r="P38" s="34" t="inlineStr">
        <is>
          <t>Open folder</t>
        </is>
      </c>
      <c r="Q38" s="24" t="inlineStr">
        <is>
          <t>Not designed yet</t>
        </is>
      </c>
      <c r="R38" s="24" t="n"/>
      <c r="S38" s="30" t="inlineStr">
        <is>
          <t>Idea</t>
        </is>
      </c>
      <c r="T38" s="54" t="n"/>
      <c r="U38" s="54" t="n"/>
      <c r="V38" s="54" t="n"/>
      <c r="W38" s="54" t="n"/>
      <c r="X38" s="54" t="n"/>
      <c r="Y38" s="54"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IMAGE("https://raw.githubusercontent.com/RepoKing23/InstagramCarousel/claude/med-spa-carousel-ideas-sim9wz/content/2026-10-08-lip-filler-natural-vs-overdone/images/before-after-result.jpg")</f>
        <v/>
      </c>
      <c r="S39" s="28" t="inlineStr">
        <is>
          <t>Ready</t>
        </is>
      </c>
      <c r="T39" s="54" t="n"/>
      <c r="U39" s="54" t="n"/>
      <c r="V39" s="54" t="n"/>
      <c r="W39" s="54" t="n"/>
      <c r="X39" s="54" t="n"/>
      <c r="Y39" s="54"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https://github.com/RepoKing23/InstagramCarousel/tree/claude/med-spa-carousel-ideas-sim9wz/content/2026-10-09-inside-the-filler-appointment</t>
        </is>
      </c>
      <c r="P40" s="34" t="inlineStr">
        <is>
          <t>Open folder</t>
        </is>
      </c>
      <c r="Q40" s="24" t="inlineStr">
        <is>
          <t>Not designed yet</t>
        </is>
      </c>
      <c r="R40" s="24" t="n"/>
      <c r="S40" s="30" t="inlineStr">
        <is>
          <t>Idea</t>
        </is>
      </c>
      <c r="T40" s="54" t="n"/>
      <c r="U40" s="54" t="n"/>
      <c r="V40" s="54" t="n"/>
      <c r="W40" s="54" t="n"/>
      <c r="X40" s="54" t="n"/>
      <c r="Y40" s="54"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IMAGE("https://raw.githubusercontent.com/RepoKing23/InstagramCarousel/claude/med-spa-carousel-ideas-sim9wz/content/2026-10-10-subtle-is-the-new-dramatic/images/before-after-result.jpg")</f>
        <v/>
      </c>
      <c r="S41" s="30" t="inlineStr">
        <is>
          <t>Ready</t>
        </is>
      </c>
      <c r="T41" s="54" t="n"/>
      <c r="U41" s="54" t="n"/>
      <c r="V41" s="54" t="n"/>
      <c r="W41" s="54" t="n"/>
      <c r="X41" s="54" t="n"/>
      <c r="Y41" s="54"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https://github.com/RepoKing23/InstagramCarousel/tree/claude/med-spa-carousel-ideas-sim9wz/content/2026-10-12-cheek-filler-the-secret-nobody</t>
        </is>
      </c>
      <c r="P42" s="32" t="inlineStr">
        <is>
          <t>Open folder</t>
        </is>
      </c>
      <c r="Q42" s="24" t="inlineStr">
        <is>
          <t>Not designed yet</t>
        </is>
      </c>
      <c r="R42" s="24" t="n"/>
      <c r="S42" s="28" t="inlineStr">
        <is>
          <t>Idea</t>
        </is>
      </c>
      <c r="T42" s="54" t="n"/>
      <c r="U42" s="54" t="n"/>
      <c r="V42" s="54" t="n"/>
      <c r="W42" s="54" t="n"/>
      <c r="X42" s="54" t="n"/>
      <c r="Y42" s="54"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https://github.com/RepoKing23/InstagramCarousel/tree/claude/med-spa-carousel-ideas-sim9wz/content/2026-10-13-service-spotlight-cheek-filler</t>
        </is>
      </c>
      <c r="P43" s="34" t="inlineStr">
        <is>
          <t>Open folder</t>
        </is>
      </c>
      <c r="Q43" s="24" t="inlineStr">
        <is>
          <t>Not designed yet</t>
        </is>
      </c>
      <c r="R43" s="24" t="n"/>
      <c r="S43" s="30" t="inlineStr">
        <is>
          <t>Idea</t>
        </is>
      </c>
      <c r="T43" s="54" t="n"/>
      <c r="U43" s="54" t="n"/>
      <c r="V43" s="54" t="n"/>
      <c r="W43" s="54" t="n"/>
      <c r="X43" s="54" t="n"/>
      <c r="Y43" s="54"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IMAGE("https://raw.githubusercontent.com/RepoKing23/InstagramCarousel/claude/med-spa-carousel-ideas-sim9wz/content/2026-10-15-real-lips-real-results/images/slide-1.jpg")</f>
        <v/>
      </c>
      <c r="S44" s="28" t="inlineStr">
        <is>
          <t>Ready</t>
        </is>
      </c>
      <c r="T44" s="54" t="n"/>
      <c r="U44" s="54" t="n"/>
      <c r="V44" s="54" t="n"/>
      <c r="W44" s="54" t="n"/>
      <c r="X44" s="54" t="n"/>
      <c r="Y44" s="54"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https://github.com/RepoKing23/InstagramCarousel/tree/claude/med-spa-carousel-ideas-sim9wz/content/2026-10-16-facial-balancing-101</t>
        </is>
      </c>
      <c r="P45" s="34" t="inlineStr">
        <is>
          <t>Open folder</t>
        </is>
      </c>
      <c r="Q45" s="24" t="inlineStr">
        <is>
          <t>Not designed yet</t>
        </is>
      </c>
      <c r="R45" s="24" t="n"/>
      <c r="S45" s="30" t="inlineStr">
        <is>
          <t>Idea</t>
        </is>
      </c>
      <c r="T45" s="54" t="n"/>
      <c r="U45" s="54" t="n"/>
      <c r="V45" s="54" t="n"/>
      <c r="W45" s="54" t="n"/>
      <c r="X45" s="54" t="n"/>
      <c r="Y45" s="54"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https://github.com/RepoKing23/InstagramCarousel/tree/claude/med-spa-carousel-ideas-sim9wz/content/2026-10-17-faq-how-much-filler-do</t>
        </is>
      </c>
      <c r="P46" s="34" t="inlineStr">
        <is>
          <t>Open folder</t>
        </is>
      </c>
      <c r="Q46" s="24" t="inlineStr">
        <is>
          <t>Not designed yet</t>
        </is>
      </c>
      <c r="R46" s="24" t="n"/>
      <c r="S46" s="30" t="inlineStr">
        <is>
          <t>Idea</t>
        </is>
      </c>
      <c r="T46" s="54" t="n"/>
      <c r="U46" s="54" t="n"/>
      <c r="V46" s="54" t="n"/>
      <c r="W46" s="54" t="n"/>
      <c r="X46" s="54" t="n"/>
      <c r="Y46" s="54"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https://github.com/RepoKing23/InstagramCarousel/tree/claude/med-spa-carousel-ideas-sim9wz/content/2026-10-19-filler-dissolves-here-is-the</t>
        </is>
      </c>
      <c r="P47" s="32" t="inlineStr">
        <is>
          <t>Open folder</t>
        </is>
      </c>
      <c r="Q47" s="24" t="inlineStr">
        <is>
          <t>Not designed yet</t>
        </is>
      </c>
      <c r="R47" s="24" t="n"/>
      <c r="S47" s="28" t="inlineStr">
        <is>
          <t>Idea</t>
        </is>
      </c>
      <c r="T47" s="54" t="n"/>
      <c r="U47" s="54" t="n"/>
      <c r="V47" s="54" t="n"/>
      <c r="W47" s="54" t="n"/>
      <c r="X47" s="54" t="n"/>
      <c r="Y47" s="54"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https://github.com/RepoKing23/InstagramCarousel/tree/claude/med-spa-carousel-ideas-sim9wz/content/2026-10-20-the-filler-timeline</t>
        </is>
      </c>
      <c r="P48" s="34" t="inlineStr">
        <is>
          <t>Open folder</t>
        </is>
      </c>
      <c r="Q48" s="24" t="inlineStr">
        <is>
          <t>Not designed yet</t>
        </is>
      </c>
      <c r="R48" s="24" t="n"/>
      <c r="S48" s="30" t="inlineStr">
        <is>
          <t>Idea</t>
        </is>
      </c>
      <c r="T48" s="54" t="n"/>
      <c r="U48" s="54" t="n"/>
      <c r="V48" s="54" t="n"/>
      <c r="W48" s="54" t="n"/>
      <c r="X48" s="54" t="n"/>
      <c r="Y48" s="54"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IMAGE("https://raw.githubusercontent.com/RepoKing23/InstagramCarousel/claude/med-spa-carousel-ideas-sim9wz/content/2026-10-22-lip-filler-aftercare-your-first/images/day-zero-before-after.jpg")</f>
        <v/>
      </c>
      <c r="S49" s="28" t="inlineStr">
        <is>
          <t>Design</t>
        </is>
      </c>
      <c r="T49" s="54" t="n"/>
      <c r="U49" s="54" t="n"/>
      <c r="V49" s="54" t="n"/>
      <c r="W49" s="54" t="n"/>
      <c r="X49" s="54" t="n"/>
      <c r="Y49" s="54"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https://github.com/RepoKing23/InstagramCarousel/tree/claude/med-spa-carousel-ideas-sim9wz/content/2026-10-23-aftercare-essentials</t>
        </is>
      </c>
      <c r="P50" s="34" t="inlineStr">
        <is>
          <t>Open folder</t>
        </is>
      </c>
      <c r="Q50" s="24" t="inlineStr">
        <is>
          <t>Not designed yet</t>
        </is>
      </c>
      <c r="R50" s="24" t="n"/>
      <c r="S50" s="30" t="inlineStr">
        <is>
          <t>Idea</t>
        </is>
      </c>
      <c r="T50" s="54" t="n"/>
      <c r="U50" s="54" t="n"/>
      <c r="V50" s="54" t="n"/>
      <c r="W50" s="54" t="n"/>
      <c r="X50" s="54" t="n"/>
      <c r="Y50" s="54"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IMAGE("https://raw.githubusercontent.com/RepoKing23/InstagramCarousel/claude/med-spa-carousel-ideas-sim9wz/content/2026-10-24-client-words-the-lip-glow/images/before-after-result.jpg")</f>
        <v/>
      </c>
      <c r="S51" s="30" t="inlineStr">
        <is>
          <t>Ready</t>
        </is>
      </c>
      <c r="T51" s="54" t="n"/>
      <c r="U51" s="54" t="n"/>
      <c r="V51" s="54" t="n"/>
      <c r="W51" s="54" t="n"/>
      <c r="X51" s="54" t="n"/>
      <c r="Y51" s="54"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https://github.com/RepoKing23/InstagramCarousel/tree/claude/med-spa-carousel-ideas-sim9wz/content/2026-10-26-5-filler-lies-you-still</t>
        </is>
      </c>
      <c r="P52" s="32" t="inlineStr">
        <is>
          <t>Open folder</t>
        </is>
      </c>
      <c r="Q52" s="24" t="inlineStr">
        <is>
          <t>Not designed yet</t>
        </is>
      </c>
      <c r="R52" s="24" t="n"/>
      <c r="S52" s="28" t="inlineStr">
        <is>
          <t>Idea</t>
        </is>
      </c>
      <c r="T52" s="54" t="n"/>
      <c r="U52" s="54" t="n"/>
      <c r="V52" s="54" t="n"/>
      <c r="W52" s="54" t="n"/>
      <c r="X52" s="54" t="n"/>
      <c r="Y52" s="54"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https://github.com/RepoKing23/InstagramCarousel/tree/claude/med-spa-carousel-ideas-sim9wz/content/2026-10-27-myth-vs-truth-filler-edition</t>
        </is>
      </c>
      <c r="P53" s="34" t="inlineStr">
        <is>
          <t>Open folder</t>
        </is>
      </c>
      <c r="Q53" s="24" t="inlineStr">
        <is>
          <t>Not designed yet</t>
        </is>
      </c>
      <c r="R53" s="24" t="n"/>
      <c r="S53" s="30" t="inlineStr">
        <is>
          <t>Idea</t>
        </is>
      </c>
      <c r="T53" s="54" t="n"/>
      <c r="U53" s="54" t="n"/>
      <c r="V53" s="54" t="n"/>
      <c r="W53" s="54" t="n"/>
      <c r="X53" s="54" t="n"/>
      <c r="Y53" s="54"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https://github.com/RepoKing23/InstagramCarousel/tree/claude/med-spa-carousel-ideas-sim9wz/content/2026-10-29-facial-balancing-why-we-treat</t>
        </is>
      </c>
      <c r="P54" s="32" t="inlineStr">
        <is>
          <t>Open folder</t>
        </is>
      </c>
      <c r="Q54" s="24" t="inlineStr">
        <is>
          <t>Not designed yet</t>
        </is>
      </c>
      <c r="R54" s="24" t="n"/>
      <c r="S54" s="28" t="inlineStr">
        <is>
          <t>Idea</t>
        </is>
      </c>
      <c r="T54" s="54" t="n"/>
      <c r="U54" s="54" t="n"/>
      <c r="V54" s="54" t="n"/>
      <c r="W54" s="54" t="n"/>
      <c r="X54" s="54" t="n"/>
      <c r="Y54" s="54"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IMAGE("https://raw.githubusercontent.com/RepoKing23/InstagramCarousel/claude/med-spa-carousel-ideas-sim9wz/content/2026-10-30-one-syringe-balanced-lips/images/before-after-result.jpg")</f>
        <v/>
      </c>
      <c r="S55" s="30" t="inlineStr">
        <is>
          <t>Ready</t>
        </is>
      </c>
      <c r="T55" s="54" t="n"/>
      <c r="U55" s="54" t="n"/>
      <c r="V55" s="54" t="n"/>
      <c r="W55" s="54" t="n"/>
      <c r="X55" s="54" t="n"/>
      <c r="Y55" s="54"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https://github.com/RepoKing23/InstagramCarousel/tree/claude/med-spa-carousel-ideas-sim9wz/content/2026-10-31-ask-anything-filler-edition</t>
        </is>
      </c>
      <c r="P56" s="34" t="inlineStr">
        <is>
          <t>Open folder</t>
        </is>
      </c>
      <c r="Q56" s="24" t="inlineStr">
        <is>
          <t>Not designed yet</t>
        </is>
      </c>
      <c r="R56" s="24" t="n"/>
      <c r="S56" s="30" t="inlineStr">
        <is>
          <t>Idea</t>
        </is>
      </c>
      <c r="T56" s="54" t="n"/>
      <c r="U56" s="54" t="n"/>
      <c r="V56" s="54" t="n"/>
      <c r="W56" s="54" t="n"/>
      <c r="X56" s="54" t="n"/>
      <c r="Y56" s="54"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https://github.com/RepoKing23/InstagramCarousel/tree/claude/med-spa-carousel-ideas-sim9wz/content/2026-11-02-rested-by-the-holidays-your</t>
        </is>
      </c>
      <c r="P57" s="32" t="inlineStr">
        <is>
          <t>Open folder</t>
        </is>
      </c>
      <c r="Q57" s="24" t="inlineStr">
        <is>
          <t>Not designed yet</t>
        </is>
      </c>
      <c r="R57" s="24" t="n"/>
      <c r="S57" s="28" t="inlineStr">
        <is>
          <t>Idea</t>
        </is>
      </c>
      <c r="T57" s="54" t="n"/>
      <c r="U57" s="54" t="n"/>
      <c r="V57" s="54" t="n"/>
      <c r="W57" s="54" t="n"/>
      <c r="X57" s="54" t="n"/>
      <c r="Y57" s="54"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https://github.com/RepoKing23/InstagramCarousel/tree/claude/med-spa-carousel-ideas-sim9wz/content/2026-11-03-holiday-countdown-book-by-these</t>
        </is>
      </c>
      <c r="P58" s="34" t="inlineStr">
        <is>
          <t>Open folder</t>
        </is>
      </c>
      <c r="Q58" s="24" t="inlineStr">
        <is>
          <t>Not designed yet</t>
        </is>
      </c>
      <c r="R58" s="24" t="n"/>
      <c r="S58" s="30" t="inlineStr">
        <is>
          <t>Idea</t>
        </is>
      </c>
      <c r="T58" s="54" t="n"/>
      <c r="U58" s="54" t="n"/>
      <c r="V58" s="54" t="n"/>
      <c r="W58" s="54" t="n"/>
      <c r="X58" s="54" t="n"/>
      <c r="Y58" s="54"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https://github.com/RepoKing23/InstagramCarousel/tree/claude/med-spa-carousel-ideas-sim9wz/content/2026-11-05-party-season-prep-what-to</t>
        </is>
      </c>
      <c r="P59" s="32" t="inlineStr">
        <is>
          <t>Open folder</t>
        </is>
      </c>
      <c r="Q59" s="24" t="inlineStr">
        <is>
          <t>Not designed yet</t>
        </is>
      </c>
      <c r="R59" s="24" t="n"/>
      <c r="S59" s="28" t="inlineStr">
        <is>
          <t>Idea</t>
        </is>
      </c>
      <c r="T59" s="54" t="n"/>
      <c r="U59" s="54" t="n"/>
      <c r="V59" s="54" t="n"/>
      <c r="W59" s="54" t="n"/>
      <c r="X59" s="54" t="n"/>
      <c r="Y59" s="54"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IMAGE("https://raw.githubusercontent.com/RepoKing23/InstagramCarousel/claude/med-spa-carousel-ideas-sim9wz/content/2026-11-06-one-result-every-angle/images/slide-1.jpg")</f>
        <v/>
      </c>
      <c r="S60" s="30" t="inlineStr">
        <is>
          <t>Ready</t>
        </is>
      </c>
      <c r="T60" s="54" t="n"/>
      <c r="U60" s="54" t="n"/>
      <c r="V60" s="54" t="n"/>
      <c r="W60" s="54" t="n"/>
      <c r="X60" s="54" t="n"/>
      <c r="Y60" s="54"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https://github.com/RepoKing23/InstagramCarousel/tree/claude/med-spa-carousel-ideas-sim9wz/content/2026-11-07-quote-book-the-appointment</t>
        </is>
      </c>
      <c r="P61" s="34" t="inlineStr">
        <is>
          <t>Open folder</t>
        </is>
      </c>
      <c r="Q61" s="24" t="inlineStr">
        <is>
          <t>Not designed yet</t>
        </is>
      </c>
      <c r="R61" s="24" t="n"/>
      <c r="S61" s="30" t="inlineStr">
        <is>
          <t>Idea</t>
        </is>
      </c>
      <c r="T61" s="54" t="n"/>
      <c r="U61" s="54" t="n"/>
      <c r="V61" s="54" t="n"/>
      <c r="W61" s="54" t="n"/>
      <c r="X61" s="54" t="n"/>
      <c r="Y61" s="54"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https://github.com/RepoKing23/InstagramCarousel/tree/claude/med-spa-carousel-ideas-sim9wz/content/2026-11-09-the-gift-of-glow-gift</t>
        </is>
      </c>
      <c r="P62" s="32" t="inlineStr">
        <is>
          <t>Open folder</t>
        </is>
      </c>
      <c r="Q62" s="24" t="inlineStr">
        <is>
          <t>Not designed yet</t>
        </is>
      </c>
      <c r="R62" s="24" t="n"/>
      <c r="S62" s="28" t="inlineStr">
        <is>
          <t>Idea</t>
        </is>
      </c>
      <c r="T62" s="54" t="n"/>
      <c r="U62" s="54" t="n"/>
      <c r="V62" s="54" t="n"/>
      <c r="W62" s="54" t="n"/>
      <c r="X62" s="54" t="n"/>
      <c r="Y62" s="54"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https://github.com/RepoKing23/InstagramCarousel/tree/claude/med-spa-carousel-ideas-sim9wz/content/2026-11-10-gift-certificates-are-here</t>
        </is>
      </c>
      <c r="P63" s="34" t="inlineStr">
        <is>
          <t>Open folder</t>
        </is>
      </c>
      <c r="Q63" s="24" t="inlineStr">
        <is>
          <t>Not designed yet</t>
        </is>
      </c>
      <c r="R63" s="24" t="n"/>
      <c r="S63" s="30" t="inlineStr">
        <is>
          <t>Idea</t>
        </is>
      </c>
      <c r="T63" s="54" t="n"/>
      <c r="U63" s="54" t="n"/>
      <c r="V63" s="54" t="n"/>
      <c r="W63" s="54" t="n"/>
      <c r="X63" s="54" t="n"/>
      <c r="Y63" s="54"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https://github.com/RepoKing23/InstagramCarousel/tree/claude/med-spa-carousel-ideas-sim9wz/content/2026-11-12-3-months-of-honest-answers</t>
        </is>
      </c>
      <c r="P64" s="32" t="inlineStr">
        <is>
          <t>Open folder</t>
        </is>
      </c>
      <c r="Q64" s="24" t="inlineStr">
        <is>
          <t>Not designed yet</t>
        </is>
      </c>
      <c r="R64" s="24" t="n"/>
      <c r="S64" s="28" t="inlineStr">
        <is>
          <t>Idea</t>
        </is>
      </c>
      <c r="T64" s="54" t="n"/>
      <c r="U64" s="54" t="n"/>
      <c r="V64" s="54" t="n"/>
      <c r="W64" s="54" t="n"/>
      <c r="X64" s="54" t="n"/>
      <c r="Y64" s="54"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https://github.com/RepoKing23/InstagramCarousel/tree/claude/med-spa-carousel-ideas-sim9wz/content/2026-11-13-thank-you-3-months-of</t>
        </is>
      </c>
      <c r="P65" s="34" t="inlineStr">
        <is>
          <t>Open folder</t>
        </is>
      </c>
      <c r="Q65" s="24" t="inlineStr">
        <is>
          <t>Not designed yet</t>
        </is>
      </c>
      <c r="R65" s="24" t="n"/>
      <c r="S65" s="30" t="inlineStr">
        <is>
          <t>Idea</t>
        </is>
      </c>
      <c r="T65" s="54" t="n"/>
      <c r="U65" s="54" t="n"/>
      <c r="V65" s="54" t="n"/>
      <c r="W65" s="54" t="n"/>
      <c r="X65" s="54" t="n"/>
      <c r="Y65" s="54"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https://github.com/RepoKing23/InstagramCarousel/tree/claude/med-spa-carousel-ideas-sim9wz/content/2026-11-14-tag-someone-who-deserves-a</t>
        </is>
      </c>
      <c r="P66" s="34" t="inlineStr">
        <is>
          <t>Open folder</t>
        </is>
      </c>
      <c r="Q66" s="24" t="inlineStr">
        <is>
          <t>Not designed yet</t>
        </is>
      </c>
      <c r="R66" s="24" t="n"/>
      <c r="S66" s="30" t="inlineStr">
        <is>
          <t>Idea</t>
        </is>
      </c>
      <c r="T66" s="54" t="n"/>
      <c r="U66" s="54" t="n"/>
      <c r="V66" s="54" t="n"/>
      <c r="W66" s="54" t="n"/>
      <c r="X66" s="54" t="n"/>
      <c r="Y66" s="54" t="n"/>
      <c r="Z66" s="24" t="n"/>
      <c r="AA66" s="24" t="n"/>
      <c r="AB66" s="24" t="inlineStr">
        <is>
          <t>Not designed yet</t>
        </is>
      </c>
    </row>
  </sheetData>
  <autoFilter ref="A1:AB66"/>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Q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style="14" min="1" max="1"/>
    <col width="6" customWidth="1" style="14" min="2" max="2"/>
    <col width="32" customWidth="1" style="14" min="3" max="3"/>
    <col width="17" customWidth="1" style="14" min="4" max="4"/>
    <col width="54" customWidth="1" style="14" min="5" max="5"/>
    <col width="7" customWidth="1" style="14" min="6" max="6"/>
    <col width="96" customWidth="1" style="14" min="7" max="7"/>
    <col width="8" customWidth="1" style="14" min="8" max="8"/>
    <col width="12" customWidth="1" style="14" min="9" max="9"/>
    <col width="26" customWidth="1" style="14" min="10" max="10"/>
    <col width="32" customWidth="1" style="14" min="11" max="11"/>
    <col width="13" customWidth="1" style="14" min="12" max="12"/>
    <col width="13" customWidth="1" style="14" min="13" max="13"/>
    <col width="14" customWidth="1" style="14" min="14" max="14"/>
    <col width="24" customWidth="1" style="14" min="15" max="15"/>
    <col width="10" customWidth="1" style="14" min="16" max="16"/>
    <col width="28" customWidth="1" style="14" min="17" max="17"/>
  </cols>
  <sheetData>
    <row r="1">
      <c r="A1" s="39" t="inlineStr">
        <is>
          <t>Date</t>
        </is>
      </c>
      <c r="B1" s="39" t="inlineStr">
        <is>
          <t>Day</t>
        </is>
      </c>
      <c r="C1" s="39" t="inlineStr">
        <is>
          <t>Source</t>
        </is>
      </c>
      <c r="D1" s="39" t="inlineStr">
        <is>
          <t>Pillar</t>
        </is>
      </c>
      <c r="E1" s="39" t="inlineStr">
        <is>
          <t>Post Text (short)</t>
        </is>
      </c>
      <c r="F1" s="39" t="inlineStr">
        <is>
          <t>Chars</t>
        </is>
      </c>
      <c r="G1" s="39" t="inlineStr">
        <is>
          <t>Description (long, SEO)</t>
        </is>
      </c>
      <c r="H1" s="39" t="inlineStr">
        <is>
          <t>Desc Chars</t>
        </is>
      </c>
      <c r="I1" s="39" t="inlineStr">
        <is>
          <t>CTA Button</t>
        </is>
      </c>
      <c r="J1" s="39" t="inlineStr">
        <is>
          <t>CTA Link</t>
        </is>
      </c>
      <c r="K1" s="39" t="inlineStr">
        <is>
          <t>Image File</t>
        </is>
      </c>
      <c r="L1" s="39" t="inlineStr">
        <is>
          <t>Open Folder</t>
        </is>
      </c>
      <c r="M1" s="39" t="inlineStr">
        <is>
          <t>Open Image</t>
        </is>
      </c>
      <c r="N1" s="39" t="inlineStr">
        <is>
          <t>Preview</t>
        </is>
      </c>
      <c r="O1" s="39" t="inlineStr">
        <is>
          <t>Photo Credit</t>
        </is>
      </c>
      <c r="P1" s="39" t="inlineStr">
        <is>
          <t>Status</t>
        </is>
      </c>
      <c r="Q1" s="39" t="inlineStr">
        <is>
          <t>Notes</t>
        </is>
      </c>
    </row>
    <row r="2" ht="132" customHeight="1" s="14">
      <c r="A2" s="50" t="n">
        <v>46253</v>
      </c>
      <c r="B2" s="41" t="inlineStr">
        <is>
          <t>Wed</t>
        </is>
      </c>
      <c r="C2" s="41" t="inlineStr">
        <is>
          <t>GBP only</t>
        </is>
      </c>
      <c r="D2" s="41" t="inlineStr">
        <is>
          <t>Trust &amp; Proof</t>
        </is>
      </c>
      <c r="E2" s="42" t="inlineStr">
        <is>
          <t>One client in the room at a time, in a private Oakville studio. No busy waiting room, no rushing the person ahead of you, no rushing you. Injections are done by a nurse practitioner and never delegated. See the room and the work on Instagram.</t>
        </is>
      </c>
      <c r="F2" s="41" t="n">
        <v>242</v>
      </c>
      <c r="G2" s="42"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2" s="41" t="n">
        <v>719</v>
      </c>
      <c r="I2" s="41" t="inlineStr">
        <is>
          <t>Learn more</t>
        </is>
      </c>
      <c r="J2" s="43" t="inlineStr">
        <is>
          <t>@luxury_beauty_aestheticz</t>
        </is>
      </c>
      <c r="K2" s="41" t="inlineStr">
        <is>
          <t>2026-08-19-one-client-at-a-time.jpg</t>
        </is>
      </c>
      <c r="L2" s="43" t="inlineStr">
        <is>
          <t>Open folder</t>
        </is>
      </c>
      <c r="M2" s="43" t="inlineStr">
        <is>
          <t>Open image</t>
        </is>
      </c>
      <c r="N2" s="41">
        <f>IMAGE("https://raw.githubusercontent.com/RepoKing23/InstagramCarousel/claude/med-spa-carousel-ideas-sim9wz/content/gbp/2026-08-19-one-client-at-a-time.jpg")</f>
        <v/>
      </c>
      <c r="O2" s="43" t="inlineStr">
        <is>
          <t>Wco Global / Unsplash</t>
        </is>
      </c>
      <c r="P2" s="41" t="inlineStr">
        <is>
          <t>Ready</t>
        </is>
      </c>
      <c r="Q2" s="42" t="inlineStr"/>
    </row>
    <row r="3" ht="132" customHeight="1" s="14">
      <c r="A3" s="51" t="n">
        <v>46254</v>
      </c>
      <c r="B3" s="45" t="inlineStr">
        <is>
          <t>Thu</t>
        </is>
      </c>
      <c r="C3" s="45" t="inlineStr">
        <is>
          <t>IG: 5 Red Flags at a Med Spa</t>
        </is>
      </c>
      <c r="D3" s="45" t="inlineStr">
        <is>
          <t>Trust &amp; Proof</t>
        </is>
      </c>
      <c r="E3" s="46" t="inlineStr">
        <is>
          <t>Five things to walk away from at a med spa: no consultation, bargain pricing, a provider who never says no, no named injector, and pressure to decide today. Your face is not the place to find out you picked wrong. The full list is on Instagram.</t>
        </is>
      </c>
      <c r="F3" s="45" t="n">
        <v>244</v>
      </c>
      <c r="G3" s="4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3" s="45" t="n">
        <v>761</v>
      </c>
      <c r="I3" s="45" t="inlineStr">
        <is>
          <t>Learn more</t>
        </is>
      </c>
      <c r="J3" s="47" t="inlineStr">
        <is>
          <t>@luxury_beauty_aestheticz</t>
        </is>
      </c>
      <c r="K3" s="45" t="inlineStr">
        <is>
          <t>2026-08-20-5-red-flags.jpg</t>
        </is>
      </c>
      <c r="L3" s="47" t="inlineStr">
        <is>
          <t>Open folder</t>
        </is>
      </c>
      <c r="M3" s="47" t="inlineStr">
        <is>
          <t>Open image</t>
        </is>
      </c>
      <c r="N3" s="45">
        <f>IMAGE("https://raw.githubusercontent.com/RepoKing23/InstagramCarousel/claude/med-spa-carousel-ideas-sim9wz/content/gbp/2026-08-20-5-red-flags.jpg")</f>
        <v/>
      </c>
      <c r="O3" s="47" t="inlineStr">
        <is>
          <t>Look Studio / Unsplash</t>
        </is>
      </c>
      <c r="P3" s="45" t="inlineStr">
        <is>
          <t>Ready</t>
        </is>
      </c>
      <c r="Q3" s="46" t="inlineStr"/>
    </row>
    <row r="4" ht="132" customHeight="1" s="14">
      <c r="A4" s="51" t="n">
        <v>46255</v>
      </c>
      <c r="B4" s="45" t="inlineStr">
        <is>
          <t>Fri</t>
        </is>
      </c>
      <c r="C4" s="45" t="inlineStr">
        <is>
          <t>IG: Behind the Scenes, The Prep</t>
        </is>
      </c>
      <c r="D4" s="45" t="inlineStr">
        <is>
          <t>Personality &amp; BTS</t>
        </is>
      </c>
      <c r="E4" s="46" t="inlineStr">
        <is>
          <t>Every appointment starts the same way. A new tray, product opened sealed in front of you, and your face mapped while it moves, not while it sits still. The prep is the part nobody photographs. We photographed it, on Instagram.</t>
        </is>
      </c>
      <c r="F4" s="45" t="n">
        <v>226</v>
      </c>
      <c r="G4" s="4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4" s="45" t="n">
        <v>598</v>
      </c>
      <c r="I4" s="45" t="inlineStr">
        <is>
          <t>Learn more</t>
        </is>
      </c>
      <c r="J4" s="47" t="inlineStr">
        <is>
          <t>@luxury_beauty_aestheticz</t>
        </is>
      </c>
      <c r="K4" s="45" t="inlineStr">
        <is>
          <t>2026-08-21-before-the-needle.jpg</t>
        </is>
      </c>
      <c r="L4" s="47" t="inlineStr">
        <is>
          <t>Open folder</t>
        </is>
      </c>
      <c r="M4" s="47" t="inlineStr">
        <is>
          <t>Open image</t>
        </is>
      </c>
      <c r="N4" s="45">
        <f>IMAGE("https://raw.githubusercontent.com/RepoKing23/InstagramCarousel/claude/med-spa-carousel-ideas-sim9wz/content/gbp/2026-08-21-before-the-needle.jpg")</f>
        <v/>
      </c>
      <c r="O4" s="47" t="inlineStr">
        <is>
          <t>Masum Rahimi / Unsplash</t>
        </is>
      </c>
      <c r="P4" s="45" t="inlineStr">
        <is>
          <t>Ready</t>
        </is>
      </c>
      <c r="Q4" s="46" t="inlineStr"/>
    </row>
    <row r="5" ht="132" customHeight="1" s="14">
      <c r="A5" s="51" t="n">
        <v>46256</v>
      </c>
      <c r="B5" s="45" t="inlineStr">
        <is>
          <t>Sat</t>
        </is>
      </c>
      <c r="C5" s="45" t="inlineStr">
        <is>
          <t>IG: Great Work Is Invisible</t>
        </is>
      </c>
      <c r="D5" s="45" t="inlineStr">
        <is>
          <t>Trust &amp; Proof</t>
        </is>
      </c>
      <c r="E5" s="46" t="inlineStr">
        <is>
          <t>One syringe of lip filler, with her own lip shape kept exactly where it was. If it reads as good skin and a good night of sleep rather than work, that was the goal. Shared with client consent, individual results vary. More on Instagram.</t>
        </is>
      </c>
      <c r="F5" s="45" t="n">
        <v>236</v>
      </c>
      <c r="G5" s="4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5" s="45" t="n">
        <v>730</v>
      </c>
      <c r="I5" s="45" t="inlineStr">
        <is>
          <t>Learn more</t>
        </is>
      </c>
      <c r="J5" s="47" t="inlineStr">
        <is>
          <t>@luxury_beauty_aestheticz</t>
        </is>
      </c>
      <c r="K5" s="45" t="inlineStr">
        <is>
          <t>2026-08-22-great-work-is-invisible.jpg</t>
        </is>
      </c>
      <c r="L5" s="47" t="inlineStr">
        <is>
          <t>Open folder</t>
        </is>
      </c>
      <c r="M5" s="47" t="inlineStr">
        <is>
          <t>Open image</t>
        </is>
      </c>
      <c r="N5" s="45">
        <f>IMAGE("https://raw.githubusercontent.com/RepoKing23/InstagramCarousel/claude/med-spa-carousel-ideas-sim9wz/content/gbp/2026-08-22-great-work-is-invisible.jpg")</f>
        <v/>
      </c>
      <c r="O5" s="47" t="inlineStr">
        <is>
          <t>Alef Morais / Unsplash</t>
        </is>
      </c>
      <c r="P5" s="45" t="inlineStr">
        <is>
          <t>Ready</t>
        </is>
      </c>
      <c r="Q5" s="46" t="inlineStr"/>
    </row>
    <row r="6" ht="132" customHeight="1" s="14">
      <c r="A6" s="50" t="n">
        <v>46257</v>
      </c>
      <c r="B6" s="41" t="inlineStr">
        <is>
          <t>Sun</t>
        </is>
      </c>
      <c r="C6" s="41" t="inlineStr">
        <is>
          <t>GBP only</t>
        </is>
      </c>
      <c r="D6" s="41" t="inlineStr">
        <is>
          <t>Education</t>
        </is>
      </c>
      <c r="E6" s="42" t="inlineStr">
        <is>
          <t>A first visit runs about 45 minutes and most of that is talking. Consultation, mapping your face in motion, and agreeing a plan and a price before anything is opened. The injecting itself takes roughly ten minutes. Questions welcome on Instagram.</t>
        </is>
      </c>
      <c r="F6" s="41" t="n">
        <v>246</v>
      </c>
      <c r="G6" s="42"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6" s="41" t="n">
        <v>650</v>
      </c>
      <c r="I6" s="41" t="inlineStr">
        <is>
          <t>Learn more</t>
        </is>
      </c>
      <c r="J6" s="43" t="inlineStr">
        <is>
          <t>@luxury_beauty_aestheticz</t>
        </is>
      </c>
      <c r="K6" s="41" t="inlineStr">
        <is>
          <t>2026-08-23-how-long-does-it-take.jpg</t>
        </is>
      </c>
      <c r="L6" s="43" t="inlineStr">
        <is>
          <t>Open folder</t>
        </is>
      </c>
      <c r="M6" s="43" t="inlineStr">
        <is>
          <t>Open image</t>
        </is>
      </c>
      <c r="N6" s="41">
        <f>IMAGE("https://raw.githubusercontent.com/RepoKing23/InstagramCarousel/claude/med-spa-carousel-ideas-sim9wz/content/gbp/2026-08-23-how-long-does-it-take.jpg")</f>
        <v/>
      </c>
      <c r="O6" s="43" t="inlineStr">
        <is>
          <t>Ionela Mat / Unsplash</t>
        </is>
      </c>
      <c r="P6" s="41" t="inlineStr">
        <is>
          <t>Ready</t>
        </is>
      </c>
      <c r="Q6" s="42" t="inlineStr"/>
    </row>
    <row r="7" ht="132" customHeight="1" s="14">
      <c r="A7" s="51" t="n">
        <v>46258</v>
      </c>
      <c r="B7" s="45" t="inlineStr">
        <is>
          <t>Mon</t>
        </is>
      </c>
      <c r="C7" s="45" t="inlineStr">
        <is>
          <t>IG: Your First Visit, Step by Step</t>
        </is>
      </c>
      <c r="D7" s="45" t="inlineStr">
        <is>
          <t>Education</t>
        </is>
      </c>
      <c r="E7" s="46" t="inlineStr">
        <is>
          <t>Nervous about a first appointment? Here is the whole thing. A real consultation, your face mapped in motion, a written plan and price agreed before anything is opened, then about ten minutes of treatment. Step by step on Instagram.</t>
        </is>
      </c>
      <c r="F7" s="45" t="n">
        <v>231</v>
      </c>
      <c r="G7" s="4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7" s="45" t="n">
        <v>695</v>
      </c>
      <c r="I7" s="45" t="inlineStr">
        <is>
          <t>Learn more</t>
        </is>
      </c>
      <c r="J7" s="47" t="inlineStr">
        <is>
          <t>@luxury_beauty_aestheticz</t>
        </is>
      </c>
      <c r="K7" s="45" t="inlineStr">
        <is>
          <t>2026-08-24-what-actually-happens.jpg</t>
        </is>
      </c>
      <c r="L7" s="47" t="inlineStr">
        <is>
          <t>Open folder</t>
        </is>
      </c>
      <c r="M7" s="47" t="inlineStr">
        <is>
          <t>Open image</t>
        </is>
      </c>
      <c r="N7" s="45">
        <f>IMAGE("https://raw.githubusercontent.com/RepoKing23/InstagramCarousel/claude/med-spa-carousel-ideas-sim9wz/content/gbp/2026-08-24-what-actually-happens.jpg")</f>
        <v/>
      </c>
      <c r="O7" s="47" t="inlineStr">
        <is>
          <t>karelys Ruiz / Unsplash</t>
        </is>
      </c>
      <c r="P7" s="45" t="inlineStr">
        <is>
          <t>Ready</t>
        </is>
      </c>
      <c r="Q7" s="46" t="inlineStr"/>
    </row>
    <row r="8" ht="132" customHeight="1" s="14">
      <c r="A8" s="51" t="n">
        <v>46259</v>
      </c>
      <c r="B8" s="45" t="inlineStr">
        <is>
          <t>Tue</t>
        </is>
      </c>
      <c r="C8" s="45" t="inlineStr">
        <is>
          <t>IG: Why I Do Not Post Prices</t>
        </is>
      </c>
      <c r="D8" s="45" t="inlineStr">
        <is>
          <t>Trust &amp; Proof</t>
        </is>
      </c>
      <c r="E8" s="46" t="inlineStr">
        <is>
          <t>Why there is no price list. Doses differ from face to face, so a single flat price either overcharges you or under treats you. You get a written number at your consultation, before anything is opened. The honest version is on Instagram.</t>
        </is>
      </c>
      <c r="F8" s="45" t="n">
        <v>236</v>
      </c>
      <c r="G8" s="4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8" s="45" t="n">
        <v>801</v>
      </c>
      <c r="I8" s="45" t="inlineStr">
        <is>
          <t>Learn more</t>
        </is>
      </c>
      <c r="J8" s="47" t="inlineStr">
        <is>
          <t>@luxury_beauty_aestheticz</t>
        </is>
      </c>
      <c r="K8" s="45" t="inlineStr">
        <is>
          <t>2026-08-25-why-no-prices.jpg</t>
        </is>
      </c>
      <c r="L8" s="47" t="inlineStr">
        <is>
          <t>Open folder</t>
        </is>
      </c>
      <c r="M8" s="47" t="inlineStr">
        <is>
          <t>Open image</t>
        </is>
      </c>
      <c r="N8" s="45">
        <f>IMAGE("https://raw.githubusercontent.com/RepoKing23/InstagramCarousel/claude/med-spa-carousel-ideas-sim9wz/content/gbp/2026-08-25-why-no-prices.jpg")</f>
        <v/>
      </c>
      <c r="O8" s="47" t="inlineStr">
        <is>
          <t>Vitaliy Shevchenko / Unsplash</t>
        </is>
      </c>
      <c r="P8" s="45" t="inlineStr">
        <is>
          <t>Ready</t>
        </is>
      </c>
      <c r="Q8" s="46" t="inlineStr"/>
    </row>
    <row r="9" ht="132" customHeight="1" s="14">
      <c r="A9" s="50" t="n">
        <v>46260</v>
      </c>
      <c r="B9" s="41" t="inlineStr">
        <is>
          <t>Wed</t>
        </is>
      </c>
      <c r="C9" s="41" t="inlineStr">
        <is>
          <t>GBP only</t>
        </is>
      </c>
      <c r="D9" s="41" t="inlineStr">
        <is>
          <t>Trust &amp; Proof</t>
        </is>
      </c>
      <c r="E9" s="42" t="inlineStr">
        <is>
          <t>Ask any clinic who is actually holding the needle. Here it is a nurse practitioner, RN(EC), registered with the College of Nurses of Ontario. Every appointment is injected by Cleo, never delegated to someone you have not met. Meet her on Instagram.</t>
        </is>
      </c>
      <c r="F9" s="41" t="n">
        <v>248</v>
      </c>
      <c r="G9" s="42"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9" s="41" t="n">
        <v>683</v>
      </c>
      <c r="I9" s="41" t="inlineStr">
        <is>
          <t>Learn more</t>
        </is>
      </c>
      <c r="J9" s="43" t="inlineStr">
        <is>
          <t>@luxury_beauty_aestheticz</t>
        </is>
      </c>
      <c r="K9" s="41" t="inlineStr">
        <is>
          <t>2026-08-26-who-injects-you.jpg</t>
        </is>
      </c>
      <c r="L9" s="43" t="inlineStr">
        <is>
          <t>Open folder</t>
        </is>
      </c>
      <c r="M9" s="43" t="inlineStr">
        <is>
          <t>Open image</t>
        </is>
      </c>
      <c r="N9" s="41">
        <f>IMAGE("https://raw.githubusercontent.com/RepoKing23/InstagramCarousel/claude/med-spa-carousel-ideas-sim9wz/content/gbp/2026-08-26-who-injects-you.jpg")</f>
        <v/>
      </c>
      <c r="O9" s="43" t="inlineStr">
        <is>
          <t>Anuruddha Lokuhapuarachchi / Unsplash</t>
        </is>
      </c>
      <c r="P9" s="41" t="inlineStr">
        <is>
          <t>Ready</t>
        </is>
      </c>
      <c r="Q9" s="42" t="inlineStr"/>
    </row>
    <row r="10" ht="132" customHeight="1" s="14">
      <c r="A10" s="51" t="n">
        <v>46261</v>
      </c>
      <c r="B10" s="45" t="inlineStr">
        <is>
          <t>Thu</t>
        </is>
      </c>
      <c r="C10" s="45" t="inlineStr">
        <is>
          <t>IG: Meet NP Cleo</t>
        </is>
      </c>
      <c r="D10" s="45" t="inlineStr">
        <is>
          <t>Personality &amp; BTS</t>
        </is>
      </c>
      <c r="E10" s="46" t="inlineStr">
        <is>
          <t>Meet NP Cleo. Nurse practitioner and injector, and the person who will tell you no when the honest answer is no. Every appointment is injected by her, never delegated. The full introduction is on Instagram.</t>
        </is>
      </c>
      <c r="F10" s="45" t="n">
        <v>206</v>
      </c>
      <c r="G10" s="4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0" s="45" t="n">
        <v>645</v>
      </c>
      <c r="I10" s="45" t="inlineStr">
        <is>
          <t>Learn more</t>
        </is>
      </c>
      <c r="J10" s="47" t="inlineStr">
        <is>
          <t>@luxury_beauty_aestheticz</t>
        </is>
      </c>
      <c r="K10" s="45" t="inlineStr">
        <is>
          <t>2026-08-27-meet-np-cleo.jpg</t>
        </is>
      </c>
      <c r="L10" s="47" t="inlineStr">
        <is>
          <t>Open folder</t>
        </is>
      </c>
      <c r="M10" s="47" t="inlineStr">
        <is>
          <t>Open image</t>
        </is>
      </c>
      <c r="N10" s="45">
        <f>IMAGE("https://raw.githubusercontent.com/RepoKing23/InstagramCarousel/claude/med-spa-carousel-ideas-sim9wz/content/gbp/2026-08-27-meet-np-cleo.jpg")</f>
        <v/>
      </c>
      <c r="O10" s="47" t="inlineStr">
        <is>
          <t>Look Studio / Unsplash</t>
        </is>
      </c>
      <c r="P10" s="45" t="inlineStr">
        <is>
          <t>Ready</t>
        </is>
      </c>
      <c r="Q10" s="46" t="inlineStr"/>
    </row>
    <row r="11" ht="132" customHeight="1" s="14">
      <c r="A11" s="51" t="n">
        <v>46262</v>
      </c>
      <c r="B11" s="45" t="inlineStr">
        <is>
          <t>Fri</t>
        </is>
      </c>
      <c r="C11" s="45" t="inlineStr">
        <is>
          <t>IG: Welcome to the Treatment Room</t>
        </is>
      </c>
      <c r="D11" s="45" t="inlineStr">
        <is>
          <t>Personality &amp; BTS</t>
        </is>
      </c>
      <c r="E11" s="46" t="inlineStr">
        <is>
          <t>One client in the treatment room at a time. Nobody rushes the person before you, so nobody rushes you. The door stays shut and the questions stay welcome, however small they feel. Come see the room on Instagram.</t>
        </is>
      </c>
      <c r="F11" s="45" t="n">
        <v>211</v>
      </c>
      <c r="G11" s="4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1" s="45" t="n">
        <v>763</v>
      </c>
      <c r="I11" s="45" t="inlineStr">
        <is>
          <t>Learn more</t>
        </is>
      </c>
      <c r="J11" s="47" t="inlineStr">
        <is>
          <t>@luxury_beauty_aestheticz</t>
        </is>
      </c>
      <c r="K11" s="45" t="inlineStr">
        <is>
          <t>2026-08-28-where-calm-meets-careful.jpg</t>
        </is>
      </c>
      <c r="L11" s="47" t="inlineStr">
        <is>
          <t>Open folder</t>
        </is>
      </c>
      <c r="M11" s="47" t="inlineStr">
        <is>
          <t>Open image</t>
        </is>
      </c>
      <c r="N11" s="45">
        <f>IMAGE("https://raw.githubusercontent.com/RepoKing23/InstagramCarousel/claude/med-spa-carousel-ideas-sim9wz/content/gbp/2026-08-28-where-calm-meets-careful.jpg")</f>
        <v/>
      </c>
      <c r="O11" s="47" t="inlineStr">
        <is>
          <t>Masum Rahimi / Unsplash</t>
        </is>
      </c>
      <c r="P11" s="45" t="inlineStr">
        <is>
          <t>Ready</t>
        </is>
      </c>
      <c r="Q11" s="46" t="inlineStr"/>
    </row>
    <row r="12" ht="132" customHeight="1" s="14">
      <c r="A12" s="51" t="n">
        <v>46263</v>
      </c>
      <c r="B12" s="45" t="inlineStr">
        <is>
          <t>Sat</t>
        </is>
      </c>
      <c r="C12" s="45" t="inlineStr">
        <is>
          <t>IG: This or That, Rested vs Frozen</t>
        </is>
      </c>
      <c r="D12" s="45" t="inlineStr">
        <is>
          <t>Trust &amp; Proof</t>
        </is>
      </c>
      <c r="E12" s="46" t="inlineStr">
        <is>
          <t>Rested, not frozen. You should still frown, squint and smile afterwards. If people ask what you had done instead of whether you slept well, the dose was wrong. See the difference side by side on Instagram.</t>
        </is>
      </c>
      <c r="F12" s="45" t="n">
        <v>205</v>
      </c>
      <c r="G12" s="4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2" s="45" t="n">
        <v>743</v>
      </c>
      <c r="I12" s="45" t="inlineStr">
        <is>
          <t>Learn more</t>
        </is>
      </c>
      <c r="J12" s="47" t="inlineStr">
        <is>
          <t>@luxury_beauty_aestheticz</t>
        </is>
      </c>
      <c r="K12" s="45" t="inlineStr">
        <is>
          <t>2026-08-29-rested-or-frozen.jpg</t>
        </is>
      </c>
      <c r="L12" s="47" t="inlineStr">
        <is>
          <t>Open folder</t>
        </is>
      </c>
      <c r="M12" s="47" t="inlineStr">
        <is>
          <t>Open image</t>
        </is>
      </c>
      <c r="N12" s="45">
        <f>IMAGE("https://raw.githubusercontent.com/RepoKing23/InstagramCarousel/claude/med-spa-carousel-ideas-sim9wz/content/gbp/2026-08-29-rested-or-frozen.jpg")</f>
        <v/>
      </c>
      <c r="O12" s="47" t="inlineStr">
        <is>
          <t>engin akyurt / Unsplash</t>
        </is>
      </c>
      <c r="P12" s="45" t="inlineStr">
        <is>
          <t>Ready</t>
        </is>
      </c>
      <c r="Q12" s="46" t="inlineStr"/>
    </row>
    <row r="13" ht="132" customHeight="1" s="14">
      <c r="A13" s="50" t="n">
        <v>46264</v>
      </c>
      <c r="B13" s="41" t="inlineStr">
        <is>
          <t>Sun</t>
        </is>
      </c>
      <c r="C13" s="41" t="inlineStr">
        <is>
          <t>GBP only</t>
        </is>
      </c>
      <c r="D13" s="41" t="inlineStr">
        <is>
          <t>Education</t>
        </is>
      </c>
      <c r="E13" s="42" t="inlineStr">
        <is>
          <t>A consultation is not a sales appointment. We go through your goals, map your face in motion, and talk about what will work, what will not, and what it costs, in writing. You can leave without booking anything. More on Instagram.</t>
        </is>
      </c>
      <c r="F13" s="41" t="n">
        <v>229</v>
      </c>
      <c r="G13" s="42"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3" s="41" t="n">
        <v>676</v>
      </c>
      <c r="I13" s="41" t="inlineStr">
        <is>
          <t>Learn more</t>
        </is>
      </c>
      <c r="J13" s="43" t="inlineStr">
        <is>
          <t>@luxury_beauty_aestheticz</t>
        </is>
      </c>
      <c r="K13" s="41" t="inlineStr">
        <is>
          <t>2026-08-30-what-a-consult-includes.jpg</t>
        </is>
      </c>
      <c r="L13" s="43" t="inlineStr">
        <is>
          <t>Open folder</t>
        </is>
      </c>
      <c r="M13" s="43" t="inlineStr">
        <is>
          <t>Open image</t>
        </is>
      </c>
      <c r="N13" s="41">
        <f>IMAGE("https://raw.githubusercontent.com/RepoKing23/InstagramCarousel/claude/med-spa-carousel-ideas-sim9wz/content/gbp/2026-08-30-what-a-consult-includes.jpg")</f>
        <v/>
      </c>
      <c r="O13" s="43" t="inlineStr">
        <is>
          <t>Elist Nguyen / Unsplash</t>
        </is>
      </c>
      <c r="P13" s="41" t="inlineStr">
        <is>
          <t>Ready</t>
        </is>
      </c>
      <c r="Q13" s="42" t="inlineStr"/>
    </row>
    <row r="14" ht="132" customHeight="1" s="14">
      <c r="A14" s="51" t="n">
        <v>46265</v>
      </c>
      <c r="B14" s="45" t="inlineStr">
        <is>
          <t>Mon</t>
        </is>
      </c>
      <c r="C14" s="45" t="inlineStr">
        <is>
          <t>IG: Preventative Botox, When to Start</t>
        </is>
      </c>
      <c r="D14" s="45" t="inlineStr">
        <is>
          <t>Education</t>
        </is>
      </c>
      <c r="E14" s="46" t="inlineStr">
        <is>
          <t>When should you actually start preventative Botox? It is not about your age. Make your strongest expression, relax your face, and see if the line stays behind. That is the one setting in. The full explanation is on Instagram.</t>
        </is>
      </c>
      <c r="F14" s="45" t="n">
        <v>225</v>
      </c>
      <c r="G14" s="4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4" s="45" t="n">
        <v>771</v>
      </c>
      <c r="I14" s="45" t="inlineStr">
        <is>
          <t>Learn more</t>
        </is>
      </c>
      <c r="J14" s="47" t="inlineStr">
        <is>
          <t>@luxury_beauty_aestheticz</t>
        </is>
      </c>
      <c r="K14" s="45" t="inlineStr">
        <is>
          <t>2026-08-31-when-to-start.jpg</t>
        </is>
      </c>
      <c r="L14" s="47" t="inlineStr">
        <is>
          <t>Open folder</t>
        </is>
      </c>
      <c r="M14" s="47" t="inlineStr">
        <is>
          <t>Open image</t>
        </is>
      </c>
      <c r="N14" s="45">
        <f>IMAGE("https://raw.githubusercontent.com/RepoKing23/InstagramCarousel/claude/med-spa-carousel-ideas-sim9wz/content/gbp/2026-08-31-when-to-start.jpg")</f>
        <v/>
      </c>
      <c r="O14" s="47" t="inlineStr">
        <is>
          <t>Fleur Kaan / Unsplash</t>
        </is>
      </c>
      <c r="P14" s="45" t="inlineStr">
        <is>
          <t>Ready</t>
        </is>
      </c>
      <c r="Q14" s="46" t="inlineStr"/>
    </row>
    <row r="15" ht="132" customHeight="1" s="14">
      <c r="A15" s="51" t="n">
        <v>46266</v>
      </c>
      <c r="B15" s="45" t="inlineStr">
        <is>
          <t>Tue</t>
        </is>
      </c>
      <c r="C15" s="45" t="inlineStr">
        <is>
          <t>IG: Service Spotlight, Preventative Botox</t>
        </is>
      </c>
      <c r="D15" s="45" t="inlineStr">
        <is>
          <t>Education</t>
        </is>
      </c>
      <c r="E15" s="46" t="inlineStr">
        <is>
          <t>Preventative Botox, explained plainly. Small doses started before a line sets in, so it never becomes permanent. It is easier to stop a line than to erase one. Dosed to your muscle, never to a template. More on Instagram.</t>
        </is>
      </c>
      <c r="F15" s="45" t="n">
        <v>221</v>
      </c>
      <c r="G15" s="4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5" s="45" t="n">
        <v>696</v>
      </c>
      <c r="I15" s="45" t="inlineStr">
        <is>
          <t>Learn more</t>
        </is>
      </c>
      <c r="J15" s="47" t="inlineStr">
        <is>
          <t>@luxury_beauty_aestheticz</t>
        </is>
      </c>
      <c r="K15" s="45" t="inlineStr">
        <is>
          <t>2026-09-01-spotlight-preventative.jpg</t>
        </is>
      </c>
      <c r="L15" s="47" t="inlineStr">
        <is>
          <t>Open folder</t>
        </is>
      </c>
      <c r="M15" s="47" t="inlineStr">
        <is>
          <t>Open image</t>
        </is>
      </c>
      <c r="N15" s="45">
        <f>IMAGE("https://raw.githubusercontent.com/RepoKing23/InstagramCarousel/claude/med-spa-carousel-ideas-sim9wz/content/gbp/2026-09-01-spotlight-preventative.jpg")</f>
        <v/>
      </c>
      <c r="O15" s="47" t="inlineStr">
        <is>
          <t>Fleur Kaan / Unsplash</t>
        </is>
      </c>
      <c r="P15" s="45" t="inlineStr">
        <is>
          <t>Ready</t>
        </is>
      </c>
      <c r="Q15" s="46" t="inlineStr"/>
    </row>
    <row r="16" ht="132" customHeight="1" s="14">
      <c r="A16" s="50" t="n">
        <v>46267</v>
      </c>
      <c r="B16" s="41" t="inlineStr">
        <is>
          <t>Wed</t>
        </is>
      </c>
      <c r="C16" s="41" t="inlineStr">
        <is>
          <t>GBP only</t>
        </is>
      </c>
      <c r="D16" s="41" t="inlineStr">
        <is>
          <t>Trust &amp; Proof</t>
        </is>
      </c>
      <c r="E16" s="42" t="inlineStr">
        <is>
          <t>The question people are too polite to ask. Product is Health Canada approved, opened sealed in front of you, and injected by a nurse practitioner registered with the College of Nurses of Ontario. Ask me anything on Instagram.</t>
        </is>
      </c>
      <c r="F16" s="41" t="n">
        <v>225</v>
      </c>
      <c r="G16" s="42" t="inlineStr">
        <is>
          <t>The question people are too polite to ask out loud. Is it safe.
Product is Health Canada approved and opened sealed in front of you, so you can see what is going in. It is injected by a nurse practitioner registered with the College of Nurses of Ontario, in a private room with single use needles and a new tray for every appointment.
Side effects are usually small and short: a pinprick mark, occasional bruising, sometimes a mild headache the first day. The rarer issues, like a heavy lid, almost always come from product placed where it should not have been. That is a technique problem, which is exactly why who injects you matters more than which brand is on the vial.
Who injects you matters more than which brand is on the vial. Ask me anything about Botox safety on Instagram. No question is too basic.</t>
        </is>
      </c>
      <c r="H16" s="41" t="n">
        <v>813</v>
      </c>
      <c r="I16" s="41" t="inlineStr">
        <is>
          <t>Learn more</t>
        </is>
      </c>
      <c r="J16" s="43" t="inlineStr">
        <is>
          <t>@luxury_beauty_aestheticz</t>
        </is>
      </c>
      <c r="K16" s="41" t="inlineStr">
        <is>
          <t>2026-09-02-is-it-safe.jpg</t>
        </is>
      </c>
      <c r="L16" s="43" t="inlineStr">
        <is>
          <t>Open folder</t>
        </is>
      </c>
      <c r="M16" s="43" t="inlineStr">
        <is>
          <t>Open image</t>
        </is>
      </c>
      <c r="N16" s="41">
        <f>IMAGE("https://raw.githubusercontent.com/RepoKing23/InstagramCarousel/claude/med-spa-carousel-ideas-sim9wz/content/gbp/2026-09-02-is-it-safe.jpg")</f>
        <v/>
      </c>
      <c r="O16" s="43" t="inlineStr">
        <is>
          <t>Look Studio / Unsplash</t>
        </is>
      </c>
      <c r="P16" s="41" t="inlineStr">
        <is>
          <t>Ready</t>
        </is>
      </c>
      <c r="Q16" s="42" t="inlineStr"/>
    </row>
    <row r="17" ht="132" customHeight="1" s="14">
      <c r="A17" s="51" t="n">
        <v>46268</v>
      </c>
      <c r="B17" s="45" t="inlineStr">
        <is>
          <t>Thu</t>
        </is>
      </c>
      <c r="C17" s="45" t="inlineStr">
        <is>
          <t>IG: What 20 Units Actually Looks Like</t>
        </is>
      </c>
      <c r="D17" s="45" t="inlineStr">
        <is>
          <t>Education</t>
        </is>
      </c>
      <c r="E17" s="46" t="inlineStr">
        <is>
          <t>Unit math, finally explained. Units measure dose, not strength, and the number you need depends on how strong your muscle is, not on a price menu. That is why a flat per-area price rarely tells the truth. Breakdown on Instagram.</t>
        </is>
      </c>
      <c r="F17" s="45" t="n">
        <v>228</v>
      </c>
      <c r="G17" s="46" t="inlineStr">
        <is>
          <t>Unit math, finally explained. Units measure dose, not strength, and the number you need depends on how hard your muscle pulls.
Twenty units in a strong frown muscle and twenty in a light one give completely different results. This is why a flat per area price rarely tells the truth. Two people book the same treatment, one gets enough product and the other quietly gets short dosed to keep the price attractive.
It is also why comparing your number to a friend's is a dead end. Hers might be right for her face and wrong for yours in either direction.
What you should get is a unit count in writing before anything is opened, and an explanation of why that number. That is how Botox is priced here in Oakville. The full breakdown is on Instagram.</t>
        </is>
      </c>
      <c r="H17" s="45" t="n">
        <v>750</v>
      </c>
      <c r="I17" s="45" t="inlineStr">
        <is>
          <t>Learn more</t>
        </is>
      </c>
      <c r="J17" s="47" t="inlineStr">
        <is>
          <t>@luxury_beauty_aestheticz</t>
        </is>
      </c>
      <c r="K17" s="45" t="inlineStr">
        <is>
          <t>2026-09-03-20-units.jpg</t>
        </is>
      </c>
      <c r="L17" s="47" t="inlineStr">
        <is>
          <t>Open folder</t>
        </is>
      </c>
      <c r="M17" s="47" t="inlineStr">
        <is>
          <t>Open image</t>
        </is>
      </c>
      <c r="N17" s="45">
        <f>IMAGE("https://raw.githubusercontent.com/RepoKing23/InstagramCarousel/claude/med-spa-carousel-ideas-sim9wz/content/gbp/2026-09-03-20-units.jpg")</f>
        <v/>
      </c>
      <c r="O17" s="47" t="inlineStr">
        <is>
          <t>Soheil Kmp / Unsplash</t>
        </is>
      </c>
      <c r="P17" s="45" t="inlineStr">
        <is>
          <t>Ready</t>
        </is>
      </c>
      <c r="Q17" s="46" t="inlineStr"/>
    </row>
    <row r="18" ht="132" customHeight="1" s="14">
      <c r="A18" s="51" t="n">
        <v>46269</v>
      </c>
      <c r="B18" s="45" t="inlineStr">
        <is>
          <t>Fri</t>
        </is>
      </c>
      <c r="C18" s="45" t="inlineStr">
        <is>
          <t>IG: Meet Your Injector</t>
        </is>
      </c>
      <c r="D18" s="45" t="inlineStr">
        <is>
          <t>Personality &amp; BTS</t>
        </is>
      </c>
      <c r="E18" s="46" t="inlineStr">
        <is>
          <t>Your injector is a nurse practitioner, RN(EC), registered with the College of Nurses of Ontario. Also the person who will talk you out of a treatment when it is not right for your face. Get to know her on Instagram.</t>
        </is>
      </c>
      <c r="F18" s="45" t="n">
        <v>215</v>
      </c>
      <c r="G18" s="46" t="inlineStr">
        <is>
          <t>Your injector is a nurse practitioner, RN(EC), registered with the College of Nurses of Ontario.
An NP scope means assessing you properly, not just administering. That covers your medical history, what medications you are on, previous work someone else did, and whether treatment is right for you at all. It also means being able to say no with a reason attached.
The honest part is what people remember. If your concern is skin quality or lost volume, a neuromodulator is not the answer and you will hear that instead of a booking. It is the least profitable sentence in this business and the one that keeps clients for years.
Look mine up, and look up anyone else you are considering for Botox in Oakville. It takes two minutes and it is the single most useful thing you can do before booking. Get to know her on Instagram.</t>
        </is>
      </c>
      <c r="H18" s="45" t="n">
        <v>828</v>
      </c>
      <c r="I18" s="45" t="inlineStr">
        <is>
          <t>Learn more</t>
        </is>
      </c>
      <c r="J18" s="47" t="inlineStr">
        <is>
          <t>@luxury_beauty_aestheticz</t>
        </is>
      </c>
      <c r="K18" s="45" t="inlineStr">
        <is>
          <t>2026-09-04-meet-your-injector.jpg</t>
        </is>
      </c>
      <c r="L18" s="47" t="inlineStr">
        <is>
          <t>Open folder</t>
        </is>
      </c>
      <c r="M18" s="47" t="inlineStr">
        <is>
          <t>Open image</t>
        </is>
      </c>
      <c r="N18" s="45">
        <f>IMAGE("https://raw.githubusercontent.com/RepoKing23/InstagramCarousel/claude/med-spa-carousel-ideas-sim9wz/content/gbp/2026-09-04-meet-your-injector.jpg")</f>
        <v/>
      </c>
      <c r="O18" s="47" t="inlineStr">
        <is>
          <t>Masum Rahimi / Unsplash</t>
        </is>
      </c>
      <c r="P18" s="45" t="inlineStr">
        <is>
          <t>Ready</t>
        </is>
      </c>
      <c r="Q18" s="46" t="inlineStr"/>
    </row>
    <row r="19" ht="132" customHeight="1" s="14">
      <c r="A19" s="51" t="n">
        <v>46270</v>
      </c>
      <c r="B19" s="45" t="inlineStr">
        <is>
          <t>Sat</t>
        </is>
      </c>
      <c r="C19" s="45" t="inlineStr">
        <is>
          <t>IG: Prevention Beats Erasing</t>
        </is>
      </c>
      <c r="D19" s="45" t="inlineStr">
        <is>
          <t>Education</t>
        </is>
      </c>
      <c r="E19" s="46" t="inlineStr">
        <is>
          <t>Prevention beats erasing. Ask the friend who never seems to age. Softening a line before it sets into the skin takes less product, less money and less time than chasing it years later. More on Instagram.</t>
        </is>
      </c>
      <c r="F19" s="45" t="n">
        <v>203</v>
      </c>
      <c r="G19" s="46" t="inlineStr">
        <is>
          <t>Prevention beats erasing. Ask the friend who never seems to age and started early.
A line has two stages. First it appears only when you move. Later it stays when your face is still, because the skin has been folded the same way for years and stopped springing back. Treating in the first stage takes less product, less often, and holds better.
By the second stage a neuromodulator still helps, but it is softening something already set rather than stopping it forming. That usually means pairing it with something else and a longer timeline.
This is not an argument for treating everyone early. It is an argument for looking at your own face honestly and knowing which stage you are in. More on preventative treatment in Oakville, on Instagram.</t>
        </is>
      </c>
      <c r="H19" s="45" t="n">
        <v>748</v>
      </c>
      <c r="I19" s="45" t="inlineStr">
        <is>
          <t>Learn more</t>
        </is>
      </c>
      <c r="J19" s="47" t="inlineStr">
        <is>
          <t>@luxury_beauty_aestheticz</t>
        </is>
      </c>
      <c r="K19" s="45" t="inlineStr">
        <is>
          <t>2026-09-05-prevention-beats-erasing.jpg</t>
        </is>
      </c>
      <c r="L19" s="47" t="inlineStr">
        <is>
          <t>Open folder</t>
        </is>
      </c>
      <c r="M19" s="47" t="inlineStr">
        <is>
          <t>Open image</t>
        </is>
      </c>
      <c r="N19" s="45">
        <f>IMAGE("https://raw.githubusercontent.com/RepoKing23/InstagramCarousel/claude/med-spa-carousel-ideas-sim9wz/content/gbp/2026-09-05-prevention-beats-erasing.jpg")</f>
        <v/>
      </c>
      <c r="O19" s="47" t="inlineStr">
        <is>
          <t>Elist Nguyen / Unsplash</t>
        </is>
      </c>
      <c r="P19" s="45" t="inlineStr">
        <is>
          <t>Ready</t>
        </is>
      </c>
      <c r="Q19" s="46" t="inlineStr"/>
    </row>
    <row r="20" ht="132" customHeight="1" s="14">
      <c r="A20" s="50" t="n">
        <v>46271</v>
      </c>
      <c r="B20" s="41" t="inlineStr">
        <is>
          <t>Sun</t>
        </is>
      </c>
      <c r="C20" s="41" t="inlineStr">
        <is>
          <t>GBP only</t>
        </is>
      </c>
      <c r="D20" s="41" t="inlineStr">
        <is>
          <t>Trust &amp; Proof</t>
        </is>
      </c>
      <c r="E20" s="42" t="inlineStr">
        <is>
          <t>Never had injectables before? Most first appointments start with a question the person thinks sounds silly. Bring all of them. You can book a consultation, ask everything, and leave without treatment. No pressure, ever. DM on Instagram.</t>
        </is>
      </c>
      <c r="F20" s="41" t="n">
        <v>236</v>
      </c>
      <c r="G20" s="42" t="inlineStr">
        <is>
          <t>Never had injectables before? Most first appointments open with a question the person thinks sounds silly.
They are not. The ones I hear most: will I look done, will people notice, what happens if I hate it, and can I still raise my eyebrows at my kids. All reasonable, all worth asking before anything is opened.
You can book a consultation, ask every one of them, and leave with treatment nothing more than an option. No deposit to have the conversation. No follow up chasing you afterwards.
If booking a room still feels like too much, message first. I answer my own DMs on Instagram and you will get a straight answer rather than a booking link. First timers welcome, in Oakville and from Burlington, Milton and Mississauga.</t>
        </is>
      </c>
      <c r="H20" s="41" t="n">
        <v>731</v>
      </c>
      <c r="I20" s="41" t="inlineStr">
        <is>
          <t>Learn more</t>
        </is>
      </c>
      <c r="J20" s="43" t="inlineStr">
        <is>
          <t>@luxury_beauty_aestheticz</t>
        </is>
      </c>
      <c r="K20" s="41" t="inlineStr">
        <is>
          <t>2026-09-06-first-timer.jpg</t>
        </is>
      </c>
      <c r="L20" s="43" t="inlineStr">
        <is>
          <t>Open folder</t>
        </is>
      </c>
      <c r="M20" s="43" t="inlineStr">
        <is>
          <t>Open image</t>
        </is>
      </c>
      <c r="N20" s="41">
        <f>IMAGE("https://raw.githubusercontent.com/RepoKing23/InstagramCarousel/claude/med-spa-carousel-ideas-sim9wz/content/gbp/2026-09-06-first-timer.jpg")</f>
        <v/>
      </c>
      <c r="O20" s="43" t="inlineStr">
        <is>
          <t>Ionela Mat / Unsplash</t>
        </is>
      </c>
      <c r="P20" s="41" t="inlineStr">
        <is>
          <t>Ready</t>
        </is>
      </c>
      <c r="Q20" s="42" t="inlineStr"/>
    </row>
    <row r="21" ht="132" customHeight="1" s="14">
      <c r="A21" s="51" t="n">
        <v>46272</v>
      </c>
      <c r="B21" s="45" t="inlineStr">
        <is>
          <t>Mon</t>
        </is>
      </c>
      <c r="C21" s="45" t="inlineStr">
        <is>
          <t>IG: Botox vs Dysport</t>
        </is>
      </c>
      <c r="D21" s="45" t="inlineStr">
        <is>
          <t>Education</t>
        </is>
      </c>
      <c r="E21" s="46" t="inlineStr">
        <is>
          <t>Botox or Dysport? Same family, different personalities. One spreads slightly more, one tends to kick in faster. Which suits you depends on the area and your muscle, not on which name you have heard of. Full comparison on Instagram.</t>
        </is>
      </c>
      <c r="F21" s="45" t="n">
        <v>231</v>
      </c>
      <c r="G21" s="46" t="inlineStr">
        <is>
          <t>Botox or Dysport? Same family, different personalities, and the choice matters less than most comparison articles suggest.
Dysport tends to spread a little more from the injection point and often kicks in a day or two sooner. Botox tends to stay put more precisely, which is useful in small areas where you want a tight boundary. Both relax the muscle the same way.
Which suits you depends on the area being treated and how your muscle behaves, not on which name you recognise. A broad forehead and a small crow's foot are not the same problem.
If you have had one and it wore off faster than expected, mention it at your consultation. Sometimes the answer is the other product, more often it is the dose. Full comparison, from an Oakville injector, on Instagram.</t>
        </is>
      </c>
      <c r="H21" s="45" t="n">
        <v>766</v>
      </c>
      <c r="I21" s="45" t="inlineStr">
        <is>
          <t>Learn more</t>
        </is>
      </c>
      <c r="J21" s="47" t="inlineStr">
        <is>
          <t>@luxury_beauty_aestheticz</t>
        </is>
      </c>
      <c r="K21" s="45" t="inlineStr">
        <is>
          <t>2026-09-07-botox-vs-dysport.jpg</t>
        </is>
      </c>
      <c r="L21" s="47" t="inlineStr">
        <is>
          <t>Open folder</t>
        </is>
      </c>
      <c r="M21" s="47" t="inlineStr">
        <is>
          <t>Open image</t>
        </is>
      </c>
      <c r="N21" s="45">
        <f>IMAGE("https://raw.githubusercontent.com/RepoKing23/InstagramCarousel/claude/med-spa-carousel-ideas-sim9wz/content/gbp/2026-09-07-botox-vs-dysport.jpg")</f>
        <v/>
      </c>
      <c r="O21" s="47" t="inlineStr">
        <is>
          <t>Neda Vidakovic / Unsplash</t>
        </is>
      </c>
      <c r="P21" s="45" t="inlineStr">
        <is>
          <t>Ready</t>
        </is>
      </c>
      <c r="Q21" s="46" t="inlineStr"/>
    </row>
    <row r="22" ht="132" customHeight="1" s="14">
      <c r="A22" s="51" t="n">
        <v>46273</v>
      </c>
      <c r="B22" s="45" t="inlineStr">
        <is>
          <t>Tue</t>
        </is>
      </c>
      <c r="C22" s="45" t="inlineStr">
        <is>
          <t>IG: Botox vs Dysport at a Glance</t>
        </is>
      </c>
      <c r="D22" s="45" t="inlineStr">
        <is>
          <t>Education</t>
        </is>
      </c>
      <c r="E22" s="46" t="inlineStr">
        <is>
          <t>Onset, spread and how long each one lasts, side by side. Not so you can pick for yourself, but so you can ask a sharper question at your consultation. The comparison card is on Instagram.</t>
        </is>
      </c>
      <c r="F22" s="45" t="n">
        <v>187</v>
      </c>
      <c r="G22" s="46" t="inlineStr">
        <is>
          <t>Onset, spread and duration side by side, so you can ask a sharper question at your consultation.
Onset: Dysport often shows in two to three days, Botox around three to five. Both fully settle at two weeks, which is when we judge the result, not before. Spread: Dysport diffuses a little wider from each point, Botox stays tighter. Duration: three to four months for most people with either one.
That is the honest extent of the difference. Anyone telling you one is dramatically better than the other is selling something.
The more useful conversation is about your muscle, your area and your dose. Bring the comparison to a consultation in Oakville and we will work from there. The card is on Instagram.</t>
        </is>
      </c>
      <c r="H22" s="45" t="n">
        <v>707</v>
      </c>
      <c r="I22" s="45" t="inlineStr">
        <is>
          <t>Learn more</t>
        </is>
      </c>
      <c r="J22" s="47" t="inlineStr">
        <is>
          <t>@luxury_beauty_aestheticz</t>
        </is>
      </c>
      <c r="K22" s="45" t="inlineStr">
        <is>
          <t>2026-09-08-at-a-glance.jpg</t>
        </is>
      </c>
      <c r="L22" s="47" t="inlineStr">
        <is>
          <t>Open folder</t>
        </is>
      </c>
      <c r="M22" s="47" t="inlineStr">
        <is>
          <t>Open image</t>
        </is>
      </c>
      <c r="N22" s="45">
        <f>IMAGE("https://raw.githubusercontent.com/RepoKing23/InstagramCarousel/claude/med-spa-carousel-ideas-sim9wz/content/gbp/2026-09-08-at-a-glance.jpg")</f>
        <v/>
      </c>
      <c r="O22" s="47" t="inlineStr">
        <is>
          <t>Vitaliy Shevchenko / Unsplash</t>
        </is>
      </c>
      <c r="P22" s="45" t="inlineStr">
        <is>
          <t>Ready</t>
        </is>
      </c>
      <c r="Q22" s="46" t="inlineStr"/>
    </row>
    <row r="23" ht="132" customHeight="1" s="14">
      <c r="A23" s="50" t="n">
        <v>46274</v>
      </c>
      <c r="B23" s="41" t="inlineStr">
        <is>
          <t>Wed</t>
        </is>
      </c>
      <c r="C23" s="41" t="inlineStr">
        <is>
          <t>GBP only</t>
        </is>
      </c>
      <c r="D23" s="41" t="inlineStr">
        <is>
          <t>Education</t>
        </is>
      </c>
      <c r="E23" s="42" t="inlineStr">
        <is>
          <t>Aftercare, the short version. Stay upright for four hours, skip the gym for the rest of the day, and leave the treated area alone. Three rules that matter more than everything else you will read online. Full guide on Instagram.</t>
        </is>
      </c>
      <c r="F23" s="41" t="n">
        <v>227</v>
      </c>
      <c r="G23" s="42" t="inlineStr">
        <is>
          <t>Aftercare, the short version. Stay upright for four hours, skip the gym for the rest of the day, and leave the treated area alone.
The reasoning is the same for all three. Product needs to stay where it was placed while it binds. Lying flat, raising your heart rate hard, or rubbing the area can move it a few millimetres, and a few millimetres is the difference between a good result and a heavy brow.
Things that are fine: normal walking, work, makeup after a few hours, a glass of wine. Things worth avoiding for 24 hours: hot yoga, saunas, facials and face down massage.
A small raised bump at each point is normal and settles within an hour. The full Botox aftercare guide is on Instagram, worth saving before your appointment rather than after.</t>
        </is>
      </c>
      <c r="H23" s="41" t="n">
        <v>753</v>
      </c>
      <c r="I23" s="41" t="inlineStr">
        <is>
          <t>Learn more</t>
        </is>
      </c>
      <c r="J23" s="43" t="inlineStr">
        <is>
          <t>@luxury_beauty_aestheticz</t>
        </is>
      </c>
      <c r="K23" s="41" t="inlineStr">
        <is>
          <t>2026-09-09-aftercare-rules.jpg</t>
        </is>
      </c>
      <c r="L23" s="43" t="inlineStr">
        <is>
          <t>Open folder</t>
        </is>
      </c>
      <c r="M23" s="43" t="inlineStr">
        <is>
          <t>Open image</t>
        </is>
      </c>
      <c r="N23" s="41">
        <f>IMAGE("https://raw.githubusercontent.com/RepoKing23/InstagramCarousel/claude/med-spa-carousel-ideas-sim9wz/content/gbp/2026-09-09-aftercare-rules.jpg")</f>
        <v/>
      </c>
      <c r="O23" s="43" t="inlineStr">
        <is>
          <t>Soheil Kmp / Unsplash</t>
        </is>
      </c>
      <c r="P23" s="41" t="inlineStr">
        <is>
          <t>Ready</t>
        </is>
      </c>
      <c r="Q23" s="42" t="inlineStr"/>
    </row>
    <row r="24" ht="132" customHeight="1" s="14">
      <c r="A24" s="51" t="n">
        <v>46275</v>
      </c>
      <c r="B24" s="45" t="inlineStr">
        <is>
          <t>Thu</t>
        </is>
      </c>
      <c r="C24" s="45" t="inlineStr">
        <is>
          <t>IG: Botox Aftercare, The First 48 Hours</t>
        </is>
      </c>
      <c r="D24" s="45" t="inlineStr">
        <is>
          <t>Education</t>
        </is>
      </c>
      <c r="E24" s="46" t="inlineStr">
        <is>
          <t>You got Botox. Now what? What to do, what to skip, and which small things are completely normal in the first 48 hours. Save it before your appointment, not after. The full guide is on Instagram.</t>
        </is>
      </c>
      <c r="F24" s="45" t="n">
        <v>194</v>
      </c>
      <c r="G24" s="46" t="inlineStr">
        <is>
          <t>You got Botox. Now what? Here is what the first 48 hours actually look like.
First four hours: stay upright and leave the area alone. First day: no gym, no sauna, no face down massage. Small raised bumps at each injection point settle within the hour, and a pinprick mark or light bruise is common and covers with makeup after a few hours.
Day two to three is when most people notice movement starting to ease. It is gradual, and it is uneven at first, which is normal and not a sign something went wrong.
Do not judge anything until two weeks. That is when Botox has fully settled and when we look properly at your follow up, included with every appointment in Oakville. Save the full guide from Instagram.</t>
        </is>
      </c>
      <c r="H24" s="45" t="n">
        <v>710</v>
      </c>
      <c r="I24" s="45" t="inlineStr">
        <is>
          <t>Learn more</t>
        </is>
      </c>
      <c r="J24" s="47" t="inlineStr">
        <is>
          <t>@luxury_beauty_aestheticz</t>
        </is>
      </c>
      <c r="K24" s="45" t="inlineStr">
        <is>
          <t>2026-09-10-first-48-hours.jpg</t>
        </is>
      </c>
      <c r="L24" s="47" t="inlineStr">
        <is>
          <t>Open folder</t>
        </is>
      </c>
      <c r="M24" s="47" t="inlineStr">
        <is>
          <t>Open image</t>
        </is>
      </c>
      <c r="N24" s="45">
        <f>IMAGE("https://raw.githubusercontent.com/RepoKing23/InstagramCarousel/claude/med-spa-carousel-ideas-sim9wz/content/gbp/2026-09-10-first-48-hours.jpg")</f>
        <v/>
      </c>
      <c r="O24" s="47" t="inlineStr">
        <is>
          <t>Masum Rahimi / Unsplash</t>
        </is>
      </c>
      <c r="P24" s="45" t="inlineStr">
        <is>
          <t>Ready</t>
        </is>
      </c>
      <c r="Q24" s="46" t="inlineStr"/>
    </row>
    <row r="25" ht="132" customHeight="1" s="14">
      <c r="A25" s="51" t="n">
        <v>46276</v>
      </c>
      <c r="B25" s="45" t="inlineStr">
        <is>
          <t>Fri</t>
        </is>
      </c>
      <c r="C25" s="45" t="inlineStr">
        <is>
          <t>IG: The Face Map</t>
        </is>
      </c>
      <c r="D25" s="45" t="inlineStr">
        <is>
          <t>Trust &amp; Proof</t>
        </is>
      </c>
      <c r="E25" s="46" t="inlineStr">
        <is>
          <t>Every face gets its own map. Yours is drawn while it moves, because a muscle sitting still tells you almost nothing about where the product should go. That map is why two people never get the same dose. On Instagram.</t>
        </is>
      </c>
      <c r="F25" s="45" t="n">
        <v>216</v>
      </c>
      <c r="G25" s="46" t="inlineStr">
        <is>
          <t>Every face gets its own map, and yours is drawn while it moves.
A muscle sitting still tells you almost nothing. I need to see the frown, the lift, the squint and the smile, because that is where the pull actually is. People are rarely symmetrical. One brow usually works harder, and treating both sides identically is how you end up with a lift on one side and not the other.
The map is why two people with the same concern get different unit counts and different placements. It is also why I keep yours between visits. The second appointment starts from what your face did with the first one, rather than from scratch.
That is the difference between a plan and a menu, and it is why no two Botox appointments here use the same numbers. See how the mapping works on Instagram.</t>
        </is>
      </c>
      <c r="H25" s="45" t="n">
        <v>780</v>
      </c>
      <c r="I25" s="45" t="inlineStr">
        <is>
          <t>Learn more</t>
        </is>
      </c>
      <c r="J25" s="47" t="inlineStr">
        <is>
          <t>@luxury_beauty_aestheticz</t>
        </is>
      </c>
      <c r="K25" s="45" t="inlineStr">
        <is>
          <t>2026-09-11-the-face-map.jpg</t>
        </is>
      </c>
      <c r="L25" s="47" t="inlineStr">
        <is>
          <t>Open folder</t>
        </is>
      </c>
      <c r="M25" s="47" t="inlineStr">
        <is>
          <t>Open image</t>
        </is>
      </c>
      <c r="N25" s="45">
        <f>IMAGE("https://raw.githubusercontent.com/RepoKing23/InstagramCarousel/claude/med-spa-carousel-ideas-sim9wz/content/gbp/2026-09-11-the-face-map.jpg")</f>
        <v/>
      </c>
      <c r="O25" s="47" t="inlineStr">
        <is>
          <t>JEaLiFe Pictures / Unsplash</t>
        </is>
      </c>
      <c r="P25" s="45" t="inlineStr">
        <is>
          <t>Ready</t>
        </is>
      </c>
      <c r="Q25" s="46" t="inlineStr"/>
    </row>
    <row r="26" ht="132" customHeight="1" s="14">
      <c r="A26" s="51" t="n">
        <v>46277</v>
      </c>
      <c r="B26" s="45" t="inlineStr">
        <is>
          <t>Sat</t>
        </is>
      </c>
      <c r="C26" s="45" t="inlineStr">
        <is>
          <t>IG: FAQ, Does Botox Hurt?</t>
        </is>
      </c>
      <c r="D26" s="45" t="inlineStr">
        <is>
          <t>Education</t>
        </is>
      </c>
      <c r="E26" s="46" t="inlineStr">
        <is>
          <t>Does it hurt? Honest answer, a quick pinch and a few seconds per area. The needle is very fine and most people say it was easier than the version they had built up in their head. No fluff, on Instagram.</t>
        </is>
      </c>
      <c r="F26" s="45" t="n">
        <v>202</v>
      </c>
      <c r="G26" s="46" t="inlineStr">
        <is>
          <t>Does it hurt? Honest answer: a quick pinch, a few seconds per area.
The needle is very fine, finer than the one used for bloodwork, and each injection point takes about a second. A forehead is usually four to six points. Most people describe it as a sharp scratch that is over before they have finished bracing for it.
Some spots are more sensitive than others. Between the brows is the one people feel most. The area around the eyes is usually the easiest. No numbing cream is needed for a neuromodulator, though it is an option for filler.
Most people say it was easier than the version they had built up in their head, and the second appointment is always easier than the first. Ask me anything about Botox in Oakville on Instagram.</t>
        </is>
      </c>
      <c r="H26" s="45" t="n">
        <v>738</v>
      </c>
      <c r="I26" s="45" t="inlineStr">
        <is>
          <t>Learn more</t>
        </is>
      </c>
      <c r="J26" s="47" t="inlineStr">
        <is>
          <t>@luxury_beauty_aestheticz</t>
        </is>
      </c>
      <c r="K26" s="45" t="inlineStr">
        <is>
          <t>2026-09-12-does-it-hurt.jpg</t>
        </is>
      </c>
      <c r="L26" s="47" t="inlineStr">
        <is>
          <t>Open folder</t>
        </is>
      </c>
      <c r="M26" s="47" t="inlineStr">
        <is>
          <t>Open image</t>
        </is>
      </c>
      <c r="N26" s="45">
        <f>IMAGE("https://raw.githubusercontent.com/RepoKing23/InstagramCarousel/claude/med-spa-carousel-ideas-sim9wz/content/gbp/2026-09-12-does-it-hurt.jpg")</f>
        <v/>
      </c>
      <c r="O26" s="47" t="inlineStr">
        <is>
          <t>Victor Meza / Unsplash</t>
        </is>
      </c>
      <c r="P26" s="45" t="inlineStr">
        <is>
          <t>Ready</t>
        </is>
      </c>
      <c r="Q26" s="46" t="inlineStr"/>
    </row>
    <row r="27" ht="132" customHeight="1" s="14">
      <c r="A27" s="50" t="n">
        <v>46278</v>
      </c>
      <c r="B27" s="41" t="inlineStr">
        <is>
          <t>Sun</t>
        </is>
      </c>
      <c r="C27" s="41" t="inlineStr">
        <is>
          <t>GBP only</t>
        </is>
      </c>
      <c r="D27" s="41" t="inlineStr">
        <is>
          <t>Trust &amp; Proof</t>
        </is>
      </c>
      <c r="E27" s="42" t="inlineStr">
        <is>
          <t>The goal is never a new face. It is your face on a better week, with nobody able to say quite why. If the result announces itself, something went wrong. See what that looks like on Instagram.</t>
        </is>
      </c>
      <c r="F27" s="41" t="n">
        <v>191</v>
      </c>
      <c r="G27" s="42" t="inlineStr">
        <is>
          <t>The goal is never a new face. It is your face on a better week, with nobody able to say quite why.
That sounds modest until you see the alternative. Overdone work announces itself: a forehead that will not move, brows sitting in a place they have never sat, lips that arrive in a room first. Once a face crosses that line, everyone reads it as work, including people who cannot name what changed.
Staying on the right side of it is mostly about restraint. Fewer units than the maximum. Stopping while it still looks understated. Being willing to leave asymmetry that is actually just your face.
If a result announces itself, something went wrong. That standard is why people drive to this Oakville studio from Burlington and Milton for Botox. See the alternative on Instagram.</t>
        </is>
      </c>
      <c r="H27" s="41" t="n">
        <v>779</v>
      </c>
      <c r="I27" s="41" t="inlineStr">
        <is>
          <t>Learn more</t>
        </is>
      </c>
      <c r="J27" s="43" t="inlineStr">
        <is>
          <t>@luxury_beauty_aestheticz</t>
        </is>
      </c>
      <c r="K27" s="41" t="inlineStr">
        <is>
          <t>2026-09-13-still-look-like-you.jpg</t>
        </is>
      </c>
      <c r="L27" s="43" t="inlineStr">
        <is>
          <t>Open folder</t>
        </is>
      </c>
      <c r="M27" s="43" t="inlineStr">
        <is>
          <t>Open image</t>
        </is>
      </c>
      <c r="N27" s="41">
        <f>IMAGE("https://raw.githubusercontent.com/RepoKing23/InstagramCarousel/claude/med-spa-carousel-ideas-sim9wz/content/gbp/2026-09-13-still-look-like-you.jpg")</f>
        <v/>
      </c>
      <c r="O27" s="43" t="inlineStr">
        <is>
          <t>Zac Taheriyan / Unsplash</t>
        </is>
      </c>
      <c r="P27" s="41" t="inlineStr">
        <is>
          <t>Ready</t>
        </is>
      </c>
      <c r="Q27" s="42" t="inlineStr"/>
    </row>
    <row r="28" ht="132" customHeight="1" s="14">
      <c r="A28" s="51" t="n">
        <v>46279</v>
      </c>
      <c r="B28" s="45" t="inlineStr">
        <is>
          <t>Mon</t>
        </is>
      </c>
      <c r="C28" s="45" t="inlineStr">
        <is>
          <t>IG: 5 Things Botox Can't Do</t>
        </is>
      </c>
      <c r="D28" s="45" t="inlineStr">
        <is>
          <t>Trust &amp; Proof</t>
        </is>
      </c>
      <c r="E28" s="46" t="inlineStr">
        <is>
          <t>Five things Botox cannot do. It softens lines made by movement. It will not lift heavy skin, replace lost volume, or undo sun damage. Knowing the limits is how you avoid paying for the wrong treatment. Full list on Instagram.</t>
        </is>
      </c>
      <c r="F28" s="45" t="n">
        <v>225</v>
      </c>
      <c r="G28" s="46" t="inlineStr">
        <is>
          <t>Five things Botox cannot do, so you do not pay for the wrong treatment.
It will not lift heavy skin. That is a laxity issue and needs energy based treatment or surgery. It will not replace lost volume, which is what filler is for. It will not undo sun damage or fix pigment and texture, which is a skin health question. It will not shrink pores. And it will not remove a line that is fully etched at rest, though it will soften it and stop it deepening.
What it does do, well, is relax the muscle making a movement line so the skin above it stops folding.
If your concern is on this list, say so at your consultation and we will talk about what actually addresses it, whether that is filler, a skin plan, or nothing at all. Full list on Instagram.</t>
        </is>
      </c>
      <c r="H28" s="45" t="n">
        <v>750</v>
      </c>
      <c r="I28" s="45" t="inlineStr">
        <is>
          <t>Learn more</t>
        </is>
      </c>
      <c r="J28" s="47" t="inlineStr">
        <is>
          <t>@luxury_beauty_aestheticz</t>
        </is>
      </c>
      <c r="K28" s="45" t="inlineStr">
        <is>
          <t>2026-09-14-5-things-botox-cannot-do.jpg</t>
        </is>
      </c>
      <c r="L28" s="47" t="inlineStr">
        <is>
          <t>Open folder</t>
        </is>
      </c>
      <c r="M28" s="47" t="inlineStr">
        <is>
          <t>Open image</t>
        </is>
      </c>
      <c r="N28" s="45">
        <f>IMAGE("https://raw.githubusercontent.com/RepoKing23/InstagramCarousel/claude/med-spa-carousel-ideas-sim9wz/content/gbp/2026-09-14-5-things-botox-cannot-do.jpg")</f>
        <v/>
      </c>
      <c r="O28" s="47" t="inlineStr">
        <is>
          <t>Fleur Kaan / Unsplash</t>
        </is>
      </c>
      <c r="P28" s="45" t="inlineStr">
        <is>
          <t>Ready</t>
        </is>
      </c>
      <c r="Q28" s="46" t="inlineStr"/>
    </row>
    <row r="29" ht="132" customHeight="1" s="14">
      <c r="A29" s="51" t="n">
        <v>46280</v>
      </c>
      <c r="B29" s="45" t="inlineStr">
        <is>
          <t>Tue</t>
        </is>
      </c>
      <c r="C29" s="45" t="inlineStr">
        <is>
          <t>IG: What Botox Can't Fix</t>
        </is>
      </c>
      <c r="D29" s="45" t="inlineStr">
        <is>
          <t>Education</t>
        </is>
      </c>
      <c r="E29" s="46" t="inlineStr">
        <is>
          <t>If a line is still there when your face is completely still, Botox is not the answer for it. That is a volume or a skin quality question, and it needs a different plan. Honest expectations, always. More on Instagram.</t>
        </is>
      </c>
      <c r="F29" s="45" t="n">
        <v>216</v>
      </c>
      <c r="G29" s="46" t="inlineStr">
        <is>
          <t>If a line is still there when your face is completely still, a neuromodulator is not the answer for it.
That is the simplest test I can give you. Relax everything, look straight ahead, and see what remains. A line that only shows when you move is a muscle problem, which is what Botox treats. A line sitting there at rest is either volume loss or skin quality, and both need a different plan.
Plenty of faces have both at once. The nasolabial folds are the usual example, where people book a neuromodulator and are disappointed because the fold was never about movement.
Honest expectations save money, and they are the reason people keep coming back to this Oakville studio. Send a relaxed photo and a moving one if you want a straight answer before booking. More on Instagram.</t>
        </is>
      </c>
      <c r="H29" s="45" t="n">
        <v>781</v>
      </c>
      <c r="I29" s="45" t="inlineStr">
        <is>
          <t>Learn more</t>
        </is>
      </c>
      <c r="J29" s="47" t="inlineStr">
        <is>
          <t>@luxury_beauty_aestheticz</t>
        </is>
      </c>
      <c r="K29" s="45" t="inlineStr">
        <is>
          <t>2026-09-15-what-it-cannot-fix.jpg</t>
        </is>
      </c>
      <c r="L29" s="47" t="inlineStr">
        <is>
          <t>Open folder</t>
        </is>
      </c>
      <c r="M29" s="47" t="inlineStr">
        <is>
          <t>Open image</t>
        </is>
      </c>
      <c r="N29" s="45">
        <f>IMAGE("https://raw.githubusercontent.com/RepoKing23/InstagramCarousel/claude/med-spa-carousel-ideas-sim9wz/content/gbp/2026-09-15-what-it-cannot-fix.jpg")</f>
        <v/>
      </c>
      <c r="O29" s="47" t="inlineStr">
        <is>
          <t>Fleur Kaan / Unsplash</t>
        </is>
      </c>
      <c r="P29" s="45" t="inlineStr">
        <is>
          <t>Ready</t>
        </is>
      </c>
      <c r="Q29" s="46" t="inlineStr"/>
    </row>
    <row r="30" ht="132" customHeight="1" s="14">
      <c r="A30" s="50" t="n">
        <v>46281</v>
      </c>
      <c r="B30" s="41" t="inlineStr">
        <is>
          <t>Wed</t>
        </is>
      </c>
      <c r="C30" s="41" t="inlineStr">
        <is>
          <t>GBP only</t>
        </is>
      </c>
      <c r="D30" s="41" t="inlineStr">
        <is>
          <t>Trust &amp; Proof</t>
        </is>
      </c>
      <c r="E30" s="42" t="inlineStr">
        <is>
          <t>Booking is a message, not a phone tree. Send a DM on Instagram and it is answered by Cleo herself, usually the same day. Tell me what is bothering you and I will tell you honestly whether I can help. We are at 3060 Preserve Dr, Oakville.</t>
        </is>
      </c>
      <c r="F30" s="41" t="n">
        <v>237</v>
      </c>
      <c r="G30" s="42" t="inlineStr">
        <is>
          <t>Booking is a message, not a phone tree. Send a DM on Instagram and it is answered by Cleo, usually the same day.
Tell me what is bothering you, in whatever words you have. You do not need to know the treatment name or the area. Plenty of people open with a photo and a sentence about hating one particular line, and that is enough to start.
I will tell you honestly whether I can help, roughly what it would take, and what it costs. If the answer is that you do not need anything yet, you will get that too.
We are at 3060 Preserve Dr in Oakville, with free parking at the door, seeing Botox and filler clients from Burlington, Milton and Mississauga. One appointment in the room at a time.</t>
        </is>
      </c>
      <c r="H30" s="41" t="n">
        <v>693</v>
      </c>
      <c r="I30" s="41" t="inlineStr">
        <is>
          <t>Learn more</t>
        </is>
      </c>
      <c r="J30" s="43" t="inlineStr">
        <is>
          <t>@luxury_beauty_aestheticz</t>
        </is>
      </c>
      <c r="K30" s="41" t="inlineStr">
        <is>
          <t>2026-09-16-how-to-book.jpg</t>
        </is>
      </c>
      <c r="L30" s="43" t="inlineStr">
        <is>
          <t>Open folder</t>
        </is>
      </c>
      <c r="M30" s="43" t="inlineStr">
        <is>
          <t>Open image</t>
        </is>
      </c>
      <c r="N30" s="41">
        <f>IMAGE("https://raw.githubusercontent.com/RepoKing23/InstagramCarousel/claude/med-spa-carousel-ideas-sim9wz/content/gbp/2026-09-16-how-to-book.jpg")</f>
        <v/>
      </c>
      <c r="O30" s="43" t="inlineStr">
        <is>
          <t>Wco Global / Unsplash</t>
        </is>
      </c>
      <c r="P30" s="41" t="inlineStr">
        <is>
          <t>Ready</t>
        </is>
      </c>
      <c r="Q30" s="42" t="inlineStr"/>
    </row>
    <row r="31" ht="132" customHeight="1" s="14">
      <c r="A31" s="51" t="n">
        <v>46282</v>
      </c>
      <c r="B31" s="45" t="inlineStr">
        <is>
          <t>Thu</t>
        </is>
      </c>
      <c r="C31" s="45" t="inlineStr">
        <is>
          <t>IG: Still You, Just Refreshed</t>
        </is>
      </c>
      <c r="D31" s="45" t="inlineStr">
        <is>
          <t>Trust &amp; Proof</t>
        </is>
      </c>
      <c r="E31" s="46" t="inlineStr">
        <is>
          <t>You will not look done. You will look like you slept properly for a week. That is the whole standard here, and it is why the dose is built around your face instead of a template. See it on Instagram.</t>
        </is>
      </c>
      <c r="F31" s="45" t="n">
        <v>199</v>
      </c>
      <c r="G31" s="46" t="inlineStr">
        <is>
          <t>You will not look done. You will look like you slept properly for a week.
That is the whole standard, and it drives every dosing decision here. The dose is built around your face rather than a template, which usually means fewer units than a chart would suggest and a follow up at two weeks to fine tune rather than one heavy session.
It also means leaving movement alone where movement is doing useful work. A completely still forehead is easy to achieve and almost always reads as work. Softer lines with full expression takes more judgement and is what people actually want when they describe looking refreshed.
Still you, just less tired. That is what good Botox looks like in Oakville, and you can see it on Instagram.</t>
        </is>
      </c>
      <c r="H31" s="45" t="n">
        <v>726</v>
      </c>
      <c r="I31" s="45" t="inlineStr">
        <is>
          <t>Learn more</t>
        </is>
      </c>
      <c r="J31" s="47" t="inlineStr">
        <is>
          <t>@luxury_beauty_aestheticz</t>
        </is>
      </c>
      <c r="K31" s="45" t="inlineStr">
        <is>
          <t>2026-09-17-still-you-just-refreshed.jpg</t>
        </is>
      </c>
      <c r="L31" s="47" t="inlineStr">
        <is>
          <t>Open folder</t>
        </is>
      </c>
      <c r="M31" s="47" t="inlineStr">
        <is>
          <t>Open image</t>
        </is>
      </c>
      <c r="N31" s="45">
        <f>IMAGE("https://raw.githubusercontent.com/RepoKing23/InstagramCarousel/claude/med-spa-carousel-ideas-sim9wz/content/gbp/2026-09-17-still-you-just-refreshed.jpg")</f>
        <v/>
      </c>
      <c r="O31" s="47" t="inlineStr">
        <is>
          <t>Zulfugar Karimov / Unsplash</t>
        </is>
      </c>
      <c r="P31" s="45" t="inlineStr">
        <is>
          <t>Ready</t>
        </is>
      </c>
      <c r="Q31" s="46" t="inlineStr"/>
    </row>
    <row r="32" ht="132" customHeight="1" s="14">
      <c r="A32" s="51" t="n">
        <v>46283</v>
      </c>
      <c r="B32" s="45" t="inlineStr">
        <is>
          <t>Fri</t>
        </is>
      </c>
      <c r="C32" s="45" t="inlineStr">
        <is>
          <t>IG: Myth vs Truth, The Frozen Face</t>
        </is>
      </c>
      <c r="D32" s="45" t="inlineStr">
        <is>
          <t>Education</t>
        </is>
      </c>
      <c r="E32" s="46" t="inlineStr">
        <is>
          <t>The frozen face is a dosing mistake, not what the treatment does. Done properly you keep your expressions and lose the deep etched lines. The classic fear, debunked on Instagram.</t>
        </is>
      </c>
      <c r="F32" s="45" t="n">
        <v>178</v>
      </c>
      <c r="G32" s="46" t="inlineStr">
        <is>
          <t>The frozen face is a dosing mistake, not what the treatment does.
It happens when too much product goes into too many muscles at once, usually because someone treated a whole area by default rather than the specific muscle that was pulling. The result is a face that cannot express, which is the outcome everyone is afraid of and the reason plenty of people never book.
Done properly you keep your expressions and lose the deep etched lines. You should still be able to frown, lift your brows and squint. The difference shows in photos, where you look like yourself rather than smoothed over.
If frozen is what has put you off Botox, say that at your consultation. It changes how I dose. The classic fear, debunked on Instagram.</t>
        </is>
      </c>
      <c r="H32" s="45" t="n">
        <v>731</v>
      </c>
      <c r="I32" s="45" t="inlineStr">
        <is>
          <t>Learn more</t>
        </is>
      </c>
      <c r="J32" s="47" t="inlineStr">
        <is>
          <t>@luxury_beauty_aestheticz</t>
        </is>
      </c>
      <c r="K32" s="45" t="inlineStr">
        <is>
          <t>2026-09-18-frozen-face-myth.jpg</t>
        </is>
      </c>
      <c r="L32" s="47" t="inlineStr">
        <is>
          <t>Open folder</t>
        </is>
      </c>
      <c r="M32" s="47" t="inlineStr">
        <is>
          <t>Open image</t>
        </is>
      </c>
      <c r="N32" s="45">
        <f>IMAGE("https://raw.githubusercontent.com/RepoKing23/InstagramCarousel/claude/med-spa-carousel-ideas-sim9wz/content/gbp/2026-09-18-frozen-face-myth.jpg")</f>
        <v/>
      </c>
      <c r="O32" s="47" t="inlineStr">
        <is>
          <t>Neda Vidakovic / Unsplash</t>
        </is>
      </c>
      <c r="P32" s="45" t="inlineStr">
        <is>
          <t>Ready</t>
        </is>
      </c>
      <c r="Q32" s="46" t="inlineStr"/>
    </row>
    <row r="33" ht="132" customHeight="1" s="14">
      <c r="A33" s="51" t="n">
        <v>46284</v>
      </c>
      <c r="B33" s="45" t="inlineStr">
        <is>
          <t>Sat</t>
        </is>
      </c>
      <c r="C33" s="45" t="inlineStr">
        <is>
          <t>IG: Client Words, Natural Results</t>
        </is>
      </c>
      <c r="D33" s="45" t="inlineStr">
        <is>
          <t>Trust &amp; Proof</t>
        </is>
      </c>
      <c r="E33" s="46" t="inlineStr">
        <is>
          <t>Nobody guessed. That was the point. The compliment we are aiming for is whether you changed your skincare or got back from holiday, never what you had done. Client words on Instagram.</t>
        </is>
      </c>
      <c r="F33" s="45" t="n">
        <v>183</v>
      </c>
      <c r="G33" s="46" t="inlineStr">
        <is>
          <t>Nobody guessed. That was the point.
The compliments worth aiming for are the vague ones. Did you change your skincare. Have you been away. You look well rested. Nobody in that list is identifying a treatment, which means the work sat inside the range where it reads as you on a good week.
Getting there is unglamorous. It is conservative dosing, a two week follow up rather than one heavy session, and being willing to leave a small asymmetry that is just how your face is built.
The clients who come to this Oakville studio from Burlington, Milton and Mississauga mostly arrive on referral from someone whose Botox nobody could place. That is the referral I want. Client words on Instagram.</t>
        </is>
      </c>
      <c r="H33" s="45" t="n">
        <v>694</v>
      </c>
      <c r="I33" s="45" t="inlineStr">
        <is>
          <t>Learn more</t>
        </is>
      </c>
      <c r="J33" s="47" t="inlineStr">
        <is>
          <t>@luxury_beauty_aestheticz</t>
        </is>
      </c>
      <c r="K33" s="45" t="inlineStr">
        <is>
          <t>2026-09-19-nobody-guessed.jpg</t>
        </is>
      </c>
      <c r="L33" s="47" t="inlineStr">
        <is>
          <t>Open folder</t>
        </is>
      </c>
      <c r="M33" s="47" t="inlineStr">
        <is>
          <t>Open image</t>
        </is>
      </c>
      <c r="N33" s="45">
        <f>IMAGE("https://raw.githubusercontent.com/RepoKing23/InstagramCarousel/claude/med-spa-carousel-ideas-sim9wz/content/gbp/2026-09-19-nobody-guessed.jpg")</f>
        <v/>
      </c>
      <c r="O33" s="47" t="inlineStr">
        <is>
          <t>Vitaliy Shevchenko / Unsplash</t>
        </is>
      </c>
      <c r="P33" s="45" t="inlineStr">
        <is>
          <t>Ready</t>
        </is>
      </c>
      <c r="Q33" s="46" t="inlineStr"/>
    </row>
    <row r="34" ht="132" customHeight="1" s="14">
      <c r="A34" s="50" t="n">
        <v>46285</v>
      </c>
      <c r="B34" s="41" t="inlineStr">
        <is>
          <t>Sun</t>
        </is>
      </c>
      <c r="C34" s="41" t="inlineStr">
        <is>
          <t>GBP only</t>
        </is>
      </c>
      <c r="D34" s="41" t="inlineStr">
        <is>
          <t>Trust &amp; Proof</t>
        </is>
      </c>
      <c r="E34" s="42" t="inlineStr">
        <is>
          <t>Based at 3060 Preserve Dr in Oakville, with clients coming from Burlington, Milton and Mississauga. Private studio, free parking at the door, one appointment in the room at a time. Say hello on Instagram.</t>
        </is>
      </c>
      <c r="F34" s="41" t="n">
        <v>204</v>
      </c>
      <c r="G34" s="42" t="inlineStr">
        <is>
          <t>Based at 3060 Preserve Dr in Oakville, seeing clients from Burlington, Milton and Mississauga.
It is a private studio rather than a clinic floor, with free parking at the door and one appointment in the room at a time. Most people are in and out inside an hour for a first visit, closer to twenty minutes once they are established.
People travel here for a specific reason and it is usually not location. It is that the same nurse practitioner injects every appointment, the dose is explained before anything is opened, and the answer is sometimes no.
If you are anywhere in Halton or west Mississauga and weighing up where to go for Botox or filler, message me on Instagram and ask whatever you need to before booking.</t>
        </is>
      </c>
      <c r="H34" s="41" t="n">
        <v>722</v>
      </c>
      <c r="I34" s="41" t="inlineStr">
        <is>
          <t>Learn more</t>
        </is>
      </c>
      <c r="J34" s="43" t="inlineStr">
        <is>
          <t>@luxury_beauty_aestheticz</t>
        </is>
      </c>
      <c r="K34" s="41" t="inlineStr">
        <is>
          <t>2026-09-20-service-area.jpg</t>
        </is>
      </c>
      <c r="L34" s="43" t="inlineStr">
        <is>
          <t>Open folder</t>
        </is>
      </c>
      <c r="M34" s="43" t="inlineStr">
        <is>
          <t>Open image</t>
        </is>
      </c>
      <c r="N34" s="41">
        <f>IMAGE("https://raw.githubusercontent.com/RepoKing23/InstagramCarousel/claude/med-spa-carousel-ideas-sim9wz/content/gbp/2026-09-20-service-area.jpg")</f>
        <v/>
      </c>
      <c r="O34" s="43" t="inlineStr">
        <is>
          <t>Elist Nguyen / Unsplash</t>
        </is>
      </c>
      <c r="P34" s="41" t="inlineStr">
        <is>
          <t>Ready</t>
        </is>
      </c>
      <c r="Q34" s="42" t="inlineStr"/>
    </row>
    <row r="35" ht="132" customHeight="1" s="14">
      <c r="A35" s="51" t="n">
        <v>46286</v>
      </c>
      <c r="B35" s="45" t="inlineStr">
        <is>
          <t>Mon</t>
        </is>
      </c>
      <c r="C35" s="45" t="inlineStr">
        <is>
          <t>IG: Botox or Filler?</t>
        </is>
      </c>
      <c r="D35" s="45" t="inlineStr">
        <is>
          <t>Education</t>
        </is>
      </c>
      <c r="E35" s="46" t="inlineStr">
        <is>
          <t>Botox or filler? You might be asking for the wrong one. Lines made by movement need a neuromodulator. Hollowness and lost volume need filler. Booking the wrong one is the most common and most expensive mistake. Explained on Instagram.</t>
        </is>
      </c>
      <c r="F35" s="45" t="n">
        <v>234</v>
      </c>
      <c r="G35" s="46" t="inlineStr">
        <is>
          <t>Botox or filler? You might be asking for the wrong one, and it is the most expensive mistake in this business.
Lines made by movement need a neuromodulator, which relaxes the muscle doing the folding. Hollowness, flatness and lost volume need filler, which replaces structure that is no longer there. They solve different problems and neither substitutes for the other.
The confusion is understandable because the complaint sounds the same. Someone points at their lower face and says it looks tired. That can be volume, skin quality, movement, or all three at once.
This is exactly what a consultation is for. Bring the concern, not the treatment name, and we will work out whether it is Botox or filler you actually need. Explained on Instagram, or book in Oakville.</t>
        </is>
      </c>
      <c r="H35" s="45" t="n">
        <v>771</v>
      </c>
      <c r="I35" s="45" t="inlineStr">
        <is>
          <t>Learn more</t>
        </is>
      </c>
      <c r="J35" s="47" t="inlineStr">
        <is>
          <t>@luxury_beauty_aestheticz</t>
        </is>
      </c>
      <c r="K35" s="45" t="inlineStr">
        <is>
          <t>2026-09-21-botox-or-filler.jpg</t>
        </is>
      </c>
      <c r="L35" s="47" t="inlineStr">
        <is>
          <t>Open folder</t>
        </is>
      </c>
      <c r="M35" s="47" t="inlineStr">
        <is>
          <t>Open image</t>
        </is>
      </c>
      <c r="N35" s="45">
        <f>IMAGE("https://raw.githubusercontent.com/RepoKing23/InstagramCarousel/claude/med-spa-carousel-ideas-sim9wz/content/gbp/2026-09-21-botox-or-filler.jpg")</f>
        <v/>
      </c>
      <c r="O35" s="47" t="inlineStr">
        <is>
          <t>Alef Morais / Unsplash</t>
        </is>
      </c>
      <c r="P35" s="45" t="inlineStr">
        <is>
          <t>Ready</t>
        </is>
      </c>
      <c r="Q35" s="46" t="inlineStr"/>
    </row>
    <row r="36" ht="132" customHeight="1" s="14">
      <c r="A36" s="51" t="n">
        <v>46287</v>
      </c>
      <c r="B36" s="45" t="inlineStr">
        <is>
          <t>Tue</t>
        </is>
      </c>
      <c r="C36" s="45" t="inlineStr">
        <is>
          <t>IG: Lines vs Volume</t>
        </is>
      </c>
      <c r="D36" s="45" t="inlineStr">
        <is>
          <t>Education</t>
        </is>
      </c>
      <c r="E36" s="46" t="inlineStr">
        <is>
          <t>Here is the test. Gently pull the skin taut. If the line disappears it is a movement line. If it stays put, it is a volume question. Which one is your actual concern? More on Instagram.</t>
        </is>
      </c>
      <c r="F36" s="45" t="n">
        <v>185</v>
      </c>
      <c r="G36" s="46" t="inlineStr">
        <is>
          <t>Here is the test you can do at home. Gently pull the skin taut beside the line.
If it disappears, it is a movement line and a neuromodulator is the right tool. If it stays put, you are looking at volume loss or skin quality, and filler or a skin plan is the conversation instead.
Do it in decent light with your face completely relaxed. The result surprises people fairly often, usually because the line they have been trying to treat for years was never a muscle problem.
This is not a substitute for an assessment, and plenty of faces show both at once. But it will get you asking a much better question when you book Botox or filler in Oakville. More on Instagram.</t>
        </is>
      </c>
      <c r="H36" s="45" t="n">
        <v>670</v>
      </c>
      <c r="I36" s="45" t="inlineStr">
        <is>
          <t>Learn more</t>
        </is>
      </c>
      <c r="J36" s="47" t="inlineStr">
        <is>
          <t>@luxury_beauty_aestheticz</t>
        </is>
      </c>
      <c r="K36" s="45" t="inlineStr">
        <is>
          <t>2026-09-22-lines-vs-volume.jpg</t>
        </is>
      </c>
      <c r="L36" s="47" t="inlineStr">
        <is>
          <t>Open folder</t>
        </is>
      </c>
      <c r="M36" s="47" t="inlineStr">
        <is>
          <t>Open image</t>
        </is>
      </c>
      <c r="N36" s="45">
        <f>IMAGE("https://raw.githubusercontent.com/RepoKing23/InstagramCarousel/claude/med-spa-carousel-ideas-sim9wz/content/gbp/2026-09-22-lines-vs-volume.jpg")</f>
        <v/>
      </c>
      <c r="O36" s="47" t="inlineStr">
        <is>
          <t>Rosa Rafael / Unsplash</t>
        </is>
      </c>
      <c r="P36" s="45" t="inlineStr">
        <is>
          <t>Ready</t>
        </is>
      </c>
      <c r="Q36" s="46" t="inlineStr"/>
    </row>
    <row r="37" ht="132" customHeight="1" s="14">
      <c r="A37" s="50" t="n">
        <v>46288</v>
      </c>
      <c r="B37" s="41" t="inlineStr">
        <is>
          <t>Wed</t>
        </is>
      </c>
      <c r="C37" s="41" t="inlineStr">
        <is>
          <t>GBP only</t>
        </is>
      </c>
      <c r="D37" s="41" t="inlineStr">
        <is>
          <t>Education</t>
        </is>
      </c>
      <c r="E37" s="42" t="inlineStr">
        <is>
          <t>Five questions worth asking any clinic, including this one. Who is injecting me, what are your credentials, which product, what dose, and what happens if I am not happy. A good clinic answers all five without flinching. More on Instagram.</t>
        </is>
      </c>
      <c r="F37" s="41" t="n">
        <v>238</v>
      </c>
      <c r="G37" s="42" t="inlineStr">
        <is>
          <t>Five questions worth asking any clinic, including this one.
Who is injecting me, and will it be the same person next time. What are your credentials, and where can I verify them. Which product are you using and is it Health Canada approved. How many units, and why that number for my face. What happens if I am not happy at two weeks.
A good clinic answers all five without hesitating or getting defensive. Vague answers on any of them are worth walking out over, particularly the first two.
Ask them here too. Any injector worth booking, in Oakville or anywhere else, will answer all five about your Botox without hesitating. Answers on Instagram.</t>
        </is>
      </c>
      <c r="H37" s="41" t="n">
        <v>651</v>
      </c>
      <c r="I37" s="41" t="inlineStr">
        <is>
          <t>Learn more</t>
        </is>
      </c>
      <c r="J37" s="43" t="inlineStr">
        <is>
          <t>@luxury_beauty_aestheticz</t>
        </is>
      </c>
      <c r="K37" s="41" t="inlineStr">
        <is>
          <t>2026-09-23-what-to-ask.jpg</t>
        </is>
      </c>
      <c r="L37" s="43" t="inlineStr">
        <is>
          <t>Open folder</t>
        </is>
      </c>
      <c r="M37" s="43" t="inlineStr">
        <is>
          <t>Open image</t>
        </is>
      </c>
      <c r="N37" s="41">
        <f>IMAGE("https://raw.githubusercontent.com/RepoKing23/InstagramCarousel/claude/med-spa-carousel-ideas-sim9wz/content/gbp/2026-09-23-what-to-ask.jpg")</f>
        <v/>
      </c>
      <c r="O37" s="43" t="inlineStr">
        <is>
          <t>Soheil Kmp / Unsplash</t>
        </is>
      </c>
      <c r="P37" s="41" t="inlineStr">
        <is>
          <t>Ready</t>
        </is>
      </c>
      <c r="Q37" s="42" t="inlineStr"/>
    </row>
    <row r="38" ht="132" customHeight="1" s="14">
      <c r="A38" s="51" t="n">
        <v>46289</v>
      </c>
      <c r="B38" s="45" t="inlineStr">
        <is>
          <t>Thu</t>
        </is>
      </c>
      <c r="C38" s="45" t="inlineStr">
        <is>
          <t>IG: Ask NP Cleo</t>
        </is>
      </c>
      <c r="D38" s="45" t="inlineStr">
        <is>
          <t>Personality &amp; BTS</t>
        </is>
      </c>
      <c r="E38" s="46" t="inlineStr">
        <is>
          <t>You asked, so here are the honest answers. The questions that land in my DMs every week, answered without the marketing gloss, including the ones clinics usually dodge. Read them on Instagram.</t>
        </is>
      </c>
      <c r="F38" s="45" t="n">
        <v>192</v>
      </c>
      <c r="G38" s="46" t="inlineStr">
        <is>
          <t>You asked, so here are the honest answers, including the ones clinics usually dodge.
The questions that land in my DMs most weeks: what does it actually cost, will I need it forever, what if I stop, does it get worse when it wears off, and can you tell when someone has had it done.
Short version on the two that worry people most. Nothing gets worse when you stop. The muscle simply returns to what it was doing before, and any line that had softened goes back to where it would have been. And no, you cannot tell when it is dosed properly, which is the entire point.
No marketing gloss on any of them. Read the full set on Instagram, and send me the Botox question nobody has answered for you properly.</t>
        </is>
      </c>
      <c r="H38" s="45" t="n">
        <v>707</v>
      </c>
      <c r="I38" s="45" t="inlineStr">
        <is>
          <t>Learn more</t>
        </is>
      </c>
      <c r="J38" s="47" t="inlineStr">
        <is>
          <t>@luxury_beauty_aestheticz</t>
        </is>
      </c>
      <c r="K38" s="45" t="inlineStr">
        <is>
          <t>2026-09-24-ask-np-cleo.jpg</t>
        </is>
      </c>
      <c r="L38" s="47" t="inlineStr">
        <is>
          <t>Open folder</t>
        </is>
      </c>
      <c r="M38" s="47" t="inlineStr">
        <is>
          <t>Open image</t>
        </is>
      </c>
      <c r="N38" s="45">
        <f>IMAGE("https://raw.githubusercontent.com/RepoKing23/InstagramCarousel/claude/med-spa-carousel-ideas-sim9wz/content/gbp/2026-09-24-ask-np-cleo.jpg")</f>
        <v/>
      </c>
      <c r="O38" s="47" t="inlineStr">
        <is>
          <t>Look Studio / Unsplash</t>
        </is>
      </c>
      <c r="P38" s="45" t="inlineStr">
        <is>
          <t>Ready</t>
        </is>
      </c>
      <c r="Q38" s="46" t="inlineStr"/>
    </row>
    <row r="39" ht="132" customHeight="1" s="14">
      <c r="A39" s="51" t="n">
        <v>46290</v>
      </c>
      <c r="B39" s="45" t="inlineStr">
        <is>
          <t>Fri</t>
        </is>
      </c>
      <c r="C39" s="45" t="inlineStr">
        <is>
          <t>IG: Your DMs, Answered</t>
        </is>
      </c>
      <c r="D39" s="45" t="inlineStr">
        <is>
          <t>Personality &amp; BTS</t>
        </is>
      </c>
      <c r="E39" s="46" t="inlineStr">
        <is>
          <t>The question people ask quietly, in private, almost every week. Here it is in public with a straight answer and nothing dressed up. Your questions are always welcome on Instagram.</t>
        </is>
      </c>
      <c r="F39" s="45" t="n">
        <v>179</v>
      </c>
      <c r="G39" s="46" t="inlineStr">
        <is>
          <t>The question people ask quietly, in private, almost every week.
It is usually some version of: am I too young for this, or am I too late. Both come with a bit of embarrassment attached, which is why they arrive as a DM at eleven at night rather than out loud in a room.
The answer to both is that age is not the measure. What matters is whether a line stays behind when your face is fully relaxed. That is a question about your skin and your muscle, not your birthday, and it is why two people the same age often need completely different plans.
Nothing you ask here is silly and nothing gets repeated. Whether it is Botox, filler or neither, your questions are always welcome on Instagram.</t>
        </is>
      </c>
      <c r="H39" s="45" t="n">
        <v>693</v>
      </c>
      <c r="I39" s="45" t="inlineStr">
        <is>
          <t>Learn more</t>
        </is>
      </c>
      <c r="J39" s="47" t="inlineStr">
        <is>
          <t>@luxury_beauty_aestheticz</t>
        </is>
      </c>
      <c r="K39" s="45" t="inlineStr">
        <is>
          <t>2026-09-25-your-dms-answered.jpg</t>
        </is>
      </c>
      <c r="L39" s="47" t="inlineStr">
        <is>
          <t>Open folder</t>
        </is>
      </c>
      <c r="M39" s="47" t="inlineStr">
        <is>
          <t>Open image</t>
        </is>
      </c>
      <c r="N39" s="45">
        <f>IMAGE("https://raw.githubusercontent.com/RepoKing23/InstagramCarousel/claude/med-spa-carousel-ideas-sim9wz/content/gbp/2026-09-25-your-dms-answered.jpg")</f>
        <v/>
      </c>
      <c r="O39" s="47" t="inlineStr">
        <is>
          <t>Masum Rahimi / Unsplash</t>
        </is>
      </c>
      <c r="P39" s="45" t="inlineStr">
        <is>
          <t>Ready</t>
        </is>
      </c>
      <c r="Q39" s="46" t="inlineStr"/>
    </row>
    <row r="40" ht="132" customHeight="1" s="14">
      <c r="A40" s="51" t="n">
        <v>46291</v>
      </c>
      <c r="B40" s="45" t="inlineStr">
        <is>
          <t>Sat</t>
        </is>
      </c>
      <c r="C40" s="45" t="inlineStr">
        <is>
          <t>IG: Poll, What Should NP Cleo Cover Next?</t>
        </is>
      </c>
      <c r="D40" s="45" t="inlineStr">
        <is>
          <t>Personality &amp; BTS</t>
        </is>
      </c>
      <c r="E40" s="46" t="inlineStr">
        <is>
          <t>You pick what I cover next. The topic with the most votes becomes the next post, whether that is pricing, a treatment breakdown, or something nobody wants to explain properly. Vote on Instagram.</t>
        </is>
      </c>
      <c r="F40" s="45" t="n">
        <v>194</v>
      </c>
      <c r="G40" s="46" t="inlineStr">
        <is>
          <t>You pick what I cover next. The topic with the most votes becomes the next post.
On the list so far: what treatments actually cost and why, how to tell a good injector from a confident one, what happens to your face if you stop, and a full breakdown of what filler can and cannot fix.
I would rather answer the thing people are actually wondering about than publish whatever is trending. The most useful posts here have all come from a question someone sent privately and assumed was too basic to ask.
Vote on Instagram, or send a topic that is not on the list. If enough people in Oakville are wondering the same thing about Botox or filler, it gets made.</t>
        </is>
      </c>
      <c r="H40" s="45" t="n">
        <v>659</v>
      </c>
      <c r="I40" s="45" t="inlineStr">
        <is>
          <t>Learn more</t>
        </is>
      </c>
      <c r="J40" s="47" t="inlineStr">
        <is>
          <t>@luxury_beauty_aestheticz</t>
        </is>
      </c>
      <c r="K40" s="45" t="inlineStr">
        <is>
          <t>2026-09-26-what-next.jpg</t>
        </is>
      </c>
      <c r="L40" s="47" t="inlineStr">
        <is>
          <t>Open folder</t>
        </is>
      </c>
      <c r="M40" s="47" t="inlineStr">
        <is>
          <t>Open image</t>
        </is>
      </c>
      <c r="N40" s="45">
        <f>IMAGE("https://raw.githubusercontent.com/RepoKing23/InstagramCarousel/claude/med-spa-carousel-ideas-sim9wz/content/gbp/2026-09-26-what-next.jpg")</f>
        <v/>
      </c>
      <c r="O40" s="47" t="inlineStr">
        <is>
          <t>Elist Nguyen / Unsplash</t>
        </is>
      </c>
      <c r="P40" s="45" t="inlineStr">
        <is>
          <t>Ready</t>
        </is>
      </c>
      <c r="Q40" s="46" t="inlineStr"/>
    </row>
    <row r="41" ht="132" customHeight="1" s="14">
      <c r="A41" s="50" t="n">
        <v>46292</v>
      </c>
      <c r="B41" s="41" t="inlineStr">
        <is>
          <t>Sun</t>
        </is>
      </c>
      <c r="C41" s="41" t="inlineStr">
        <is>
          <t>GBP only</t>
        </is>
      </c>
      <c r="D41" s="41" t="inlineStr">
        <is>
          <t>Trust &amp; Proof</t>
        </is>
      </c>
      <c r="E41" s="42" t="inlineStr">
        <is>
          <t>Your two week follow up is part of the treatment, not an extra. Botox takes about fourteen days to settle, so that is when we look properly and make small adjustments if anything needs it. No charge for that visit. More on Instagram.</t>
        </is>
      </c>
      <c r="F41" s="41" t="n">
        <v>233</v>
      </c>
      <c r="G41" s="42" t="inlineStr">
        <is>
          <t>Your two week follow up is part of the treatment, not an extra.
A neuromodulator takes about fourteen days to fully settle. Judging the result before that is how people end up chasing a dose, because at day five it looks uneven and at day fourteen it usually does not. So we look properly at two weeks, when what you see is what you have.
If something needs adjusting, a small top up in one spot, a touch more on the side that pulls harder, that happens at the follow up and there is no charge for it.
This is also why I dose conservatively the first time. It is easy to add a little at two weeks. There is nothing to be done about too much except wait it out. Book at our Oakville studio, or ask on Instagram.</t>
        </is>
      </c>
      <c r="H41" s="41" t="n">
        <v>713</v>
      </c>
      <c r="I41" s="41" t="inlineStr">
        <is>
          <t>Learn more</t>
        </is>
      </c>
      <c r="J41" s="43" t="inlineStr">
        <is>
          <t>@luxury_beauty_aestheticz</t>
        </is>
      </c>
      <c r="K41" s="41" t="inlineStr">
        <is>
          <t>2026-09-27-two-week-review.jpg</t>
        </is>
      </c>
      <c r="L41" s="43" t="inlineStr">
        <is>
          <t>Open folder</t>
        </is>
      </c>
      <c r="M41" s="43" t="inlineStr">
        <is>
          <t>Open image</t>
        </is>
      </c>
      <c r="N41" s="41">
        <f>IMAGE("https://raw.githubusercontent.com/RepoKing23/InstagramCarousel/claude/med-spa-carousel-ideas-sim9wz/content/gbp/2026-09-27-two-week-review.jpg")</f>
        <v/>
      </c>
      <c r="O41" s="43" t="inlineStr">
        <is>
          <t>Ionela Mat / Unsplash</t>
        </is>
      </c>
      <c r="P41" s="41" t="inlineStr">
        <is>
          <t>Ready</t>
        </is>
      </c>
      <c r="Q41" s="42" t="inlineStr"/>
    </row>
    <row r="42" ht="132" customHeight="1" s="14">
      <c r="A42" s="51" t="n">
        <v>46293</v>
      </c>
      <c r="B42" s="45" t="inlineStr">
        <is>
          <t>Mon</t>
        </is>
      </c>
      <c r="C42" s="45" t="inlineStr">
        <is>
          <t>IG: How Long Does Botox Really Last?</t>
        </is>
      </c>
      <c r="D42" s="45" t="inlineStr">
        <is>
          <t>Education</t>
        </is>
      </c>
      <c r="E42" s="46" t="inlineStr">
        <is>
          <t>Three to four months for most people, and the honest reasons it varies. Your metabolism, the dose, how strong the muscle is, and how long you have been treating it. The month by month timeline is on Instagram.</t>
        </is>
      </c>
      <c r="F42" s="45" t="n">
        <v>209</v>
      </c>
      <c r="G42" s="46" t="inlineStr">
        <is>
          <t>Three to four months for most people, and here are the honest reasons it varies.
Metabolism plays a part, and people who train hard often find it wears off sooner. Dose matters, since a light preventative dose fades before a fuller corrective one. Muscle strength matters, because a strong frown works through product faster than a light one. And history matters, as people who have treated consistently for years often stretch further between appointments.
What is not true is that it stops working. If your Botox seems to be fading faster than it used to, the usual answer is that the dose is no longer right rather than any resistance to the product. Month by month timeline on Instagram.</t>
        </is>
      </c>
      <c r="H42" s="45" t="n">
        <v>693</v>
      </c>
      <c r="I42" s="45" t="inlineStr">
        <is>
          <t>Learn more</t>
        </is>
      </c>
      <c r="J42" s="47" t="inlineStr">
        <is>
          <t>@luxury_beauty_aestheticz</t>
        </is>
      </c>
      <c r="K42" s="45" t="inlineStr">
        <is>
          <t>2026-09-28-how-long-does-it-last.jpg</t>
        </is>
      </c>
      <c r="L42" s="47" t="inlineStr">
        <is>
          <t>Open folder</t>
        </is>
      </c>
      <c r="M42" s="47" t="inlineStr">
        <is>
          <t>Open image</t>
        </is>
      </c>
      <c r="N42" s="45">
        <f>IMAGE("https://raw.githubusercontent.com/RepoKing23/InstagramCarousel/claude/med-spa-carousel-ideas-sim9wz/content/gbp/2026-09-28-how-long-does-it-last.jpg")</f>
        <v/>
      </c>
      <c r="O42" s="47" t="inlineStr">
        <is>
          <t>Zac Taheriyan / Unsplash</t>
        </is>
      </c>
      <c r="P42" s="45" t="inlineStr">
        <is>
          <t>Ready</t>
        </is>
      </c>
      <c r="Q42" s="46" t="inlineStr"/>
    </row>
    <row r="43" ht="132" customHeight="1" s="14">
      <c r="A43" s="51" t="n">
        <v>46294</v>
      </c>
      <c r="B43" s="45" t="inlineStr">
        <is>
          <t>Tue</t>
        </is>
      </c>
      <c r="C43" s="45" t="inlineStr">
        <is>
          <t>IG: The 3-Month Botox Timeline</t>
        </is>
      </c>
      <c r="D43" s="45" t="inlineStr">
        <is>
          <t>Education</t>
        </is>
      </c>
      <c r="E43" s="46" t="inlineStr">
        <is>
          <t>Week by week, what to expect. Movement starts easing around day three, it fully settles at two weeks, softens through month three, and by month four you are due. Knowing the curve stops the day five panic. On Instagram.</t>
        </is>
      </c>
      <c r="F43" s="45" t="n">
        <v>219</v>
      </c>
      <c r="G43" s="46" t="inlineStr">
        <is>
          <t>Week by week, what to expect after treatment.
Day three is when most people first notice movement easing. It is gradual and it is uneven at the start, which is normal. Two weeks is when it has fully settled, and the only fair point to judge the result or adjust it. Month one to two is the plateau, where it looks its best and you stop thinking about it.
Month three is when movement starts creeping back, usually in the strongest muscle first. By month four most people are due, though plenty stretch further, particularly after a few consistent rounds.
Knowing the curve stops the day five panic, which is far and away the most common message I get after Botox. Save the timeline from Instagram, or book a follow up in Oakville.</t>
        </is>
      </c>
      <c r="H43" s="45" t="n">
        <v>733</v>
      </c>
      <c r="I43" s="45" t="inlineStr">
        <is>
          <t>Learn more</t>
        </is>
      </c>
      <c r="J43" s="47" t="inlineStr">
        <is>
          <t>@luxury_beauty_aestheticz</t>
        </is>
      </c>
      <c r="K43" s="45" t="inlineStr">
        <is>
          <t>2026-09-29-three-month-timeline.jpg</t>
        </is>
      </c>
      <c r="L43" s="47" t="inlineStr">
        <is>
          <t>Open folder</t>
        </is>
      </c>
      <c r="M43" s="47" t="inlineStr">
        <is>
          <t>Open image</t>
        </is>
      </c>
      <c r="N43" s="45">
        <f>IMAGE("https://raw.githubusercontent.com/RepoKing23/InstagramCarousel/claude/med-spa-carousel-ideas-sim9wz/content/gbp/2026-09-29-three-month-timeline.jpg")</f>
        <v/>
      </c>
      <c r="O43" s="47" t="inlineStr">
        <is>
          <t>Zulfugar Karimov / Unsplash</t>
        </is>
      </c>
      <c r="P43" s="45" t="inlineStr">
        <is>
          <t>Ready</t>
        </is>
      </c>
      <c r="Q43" s="46" t="inlineStr"/>
    </row>
    <row r="44" ht="132" customHeight="1" s="14">
      <c r="A44" s="50" t="n">
        <v>46295</v>
      </c>
      <c r="B44" s="41" t="inlineStr">
        <is>
          <t>Wed</t>
        </is>
      </c>
      <c r="C44" s="41" t="inlineStr">
        <is>
          <t>GBP only</t>
        </is>
      </c>
      <c r="D44" s="41" t="inlineStr">
        <is>
          <t>Education</t>
        </is>
      </c>
      <c r="E44" s="42" t="inlineStr">
        <is>
          <t>October is a month about lips. What one syringe actually does, the difference between natural and overdone, aftercare that matters, and real results shared with consent. Follow along on Instagram so you do not miss the start.</t>
        </is>
      </c>
      <c r="F44" s="41" t="n">
        <v>225</v>
      </c>
      <c r="G44" s="42" t="inlineStr">
        <is>
          <t>October is a month about lips, and it starts next week.
What is coming: what one syringe of filler actually does and how far it goes, the real difference between natural and overdone, aftercare that matters in the first 48 hours, and real results shared with client consent.
Lip filler in Oakville attracts more bad information than almost anything else I treat. Most of it comes from people who saw one obvious result and assumed that is what the treatment does. The work worth showing is the kind nobody identifies.
If lips are something you have thought about and talked yourself out of, this is the month to ask. Follow along on Instagram so you do not miss the start.</t>
        </is>
      </c>
      <c r="H44" s="41" t="n">
        <v>675</v>
      </c>
      <c r="I44" s="41" t="inlineStr">
        <is>
          <t>Learn more</t>
        </is>
      </c>
      <c r="J44" s="43" t="inlineStr">
        <is>
          <t>@luxury_beauty_aestheticz</t>
        </is>
      </c>
      <c r="K44" s="41" t="inlineStr">
        <is>
          <t>2026-09-30-october-preview.jpg</t>
        </is>
      </c>
      <c r="L44" s="43" t="inlineStr">
        <is>
          <t>Open folder</t>
        </is>
      </c>
      <c r="M44" s="43" t="inlineStr">
        <is>
          <t>Open image</t>
        </is>
      </c>
      <c r="N44" s="41">
        <f>IMAGE("https://raw.githubusercontent.com/RepoKing23/InstagramCarousel/claude/med-spa-carousel-ideas-sim9wz/content/gbp/2026-09-30-october-preview.jpg")</f>
        <v/>
      </c>
      <c r="O44" s="43" t="inlineStr">
        <is>
          <t>Christin Hume / Unsplash</t>
        </is>
      </c>
      <c r="P44" s="41" t="inlineStr">
        <is>
          <t>Ready</t>
        </is>
      </c>
      <c r="Q44" s="42" t="inlineStr"/>
    </row>
    <row r="45" ht="132" customHeight="1" s="14">
      <c r="A45" s="51" t="n">
        <v>46296</v>
      </c>
      <c r="B45" s="45" t="inlineStr">
        <is>
          <t>Thu</t>
        </is>
      </c>
      <c r="C45" s="45" t="inlineStr">
        <is>
          <t>IG: Why We Sometimes Say No</t>
        </is>
      </c>
      <c r="D45" s="45" t="inlineStr">
        <is>
          <t>Trust &amp; Proof</t>
        </is>
      </c>
      <c r="E45" s="46" t="inlineStr">
        <is>
          <t>I have turned people away from filler and had them thank me later. Some faces do not need it, and some do not need it yet. Candidacy is part of the assessment, not a step on the way to a sale. The full post is on Instagram.</t>
        </is>
      </c>
      <c r="F45" s="45" t="n">
        <v>223</v>
      </c>
      <c r="G45" s="46" t="inlineStr">
        <is>
          <t>I have turned people away from filler, and they thanked me later.
Some faces do not need it. Some do not need it yet. And some are asking filler to fix something filler does not fix, usually skin quality or a heavy lower face that needs a different plan entirely. Saying yes to all three is easy. It is also how people end up with a result that never sat right and money spent twice.
Candidacy is part of the assessment at our Oakville studio, not a step on the way to a sale. If I do not think you will be happy in six months, I will tell you at the consult and it costs you nothing.
A provider who has never said no to anyone is telling you something. The full post is on Instagram.</t>
        </is>
      </c>
      <c r="H45" s="45" t="n">
        <v>687</v>
      </c>
      <c r="I45" s="45" t="inlineStr">
        <is>
          <t>Learn more</t>
        </is>
      </c>
      <c r="J45" s="47" t="inlineStr">
        <is>
          <t>@luxury_beauty_aestheticz</t>
        </is>
      </c>
      <c r="K45" s="45" t="inlineStr">
        <is>
          <t>2026-10-01-why-i-say-no.jpg</t>
        </is>
      </c>
      <c r="L45" s="47" t="inlineStr">
        <is>
          <t>Open folder</t>
        </is>
      </c>
      <c r="M45" s="47" t="inlineStr">
        <is>
          <t>Open image</t>
        </is>
      </c>
      <c r="N45" s="45">
        <f>IMAGE("https://raw.githubusercontent.com/RepoKing23/InstagramCarousel/claude/med-spa-carousel-ideas-sim9wz/content/gbp/2026-10-01-why-i-say-no.jpg")</f>
        <v/>
      </c>
      <c r="O45" s="47" t="inlineStr">
        <is>
          <t>Look Studio / Unsplash</t>
        </is>
      </c>
      <c r="P45" s="45" t="inlineStr">
        <is>
          <t>Ready</t>
        </is>
      </c>
      <c r="Q45" s="46" t="inlineStr"/>
    </row>
    <row r="46" ht="132" customHeight="1" s="14">
      <c r="A46" s="51" t="n">
        <v>46297</v>
      </c>
      <c r="B46" s="45" t="inlineStr">
        <is>
          <t>Fri</t>
        </is>
      </c>
      <c r="C46" s="45" t="inlineStr">
        <is>
          <t>IG: What I Tell Every First-Timer</t>
        </is>
      </c>
      <c r="D46" s="45" t="inlineStr">
        <is>
          <t>Trust &amp; Proof</t>
        </is>
      </c>
      <c r="E46" s="46" t="inlineStr">
        <is>
          <t>The same four things I tell every first time filler client. Start smaller than you think, judge it at two weeks, swelling is not your result, and you can always add. Nobody regrets going conservative first. On Instagram.</t>
        </is>
      </c>
      <c r="F46" s="45" t="n">
        <v>220</v>
      </c>
      <c r="G46" s="46" t="inlineStr">
        <is>
          <t>Four things I tell every first time filler client in Oakville, before anything is opened.
Start smaller than you think. A partial syringe is a real option and a good one. Judge it at two weeks, not at day two, because what you see in the first 48 hours is swelling and not your result. Nothing about the first appointment has to be the final answer, since we can add at the review.
And the last one, which matters most: tell me what you actually want to look like, not which treatment you think you want. The plan is my job. The goal is yours.
Nobody has ever regretted going conservative on their first syringe. Book a consult, or read the full post on Instagram.</t>
        </is>
      </c>
      <c r="H46" s="45" t="n">
        <v>667</v>
      </c>
      <c r="I46" s="45" t="inlineStr">
        <is>
          <t>Learn more</t>
        </is>
      </c>
      <c r="J46" s="47" t="inlineStr">
        <is>
          <t>@luxury_beauty_aestheticz</t>
        </is>
      </c>
      <c r="K46" s="45" t="inlineStr">
        <is>
          <t>2026-10-02-every-first-timer.jpg</t>
        </is>
      </c>
      <c r="L46" s="47" t="inlineStr">
        <is>
          <t>Open folder</t>
        </is>
      </c>
      <c r="M46" s="47" t="inlineStr">
        <is>
          <t>Open image</t>
        </is>
      </c>
      <c r="N46" s="45">
        <f>IMAGE("https://raw.githubusercontent.com/RepoKing23/InstagramCarousel/claude/med-spa-carousel-ideas-sim9wz/content/gbp/2026-10-02-every-first-timer.jpg")</f>
        <v/>
      </c>
      <c r="O46" s="47" t="inlineStr">
        <is>
          <t>karelys Ruiz / Unsplash</t>
        </is>
      </c>
      <c r="P46" s="45" t="inlineStr">
        <is>
          <t>Ready</t>
        </is>
      </c>
      <c r="Q46" s="46" t="inlineStr"/>
    </row>
    <row r="47" ht="132" customHeight="1" s="14">
      <c r="A47" s="51" t="n">
        <v>46298</v>
      </c>
      <c r="B47" s="45" t="inlineStr">
        <is>
          <t>Sat</t>
        </is>
      </c>
      <c r="C47" s="45" t="inlineStr">
        <is>
          <t>IG: Quote: No Is Protection</t>
        </is>
      </c>
      <c r="D47" s="45" t="inlineStr">
        <is>
          <t>Trust &amp; Proof</t>
        </is>
      </c>
      <c r="E47" s="46" t="inlineStr">
        <is>
          <t>No is protection. It is the most underrated part of good injecting and the hardest thing to hear from someone you were ready to pay. A provider willing to lose the booking is the one worth booking. More on Instagram.</t>
        </is>
      </c>
      <c r="F47" s="45" t="n">
        <v>216</v>
      </c>
      <c r="G47" s="46" t="inlineStr">
        <is>
          <t>No is protection. It is the most underrated part of good injecting.
It is also the hardest thing to hear from a provider you were already prepared to pay. Nobody arrives at a consult hoping to be told to wait, or to be told the thing they read about is not the thing their face needs. But the alternative is worse, and it is the reason a certain kind of result is recognisable across a room.
A nurse practitioner willing to lose the booking is the one worth booking. That is the whole of it.
If you have been told yes to everything you have ever asked for, that is not a compliment to your face. It is information about the person holding the syringe. More on Instagram, or come and ask in Oakville.</t>
        </is>
      </c>
      <c r="H47" s="45" t="n">
        <v>702</v>
      </c>
      <c r="I47" s="45" t="inlineStr">
        <is>
          <t>Learn more</t>
        </is>
      </c>
      <c r="J47" s="47" t="inlineStr">
        <is>
          <t>@luxury_beauty_aestheticz</t>
        </is>
      </c>
      <c r="K47" s="45" t="inlineStr">
        <is>
          <t>2026-10-03-no-is-protection.jpg</t>
        </is>
      </c>
      <c r="L47" s="47" t="inlineStr">
        <is>
          <t>Open folder</t>
        </is>
      </c>
      <c r="M47" s="47" t="inlineStr">
        <is>
          <t>Open image</t>
        </is>
      </c>
      <c r="N47" s="45">
        <f>IMAGE("https://raw.githubusercontent.com/RepoKing23/InstagramCarousel/claude/med-spa-carousel-ideas-sim9wz/content/gbp/2026-10-03-no-is-protection.jpg")</f>
        <v/>
      </c>
      <c r="O47" s="47" t="inlineStr">
        <is>
          <t>engin akyurt / Unsplash</t>
        </is>
      </c>
      <c r="P47" s="45" t="inlineStr">
        <is>
          <t>Ready</t>
        </is>
      </c>
      <c r="Q47" s="46" t="inlineStr"/>
    </row>
    <row r="48" ht="132" customHeight="1" s="14">
      <c r="A48" s="50" t="n">
        <v>46299</v>
      </c>
      <c r="B48" s="41" t="inlineStr">
        <is>
          <t>Sun</t>
        </is>
      </c>
      <c r="C48" s="41" t="inlineStr">
        <is>
          <t>GBP only</t>
        </is>
      </c>
      <c r="D48" s="41" t="inlineStr">
        <is>
          <t>Education</t>
        </is>
      </c>
      <c r="E48" s="42" t="inlineStr">
        <is>
          <t>The honest answer on filler safety. The fillers I use are hyaluronic acid, which the body already makes and which can be dissolved if a result is not right. Safety comes from the injector, the assessment and the anatomy. More on Instagram.</t>
        </is>
      </c>
      <c r="F48" s="41" t="n">
        <v>239</v>
      </c>
      <c r="G48" s="42" t="inlineStr">
        <is>
          <t>The honest answer on filler safety, without the sales gloss.
The fillers used at the Oakville studio are hyaluronic acid, a substance the body already makes. That matters for one specific reason: it can be dissolved. If a result is not right, or settles unevenly, there is a way back. That is not true of every product on the market, which is exactly why I use these ones.
The real safety question is not the product, it is the person holding the syringe and whether they know the anatomy underneath. Filler goes near vessels. Placement is the whole job.
Injections here are done by a nurse practitioner and never delegated. Bring your questions to the consult, including the uncomfortable ones.</t>
        </is>
      </c>
      <c r="H48" s="41" t="n">
        <v>698</v>
      </c>
      <c r="I48" s="41" t="inlineStr">
        <is>
          <t>Learn more</t>
        </is>
      </c>
      <c r="J48" s="43" t="inlineStr">
        <is>
          <t>@luxury_beauty_aestheticz</t>
        </is>
      </c>
      <c r="K48" s="41" t="inlineStr">
        <is>
          <t>2026-10-04-is-filler-safe.jpg</t>
        </is>
      </c>
      <c r="L48" s="43" t="inlineStr">
        <is>
          <t>Open folder</t>
        </is>
      </c>
      <c r="M48" s="43" t="inlineStr">
        <is>
          <t>Open image</t>
        </is>
      </c>
      <c r="N48" s="41">
        <f>IMAGE("https://raw.githubusercontent.com/RepoKing23/InstagramCarousel/claude/med-spa-carousel-ideas-sim9wz/content/gbp/2026-10-04-is-filler-safe.jpg")</f>
        <v/>
      </c>
      <c r="O48" s="43" t="inlineStr">
        <is>
          <t>Look Studio / Unsplash</t>
        </is>
      </c>
      <c r="P48" s="41" t="inlineStr">
        <is>
          <t>Ready</t>
        </is>
      </c>
      <c r="Q48" s="42" t="inlineStr"/>
    </row>
    <row r="49" ht="132" customHeight="1" s="14">
      <c r="A49" s="51" t="n">
        <v>46300</v>
      </c>
      <c r="B49" s="45" t="inlineStr">
        <is>
          <t>Mon</t>
        </is>
      </c>
      <c r="C49" s="45" t="inlineStr">
        <is>
          <t>IG: Filler Won't Make You Look Fake</t>
        </is>
      </c>
      <c r="D49" s="45" t="inlineStr">
        <is>
          <t>Education</t>
        </is>
      </c>
      <c r="E49" s="46" t="inlineStr">
        <is>
          <t>Filler is not what makes a face look fake. Volume in the wrong place, too much at once, and treating one feature while ignoring the rest are what make a face look done. The technique is the variable, not the product. On Instagram.</t>
        </is>
      </c>
      <c r="F49" s="45" t="n">
        <v>230</v>
      </c>
      <c r="G49" s="46" t="inlineStr">
        <is>
          <t>Filler does not make a face look fake. Technique does.
The three things that actually cause it: too much product at one sitting, product placed in the wrong plane or the wrong compartment, and chasing one feature while the rest of the face is ignored. Lips built on a face that has lost midface support will always read as lips first, no matter how carefully they are shaped.
This is why the assessment looks at the whole face even when you came in asking about one part of it. Balance is the point, and volume is only ever a means to it.
The results people admire and cannot identify are filler too. You just never got told. See the full carousel on Instagram, or book an assessment in Oakville.</t>
        </is>
      </c>
      <c r="H49" s="45" t="n">
        <v>699</v>
      </c>
      <c r="I49" s="45" t="inlineStr">
        <is>
          <t>Learn more</t>
        </is>
      </c>
      <c r="J49" s="47" t="inlineStr">
        <is>
          <t>@luxury_beauty_aestheticz</t>
        </is>
      </c>
      <c r="K49" s="45" t="inlineStr">
        <is>
          <t>2026-10-05-fake-is-not-the-filler.jpg</t>
        </is>
      </c>
      <c r="L49" s="47" t="inlineStr">
        <is>
          <t>Open folder</t>
        </is>
      </c>
      <c r="M49" s="47" t="inlineStr">
        <is>
          <t>Open image</t>
        </is>
      </c>
      <c r="N49" s="45">
        <f>IMAGE("https://raw.githubusercontent.com/RepoKing23/InstagramCarousel/claude/med-spa-carousel-ideas-sim9wz/content/gbp/2026-10-05-fake-is-not-the-filler.jpg")</f>
        <v/>
      </c>
      <c r="O49" s="47" t="inlineStr">
        <is>
          <t>JEaLiFe Pictures / Unsplash</t>
        </is>
      </c>
      <c r="P49" s="45" t="inlineStr">
        <is>
          <t>Ready</t>
        </is>
      </c>
      <c r="Q49" s="46" t="inlineStr"/>
    </row>
    <row r="50" ht="132" customHeight="1" s="14">
      <c r="A50" s="51" t="n">
        <v>46301</v>
      </c>
      <c r="B50" s="45" t="inlineStr">
        <is>
          <t>Tue</t>
        </is>
      </c>
      <c r="C50" s="45" t="inlineStr">
        <is>
          <t>IG: Service Spotlight: Dermal Filler</t>
        </is>
      </c>
      <c r="D50" s="45" t="inlineStr">
        <is>
          <t>Education</t>
        </is>
      </c>
      <c r="E50" s="46" t="inlineStr">
        <is>
          <t>Dermal filler, plainly. It replaces volume the face has lost or shapes what was always a little short, which is a different job from Botox. Lips, cheeks, chin and jawline, injected by a nurse practitioner in Oakville. See the spotlight on Instagram.</t>
        </is>
      </c>
      <c r="F50" s="45" t="n">
        <v>249</v>
      </c>
      <c r="G50" s="46" t="inlineStr">
        <is>
          <t>Dermal filler, explained plainly, because it gets confused with Botox constantly.
Botox relaxes muscle, so it softens lines that movement creates. Filler adds structure, so it replaces volume the face has lost or shapes what was always a little short. Different problems, different tools, and plenty of faces need neither yet.
At the Oakville studio I treat lips, cheeks, chin and jawline with hyaluronic acid filler, injected by a nurse practitioner and never delegated to anyone else.
Most first appointments are one syringe or less. Results are visible immediately, settle over about two weeks, and last somewhere between six and eighteen months depending on the area and how your body handles it. See the spotlight on Instagram.</t>
        </is>
      </c>
      <c r="H50" s="45" t="n">
        <v>735</v>
      </c>
      <c r="I50" s="45" t="inlineStr">
        <is>
          <t>Learn more</t>
        </is>
      </c>
      <c r="J50" s="47" t="inlineStr">
        <is>
          <t>@luxury_beauty_aestheticz</t>
        </is>
      </c>
      <c r="K50" s="45" t="inlineStr">
        <is>
          <t>2026-10-06-spotlight-dermal-filler.jpg</t>
        </is>
      </c>
      <c r="L50" s="47" t="inlineStr">
        <is>
          <t>Open folder</t>
        </is>
      </c>
      <c r="M50" s="47" t="inlineStr">
        <is>
          <t>Open image</t>
        </is>
      </c>
      <c r="N50" s="45">
        <f>IMAGE("https://raw.githubusercontent.com/RepoKing23/InstagramCarousel/claude/med-spa-carousel-ideas-sim9wz/content/gbp/2026-10-06-spotlight-dermal-filler.jpg")</f>
        <v/>
      </c>
      <c r="O50" s="47" t="inlineStr">
        <is>
          <t>Elist Nguyen / Unsplash</t>
        </is>
      </c>
      <c r="P50" s="45" t="inlineStr">
        <is>
          <t>Ready</t>
        </is>
      </c>
      <c r="Q50" s="46" t="inlineStr"/>
    </row>
    <row r="51" ht="132" customHeight="1" s="14">
      <c r="A51" s="50" t="n">
        <v>46302</v>
      </c>
      <c r="B51" s="41" t="inlineStr">
        <is>
          <t>Wed</t>
        </is>
      </c>
      <c r="C51" s="41" t="inlineStr">
        <is>
          <t>GBP only</t>
        </is>
      </c>
      <c r="D51" s="41" t="inlineStr">
        <is>
          <t>Trust &amp; Proof</t>
        </is>
      </c>
      <c r="E51" s="42" t="inlineStr">
        <is>
          <t>What a filler consult includes at our Oakville studio. A full face assessment, your history and medications, an honest read on candidacy, a plan with an area and an amount, and a price before anything is opened. You can leave without booking.</t>
        </is>
      </c>
      <c r="F51" s="41" t="n">
        <v>242</v>
      </c>
      <c r="G51" s="42" t="inlineStr">
        <is>
          <t>What a filler consult includes, before anything is opened.
We start with what is bothering you, in your words. Then a full face assessment, because the answer is often not where the complaint is. Then your health history and medications, since blood thinners and a few other things change the plan and the bruising risk.
You leave with an area, an amount, a price and a realistic idea of what it will and will not do. If the honest answer is not yet, or not this, you get that instead, and it costs you nothing.
No product is opened until you have agreed to the plan and the price. Nobody is talked into anything in this room. The studio is on Preserve Dr in Oakville, with free parking at the door.</t>
        </is>
      </c>
      <c r="H51" s="41" t="n">
        <v>702</v>
      </c>
      <c r="I51" s="41" t="inlineStr">
        <is>
          <t>Learn more</t>
        </is>
      </c>
      <c r="J51" s="43" t="inlineStr">
        <is>
          <t>@luxury_beauty_aestheticz</t>
        </is>
      </c>
      <c r="K51" s="41" t="inlineStr">
        <is>
          <t>2026-10-07-before-the-syringe.jpg</t>
        </is>
      </c>
      <c r="L51" s="43" t="inlineStr">
        <is>
          <t>Open folder</t>
        </is>
      </c>
      <c r="M51" s="43" t="inlineStr">
        <is>
          <t>Open image</t>
        </is>
      </c>
      <c r="N51" s="41">
        <f>IMAGE("https://raw.githubusercontent.com/RepoKing23/InstagramCarousel/claude/med-spa-carousel-ideas-sim9wz/content/gbp/2026-10-07-before-the-syringe.jpg")</f>
        <v/>
      </c>
      <c r="O51" s="43" t="inlineStr">
        <is>
          <t>Rosa Rafael / Unsplash</t>
        </is>
      </c>
      <c r="P51" s="41" t="inlineStr">
        <is>
          <t>Ready</t>
        </is>
      </c>
      <c r="Q51" s="42" t="inlineStr"/>
    </row>
    <row r="52" ht="132" customHeight="1" s="14">
      <c r="A52" s="51" t="n">
        <v>46303</v>
      </c>
      <c r="B52" s="45" t="inlineStr">
        <is>
          <t>Thu</t>
        </is>
      </c>
      <c r="C52" s="45" t="inlineStr">
        <is>
          <t>IG: Lip Filler: Natural vs Overdone</t>
        </is>
      </c>
      <c r="D52" s="45" t="inlineStr">
        <is>
          <t>Education</t>
        </is>
      </c>
      <c r="E52" s="46" t="inlineStr">
        <is>
          <t>Natural versus overdone lips, side by side. The difference is ratio and shape, not the brand of filler. Respect the border, keep the lower fuller than the upper, and stop before it is obvious. Shared with client consent on Instagram.</t>
        </is>
      </c>
      <c r="F52" s="45" t="n">
        <v>233</v>
      </c>
      <c r="G52" s="46" t="inlineStr">
        <is>
          <t>Natural or overdone. The difference is ratio and shape, not the product.
A lip that reads as natural keeps its border, keeps the lower lip fuller than the upper, and keeps the height of the upper lip in proportion to the space above it. A lip that reads as done usually broke one of those three, most often by filling past the border or by adding volume that the lip could not carry.
Amount matters less than people assume. I have seen a full syringe look untouched and half of one look obvious, and the variable both times was placement.
The lip filler work worth showing is the kind nobody identifies as work. Real examples, shared with client consent, are on Instagram. Assessments in Oakville.</t>
        </is>
      </c>
      <c r="H52" s="45" t="n">
        <v>700</v>
      </c>
      <c r="I52" s="45" t="inlineStr">
        <is>
          <t>Learn more</t>
        </is>
      </c>
      <c r="J52" s="47" t="inlineStr">
        <is>
          <t>@luxury_beauty_aestheticz</t>
        </is>
      </c>
      <c r="K52" s="45" t="inlineStr">
        <is>
          <t>2026-10-08-natural-or-overdone.jpg</t>
        </is>
      </c>
      <c r="L52" s="47" t="inlineStr">
        <is>
          <t>Open folder</t>
        </is>
      </c>
      <c r="M52" s="47" t="inlineStr">
        <is>
          <t>Open image</t>
        </is>
      </c>
      <c r="N52" s="45">
        <f>IMAGE("https://raw.githubusercontent.com/RepoKing23/InstagramCarousel/claude/med-spa-carousel-ideas-sim9wz/content/gbp/2026-10-08-natural-or-overdone.jpg")</f>
        <v/>
      </c>
      <c r="O52" s="47" t="inlineStr">
        <is>
          <t>Fleur Kaan / Unsplash</t>
        </is>
      </c>
      <c r="P52" s="45" t="inlineStr">
        <is>
          <t>Ready</t>
        </is>
      </c>
      <c r="Q52" s="46" t="inlineStr"/>
    </row>
    <row r="53" ht="132" customHeight="1" s="14">
      <c r="A53" s="51" t="n">
        <v>46304</v>
      </c>
      <c r="B53" s="45" t="inlineStr">
        <is>
          <t>Fri</t>
        </is>
      </c>
      <c r="C53" s="45" t="inlineStr">
        <is>
          <t>IG: Inside the Filler Appointment</t>
        </is>
      </c>
      <c r="D53" s="45" t="inlineStr">
        <is>
          <t>Personality &amp; BTS</t>
        </is>
      </c>
      <c r="E53" s="46" t="inlineStr">
        <is>
          <t>What a filler appointment actually looks like. Photos, numbing cream for around twenty minutes, mapping while it works, then injecting in small increments with a mirror check as we go. About forty five minutes door to door. On Instagram.</t>
        </is>
      </c>
      <c r="F53" s="45" t="n">
        <v>237</v>
      </c>
      <c r="G53" s="46" t="inlineStr">
        <is>
          <t>What a filler appointment actually looks like, start to finish.
Photos first, because memory is unreliable and you will want the comparison. Numbing cream for about twenty minutes, and I map the face while it works. Then the injecting, done in small increments with a mirror in your hand at the checkpoints, not one long uninterrupted run.
Most of the appointment is not the needle. Around forty five minutes door to door for a single area, and you leave with ice, aftercare in writing and my number.
The part people are surprised by is how much talking there is in the middle of it. Adjusting as we go is not indecision, it is how a symmetrical result happens. Come and see the room on Instagram, or book in Oakville.</t>
        </is>
      </c>
      <c r="H53" s="45" t="n">
        <v>721</v>
      </c>
      <c r="I53" s="45" t="inlineStr">
        <is>
          <t>Learn more</t>
        </is>
      </c>
      <c r="J53" s="47" t="inlineStr">
        <is>
          <t>@luxury_beauty_aestheticz</t>
        </is>
      </c>
      <c r="K53" s="45" t="inlineStr">
        <is>
          <t>2026-10-09-inside-the-appointment.jpg</t>
        </is>
      </c>
      <c r="L53" s="47" t="inlineStr">
        <is>
          <t>Open folder</t>
        </is>
      </c>
      <c r="M53" s="47" t="inlineStr">
        <is>
          <t>Open image</t>
        </is>
      </c>
      <c r="N53" s="45">
        <f>IMAGE("https://raw.githubusercontent.com/RepoKing23/InstagramCarousel/claude/med-spa-carousel-ideas-sim9wz/content/gbp/2026-10-09-inside-the-appointment.jpg")</f>
        <v/>
      </c>
      <c r="O53" s="47" t="inlineStr">
        <is>
          <t>Anuruddha Lokuhapuarachchi / Unsplash</t>
        </is>
      </c>
      <c r="P53" s="45" t="inlineStr">
        <is>
          <t>Ready</t>
        </is>
      </c>
      <c r="Q53" s="46" t="inlineStr"/>
    </row>
    <row r="54" ht="132" customHeight="1" s="14">
      <c r="A54" s="51" t="n">
        <v>46305</v>
      </c>
      <c r="B54" s="45" t="inlineStr">
        <is>
          <t>Sat</t>
        </is>
      </c>
      <c r="C54" s="45" t="inlineStr">
        <is>
          <t>IG: Subtle Is the New Dramatic</t>
        </is>
      </c>
      <c r="D54" s="45" t="inlineStr">
        <is>
          <t>Trust &amp; Proof</t>
        </is>
      </c>
      <c r="E54" s="46" t="inlineStr">
        <is>
          <t>Subtle is not a compromise, it is the goal. If the first thing anyone notices about your face is the filler, something in the plan was wrong. A real result, shared with client consent, is on Instagram.</t>
        </is>
      </c>
      <c r="F54" s="45" t="n">
        <v>201</v>
      </c>
      <c r="G54" s="46" t="inlineStr">
        <is>
          <t>Subtle is not a compromise. It is the goal.
The dramatic result is easy. Anyone can add volume until a change is undeniable. The difficult version is the one where your face looks rested and balanced and nobody can name what changed, which takes restraint, an honest read of proportion, and a willingness to stop early.
If the first thing people notice about you is your filler, the plan was wrong before the needle came out.
This is the standard everything at the Oakville studio is held to. Half a syringe placed properly beats a full one placed to be seen, every single time. A real result, shared with the client's consent, is on Instagram. Assessments for lips, cheeks and jawline are booked the same way.</t>
        </is>
      </c>
      <c r="H54" s="45" t="n">
        <v>713</v>
      </c>
      <c r="I54" s="45" t="inlineStr">
        <is>
          <t>Learn more</t>
        </is>
      </c>
      <c r="J54" s="47" t="inlineStr">
        <is>
          <t>@luxury_beauty_aestheticz</t>
        </is>
      </c>
      <c r="K54" s="45" t="inlineStr">
        <is>
          <t>2026-10-10-subtle-is-the-point.jpg</t>
        </is>
      </c>
      <c r="L54" s="47" t="inlineStr">
        <is>
          <t>Open folder</t>
        </is>
      </c>
      <c r="M54" s="47" t="inlineStr">
        <is>
          <t>Open image</t>
        </is>
      </c>
      <c r="N54" s="45">
        <f>IMAGE("https://raw.githubusercontent.com/RepoKing23/InstagramCarousel/claude/med-spa-carousel-ideas-sim9wz/content/gbp/2026-10-10-subtle-is-the-point.jpg")</f>
        <v/>
      </c>
      <c r="O54" s="47" t="inlineStr">
        <is>
          <t>Fleur Kaan / Unsplash</t>
        </is>
      </c>
      <c r="P54" s="45" t="inlineStr">
        <is>
          <t>Ready</t>
        </is>
      </c>
      <c r="Q54" s="46" t="inlineStr"/>
    </row>
    <row r="55" ht="132" customHeight="1" s="14">
      <c r="A55" s="50" t="n">
        <v>46306</v>
      </c>
      <c r="B55" s="41" t="inlineStr">
        <is>
          <t>Sun</t>
        </is>
      </c>
      <c r="C55" s="41" t="inlineStr">
        <is>
          <t>GBP only</t>
        </is>
      </c>
      <c r="D55" s="41" t="inlineStr">
        <is>
          <t>Trust &amp; Proof</t>
        </is>
      </c>
      <c r="E55" s="42" t="inlineStr">
        <is>
          <t>We are at 3060 Preserve Dr in Oakville, a private studio rather than a clinic floor, with free parking at the door. Clients come from Burlington, Milton and Mississauga for Botox and filler. Appointment only, evenings available.</t>
        </is>
      </c>
      <c r="F55" s="41" t="n">
        <v>228</v>
      </c>
      <c r="G55" s="42" t="inlineStr">
        <is>
          <t>A private studio in Oakville, not a clinic floor and not a shopping centre counter.
We are at 3060 Preserve Dr, with free parking directly outside and no lobby to sit in. Appointments are one at a time, which is why the schedule is by booking only and why nobody is ever rushed through.
Clients drive in from Burlington, Milton and Mississauga, and a good number from north Oakville who did not know there was anything closer than the QEW.
Botox, dermal filler, lip filler and cheek filler, all injected by a nurse practitioner. Evening appointments are available for people coming after work, which is most of them. Send a message on Instagram to book, or ask for directions and I will send them.</t>
        </is>
      </c>
      <c r="H55" s="41" t="n">
        <v>700</v>
      </c>
      <c r="I55" s="41" t="inlineStr">
        <is>
          <t>Learn more</t>
        </is>
      </c>
      <c r="J55" s="43" t="inlineStr">
        <is>
          <t>@luxury_beauty_aestheticz</t>
        </is>
      </c>
      <c r="K55" s="41" t="inlineStr">
        <is>
          <t>2026-10-11-find-the-studio.jpg</t>
        </is>
      </c>
      <c r="L55" s="43" t="inlineStr">
        <is>
          <t>Open folder</t>
        </is>
      </c>
      <c r="M55" s="43" t="inlineStr">
        <is>
          <t>Open image</t>
        </is>
      </c>
      <c r="N55" s="41">
        <f>IMAGE("https://raw.githubusercontent.com/RepoKing23/InstagramCarousel/claude/med-spa-carousel-ideas-sim9wz/content/gbp/2026-10-11-find-the-studio.jpg")</f>
        <v/>
      </c>
      <c r="O55" s="43" t="inlineStr">
        <is>
          <t>Wco Global / Unsplash</t>
        </is>
      </c>
      <c r="P55" s="41" t="inlineStr">
        <is>
          <t>Ready</t>
        </is>
      </c>
      <c r="Q55" s="42" t="inlineStr"/>
    </row>
    <row r="56" ht="132" customHeight="1" s="14">
      <c r="A56" s="51" t="n">
        <v>46307</v>
      </c>
      <c r="B56" s="45" t="inlineStr">
        <is>
          <t>Mon</t>
        </is>
      </c>
      <c r="C56" s="45" t="inlineStr">
        <is>
          <t>IG: Cheek Filler: The Secret Nobody Talks About</t>
        </is>
      </c>
      <c r="D56" s="45" t="inlineStr">
        <is>
          <t>Education</t>
        </is>
      </c>
      <c r="E56" s="46" t="inlineStr">
        <is>
          <t>The cheek is the most underrated area on the face. Support the midface and the lower face softens, because half of what looks heavy at the jaw is really volume that dropped from above. Most people ask for the wrong area first. On Instagram.</t>
        </is>
      </c>
      <c r="F56" s="45" t="n">
        <v>240</v>
      </c>
      <c r="G56" s="46" t="inlineStr">
        <is>
          <t>Cheeks hold the face up. That is the part nobody talks about.
When the midface loses volume, the tissue below it has less to sit on, so it settles. That is why the lines at the mouth deepen, why the lower face starts reading heavy, and why treating either one directly often does very little. The problem is above where you are looking.
Restore midface support and the lower face lifts with it. No filler in the lower face at all, and it still softens.
This is the most common redirection I make at consults in Oakville. Someone comes in asking about the lines around the mouth and leaves with a plan for cheeks, and it is a smaller amount of product than they expected. The full explanation is on Instagram.</t>
        </is>
      </c>
      <c r="H56" s="45" t="n">
        <v>711</v>
      </c>
      <c r="I56" s="45" t="inlineStr">
        <is>
          <t>Learn more</t>
        </is>
      </c>
      <c r="J56" s="47" t="inlineStr">
        <is>
          <t>@luxury_beauty_aestheticz</t>
        </is>
      </c>
      <c r="K56" s="45" t="inlineStr">
        <is>
          <t>2026-10-12-cheeks-hold-the-face.jpg</t>
        </is>
      </c>
      <c r="L56" s="47" t="inlineStr">
        <is>
          <t>Open folder</t>
        </is>
      </c>
      <c r="M56" s="47" t="inlineStr">
        <is>
          <t>Open image</t>
        </is>
      </c>
      <c r="N56" s="45">
        <f>IMAGE("https://raw.githubusercontent.com/RepoKing23/InstagramCarousel/claude/med-spa-carousel-ideas-sim9wz/content/gbp/2026-10-12-cheeks-hold-the-face.jpg")</f>
        <v/>
      </c>
      <c r="O56" s="47" t="inlineStr">
        <is>
          <t>Elist Nguyen / Unsplash</t>
        </is>
      </c>
      <c r="P56" s="45" t="inlineStr">
        <is>
          <t>Ready</t>
        </is>
      </c>
      <c r="Q56" s="46" t="inlineStr"/>
    </row>
    <row r="57" ht="132" customHeight="1" s="14">
      <c r="A57" s="51" t="n">
        <v>46308</v>
      </c>
      <c r="B57" s="45" t="inlineStr">
        <is>
          <t>Tue</t>
        </is>
      </c>
      <c r="C57" s="45" t="inlineStr">
        <is>
          <t>IG: Service Spotlight: Cheek Filler</t>
        </is>
      </c>
      <c r="D57" s="45" t="inlineStr">
        <is>
          <t>Education</t>
        </is>
      </c>
      <c r="E57" s="46" t="inlineStr">
        <is>
          <t>Cheek filler in Oakville, explained. Placed deep for structure rather than fullness, it restores the support the midface has lost. Usually one syringe, results visible immediately, settled by two weeks, lasting twelve to eighteen months. On Instagram.</t>
        </is>
      </c>
      <c r="F57" s="45" t="n">
        <v>251</v>
      </c>
      <c r="G57" s="46" t="inlineStr">
        <is>
          <t>Cheek filler is structure, not volume. That distinction is the entire treatment.
Placed deep, on bone, it restores the support the midface lost rather than sitting shallow and making a face look fuller. Done well it reads as looking rested and slightly lifted. Done shallow or done too much, it reads as cheeks, which is the version everyone has seen and nobody wants.
Most cheek appointments at the Oakville studio are one syringe, sometimes split across two visits so we can assess in between.
Results are visible the same day, settle over about two weeks, and typically last twelve to eighteen months, longer than lips because the area moves less. Injected by a nurse practitioner. See the spotlight on Instagram.</t>
        </is>
      </c>
      <c r="H57" s="45" t="n">
        <v>719</v>
      </c>
      <c r="I57" s="45" t="inlineStr">
        <is>
          <t>Learn more</t>
        </is>
      </c>
      <c r="J57" s="47" t="inlineStr">
        <is>
          <t>@luxury_beauty_aestheticz</t>
        </is>
      </c>
      <c r="K57" s="45" t="inlineStr">
        <is>
          <t>2026-10-13-spotlight-cheek-filler.jpg</t>
        </is>
      </c>
      <c r="L57" s="47" t="inlineStr">
        <is>
          <t>Open folder</t>
        </is>
      </c>
      <c r="M57" s="47" t="inlineStr">
        <is>
          <t>Open image</t>
        </is>
      </c>
      <c r="N57" s="45">
        <f>IMAGE("https://raw.githubusercontent.com/RepoKing23/InstagramCarousel/claude/med-spa-carousel-ideas-sim9wz/content/gbp/2026-10-13-spotlight-cheek-filler.jpg")</f>
        <v/>
      </c>
      <c r="O57" s="47" t="inlineStr">
        <is>
          <t>Zac Taheriyan / Unsplash</t>
        </is>
      </c>
      <c r="P57" s="45" t="inlineStr">
        <is>
          <t>Ready</t>
        </is>
      </c>
      <c r="Q57" s="46" t="inlineStr"/>
    </row>
    <row r="58" ht="132" customHeight="1" s="14">
      <c r="A58" s="50" t="n">
        <v>46309</v>
      </c>
      <c r="B58" s="41" t="inlineStr">
        <is>
          <t>Wed</t>
        </is>
      </c>
      <c r="C58" s="41" t="inlineStr">
        <is>
          <t>GBP only</t>
        </is>
      </c>
      <c r="D58" s="41" t="inlineStr">
        <is>
          <t>Trust &amp; Proof</t>
        </is>
      </c>
      <c r="E58" s="42" t="inlineStr">
        <is>
          <t>Filler is not right for everyone, and not right for everyone today. Pregnancy and breastfeeding, an active skin infection at the site, certain medications and an event too close to the date are all reasons I will ask you to wait. Ask at the consult.</t>
        </is>
      </c>
      <c r="F58" s="41" t="n">
        <v>249</v>
      </c>
      <c r="G58" s="42" t="inlineStr">
        <is>
          <t>Filler is not right for everyone, and not right for everyone today.
The clear ones: pregnancy and breastfeeding, an active skin infection or breakout at the injection site, and a recent dental procedure, which we sit out for two weeks in either direction. Some medications change the plan rather than cancel it, blood thinners in particular, so bring your full list to the consult.
Timing is the one people fight me on. A wedding in ten days is not the week to start, because bruising and swelling need room.
The other reason to wait is simply that your face does not need it yet, which is a real answer and one I give often at the Oakville studio. Ask me directly and you will get a direct answer.</t>
        </is>
      </c>
      <c r="H58" s="41" t="n">
        <v>701</v>
      </c>
      <c r="I58" s="41" t="inlineStr">
        <is>
          <t>Learn more</t>
        </is>
      </c>
      <c r="J58" s="43" t="inlineStr">
        <is>
          <t>@luxury_beauty_aestheticz</t>
        </is>
      </c>
      <c r="K58" s="41" t="inlineStr">
        <is>
          <t>2026-10-14-not-everyone-is-a-candidate.jpg</t>
        </is>
      </c>
      <c r="L58" s="43" t="inlineStr">
        <is>
          <t>Open folder</t>
        </is>
      </c>
      <c r="M58" s="43" t="inlineStr">
        <is>
          <t>Open image</t>
        </is>
      </c>
      <c r="N58" s="41">
        <f>IMAGE("https://raw.githubusercontent.com/RepoKing23/InstagramCarousel/claude/med-spa-carousel-ideas-sim9wz/content/gbp/2026-10-14-not-everyone-is-a-candidate.jpg")</f>
        <v/>
      </c>
      <c r="O58" s="43" t="inlineStr">
        <is>
          <t>Masum Rahimi / Unsplash</t>
        </is>
      </c>
      <c r="P58" s="41" t="inlineStr">
        <is>
          <t>Ready</t>
        </is>
      </c>
      <c r="Q58" s="42" t="inlineStr"/>
    </row>
    <row r="59" ht="132" customHeight="1" s="14">
      <c r="A59" s="51" t="n">
        <v>46310</v>
      </c>
      <c r="B59" s="45" t="inlineStr">
        <is>
          <t>Thu</t>
        </is>
      </c>
      <c r="C59" s="45" t="inlineStr">
        <is>
          <t>IG: Real Lips. Real Results.</t>
        </is>
      </c>
      <c r="D59" s="45" t="inlineStr">
        <is>
          <t>Trust &amp; Proof</t>
        </is>
      </c>
      <c r="E59" s="46" t="inlineStr">
        <is>
          <t>Real lip filler results from the Oakville studio, shared with written client consent. Same lighting, same angle, no filter, no smoothing. Some are half a syringe. This is what the work actually looks like. On Instagram.</t>
        </is>
      </c>
      <c r="F59" s="45" t="n">
        <v>219</v>
      </c>
      <c r="G59" s="46" t="inlineStr">
        <is>
          <t>Real lips, real results, shared with written client consent.
Every comparison is the same lighting, the same angle and the same distance, with no filter and no smoothing. That is a low bar and it should be standard, but it is not, which is why the change in some of these will look smaller than what you see elsewhere. Smaller is the point.
A few of these are half a syringe. One is a correction of somebody else's work, and that is labelled, because it is a different job with a different starting point.
If you want to know what lip filler in Oakville actually looks like on ordinary faces rather than on a screen, this is the honest version. The full set is on Instagram, and consultations are booked from there.</t>
        </is>
      </c>
      <c r="H59" s="45" t="n">
        <v>718</v>
      </c>
      <c r="I59" s="45" t="inlineStr">
        <is>
          <t>Learn more</t>
        </is>
      </c>
      <c r="J59" s="47" t="inlineStr">
        <is>
          <t>@luxury_beauty_aestheticz</t>
        </is>
      </c>
      <c r="K59" s="45" t="inlineStr">
        <is>
          <t>2026-10-15-real-lips-real-results.jpg</t>
        </is>
      </c>
      <c r="L59" s="47" t="inlineStr">
        <is>
          <t>Open folder</t>
        </is>
      </c>
      <c r="M59" s="47" t="inlineStr">
        <is>
          <t>Open image</t>
        </is>
      </c>
      <c r="N59" s="45">
        <f>IMAGE("https://raw.githubusercontent.com/RepoKing23/InstagramCarousel/claude/med-spa-carousel-ideas-sim9wz/content/gbp/2026-10-15-real-lips-real-results.jpg")</f>
        <v/>
      </c>
      <c r="O59" s="47" t="inlineStr">
        <is>
          <t>Vitaliy Shevchenko / Unsplash</t>
        </is>
      </c>
      <c r="P59" s="45" t="inlineStr">
        <is>
          <t>Ready</t>
        </is>
      </c>
      <c r="Q59" s="46" t="inlineStr"/>
    </row>
    <row r="60" ht="132" customHeight="1" s="14">
      <c r="A60" s="51" t="n">
        <v>46311</v>
      </c>
      <c r="B60" s="45" t="inlineStr">
        <is>
          <t>Fri</t>
        </is>
      </c>
      <c r="C60" s="45" t="inlineStr">
        <is>
          <t>IG: Facial Balancing 101</t>
        </is>
      </c>
      <c r="D60" s="45" t="inlineStr">
        <is>
          <t>Education</t>
        </is>
      </c>
      <c r="E60" s="46" t="inlineStr">
        <is>
          <t>Facial balancing, in one post. It treats the relationship between features rather than the one feature that bothers you. A chin that is slightly short changes how the lips read, so treating the lips alone would have chased the wrong thing. On Instagram.</t>
        </is>
      </c>
      <c r="F60" s="45" t="n">
        <v>253</v>
      </c>
      <c r="G60" s="46" t="inlineStr">
        <is>
          <t>Facial balancing treats proportion, not the feature you came in about.
Here is the version that makes it click. A chin that sits slightly short makes the lower lip look like it is projecting further than it is, so someone comes in asking to have their upper lip built to match. Do that and you have made both problems worse. Support the chin and the lips read as balanced without touching them.
The same logic runs through the midface, the jawline and the temples. Features are read against each other, never on their own.
This is why a consult in Oakville looks at the whole face even when your question is about one part of it, and why the plan is often a smaller amount of product in a different place. The full explanation is on Instagram.</t>
        </is>
      </c>
      <c r="H60" s="45" t="n">
        <v>746</v>
      </c>
      <c r="I60" s="45" t="inlineStr">
        <is>
          <t>Learn more</t>
        </is>
      </c>
      <c r="J60" s="47" t="inlineStr">
        <is>
          <t>@luxury_beauty_aestheticz</t>
        </is>
      </c>
      <c r="K60" s="45" t="inlineStr">
        <is>
          <t>2026-10-16-facial-balancing-101.jpg</t>
        </is>
      </c>
      <c r="L60" s="47" t="inlineStr">
        <is>
          <t>Open folder</t>
        </is>
      </c>
      <c r="M60" s="47" t="inlineStr">
        <is>
          <t>Open image</t>
        </is>
      </c>
      <c r="N60" s="45">
        <f>IMAGE("https://raw.githubusercontent.com/RepoKing23/InstagramCarousel/claude/med-spa-carousel-ideas-sim9wz/content/gbp/2026-10-16-facial-balancing-101.jpg")</f>
        <v/>
      </c>
      <c r="O60" s="47" t="inlineStr">
        <is>
          <t>Masum Rahimi / Unsplash</t>
        </is>
      </c>
      <c r="P60" s="45" t="inlineStr">
        <is>
          <t>Ready</t>
        </is>
      </c>
      <c r="Q60" s="46" t="inlineStr"/>
    </row>
    <row r="61" ht="132" customHeight="1" s="14">
      <c r="A61" s="51" t="n">
        <v>46312</v>
      </c>
      <c r="B61" s="45" t="inlineStr">
        <is>
          <t>Sat</t>
        </is>
      </c>
      <c r="C61" s="45" t="inlineStr">
        <is>
          <t>IG: FAQ: How Much Filler Do I Need?</t>
        </is>
      </c>
      <c r="D61" s="45" t="inlineStr">
        <is>
          <t>Education</t>
        </is>
      </c>
      <c r="E61" s="46" t="inlineStr">
        <is>
          <t>How much filler do you need? Usually less than you think. One syringe is roughly a fifth of a teaspoon, and for lips that is often a full result or more than one appointment needs. Half syringes are a real option here. Details on Instagram.</t>
        </is>
      </c>
      <c r="F61" s="45" t="n">
        <v>240</v>
      </c>
      <c r="G61" s="46" t="inlineStr">
        <is>
          <t>How much filler do I need? Almost always less than you think.
One syringe is about a millilitre, which is roughly a fifth of a teaspoon. On lips that is frequently a complete result, and for a first appointment half of one is often the better call. Cheeks usually take a full syringe per side over time, though rarely all at once. Chin and jawline sit somewhere in between.
The number that matters is not how many syringes, it is how much your face can carry before it stops looking like your face.
At the Oakville studio I would rather you come back in a month and add than sit with too much for the next year. Filler dissolves, but waiting it out is nobody's idea of a good outcome. Ask at the consult, or read the FAQ on Instagram.</t>
        </is>
      </c>
      <c r="H61" s="45" t="n">
        <v>737</v>
      </c>
      <c r="I61" s="45" t="inlineStr">
        <is>
          <t>Learn more</t>
        </is>
      </c>
      <c r="J61" s="47" t="inlineStr">
        <is>
          <t>@luxury_beauty_aestheticz</t>
        </is>
      </c>
      <c r="K61" s="45" t="inlineStr">
        <is>
          <t>2026-10-17-how-much-do-i-need.jpg</t>
        </is>
      </c>
      <c r="L61" s="47" t="inlineStr">
        <is>
          <t>Open folder</t>
        </is>
      </c>
      <c r="M61" s="47" t="inlineStr">
        <is>
          <t>Open image</t>
        </is>
      </c>
      <c r="N61" s="45">
        <f>IMAGE("https://raw.githubusercontent.com/RepoKing23/InstagramCarousel/claude/med-spa-carousel-ideas-sim9wz/content/gbp/2026-10-17-how-much-do-i-need.jpg")</f>
        <v/>
      </c>
      <c r="O61" s="47" t="inlineStr">
        <is>
          <t>Victor Meza / Unsplash</t>
        </is>
      </c>
      <c r="P61" s="45" t="inlineStr">
        <is>
          <t>Ready</t>
        </is>
      </c>
      <c r="Q61" s="46" t="inlineStr"/>
    </row>
    <row r="62" ht="132" customHeight="1" s="14">
      <c r="A62" s="50" t="n">
        <v>46313</v>
      </c>
      <c r="B62" s="41" t="inlineStr">
        <is>
          <t>Sun</t>
        </is>
      </c>
      <c r="C62" s="41" t="inlineStr">
        <is>
          <t>GBP only</t>
        </is>
      </c>
      <c r="D62" s="41" t="inlineStr">
        <is>
          <t>Education</t>
        </is>
      </c>
      <c r="E62" s="42" t="inlineStr">
        <is>
          <t>How to arrive for filler. Eat beforehand, skip alcohol for 24 hours, hold fish oil and ibuprofen if your doctor allows, come with a clean face and leave the evening plans open. Small things, and they change how the next two days go.</t>
        </is>
      </c>
      <c r="F62" s="41" t="n">
        <v>232</v>
      </c>
      <c r="G62" s="42" t="inlineStr">
        <is>
          <t>How to arrive for a filler appointment, so the next two days go easier.
Eat first. People who come in on an empty stomach are the ones who feel lightheaded. Skip alcohol for the 24 hours before, since it thins the blood and bruising follows. If your own doctor is fine with it, hold fish oil, high dose vitamin E and ibuprofen for a few days beforehand, and never stop a prescribed blood thinner without asking them.
Come with a clean face. Makeup goes off before we start anyway, so save yourself the step.
And leave the evening open. You will look swollen, possibly uneven, and that is the treatment working rather than the result. Appointments at the Oakville studio run about forty five minutes, including numbing.</t>
        </is>
      </c>
      <c r="H62" s="41" t="n">
        <v>721</v>
      </c>
      <c r="I62" s="41" t="inlineStr">
        <is>
          <t>Learn more</t>
        </is>
      </c>
      <c r="J62" s="43" t="inlineStr">
        <is>
          <t>@luxury_beauty_aestheticz</t>
        </is>
      </c>
      <c r="K62" s="41" t="inlineStr">
        <is>
          <t>2026-10-18-on-the-day-itself.jpg</t>
        </is>
      </c>
      <c r="L62" s="43" t="inlineStr">
        <is>
          <t>Open folder</t>
        </is>
      </c>
      <c r="M62" s="43" t="inlineStr">
        <is>
          <t>Open image</t>
        </is>
      </c>
      <c r="N62" s="41">
        <f>IMAGE("https://raw.githubusercontent.com/RepoKing23/InstagramCarousel/claude/med-spa-carousel-ideas-sim9wz/content/gbp/2026-10-18-on-the-day-itself.jpg")</f>
        <v/>
      </c>
      <c r="O62" s="43" t="inlineStr">
        <is>
          <t>Christin Hume / Unsplash</t>
        </is>
      </c>
      <c r="P62" s="41" t="inlineStr">
        <is>
          <t>Ready</t>
        </is>
      </c>
      <c r="Q62" s="42" t="inlineStr"/>
    </row>
    <row r="63" ht="132" customHeight="1" s="14">
      <c r="A63" s="51" t="n">
        <v>46314</v>
      </c>
      <c r="B63" s="45" t="inlineStr">
        <is>
          <t>Mon</t>
        </is>
      </c>
      <c r="C63" s="45" t="inlineStr">
        <is>
          <t>IG: Filler Dissolves. Here Is the Real Timeline.</t>
        </is>
      </c>
      <c r="D63" s="45" t="inlineStr">
        <is>
          <t>Education</t>
        </is>
      </c>
      <c r="E63" s="46" t="inlineStr">
        <is>
          <t>Filler is not permanent. Lips run six to twelve months, cheeks and jawline twelve to eighteen, because areas that move more break product down faster. And hyaluronic acid can be dissolved deliberately if a result is wrong. On Instagram.</t>
        </is>
      </c>
      <c r="F63" s="45" t="n">
        <v>236</v>
      </c>
      <c r="G63" s="46" t="inlineStr">
        <is>
          <t>Filler dissolves. Here is the real timeline, area by area.
Lips run about six to twelve months, because the mouth never stops moving and movement breaks product down. Cheeks and jawline run twelve to eighteen for the opposite reason. Chin sits near the longer end. Your metabolism moves all of those numbers, and people who train hard usually sit at the short end of every range.
What does not happen is filler disappearing overnight. It softens gradually, which is why people think it lasted longer than it did.
And the part that should be said more often: hyaluronic acid filler can be dissolved deliberately, in one appointment, if a result is not right. That is not a hypothetical safety net, it is a treatment I actually perform in Oakville. Full timeline on Instagram.</t>
        </is>
      </c>
      <c r="H63" s="45" t="n">
        <v>777</v>
      </c>
      <c r="I63" s="45" t="inlineStr">
        <is>
          <t>Learn more</t>
        </is>
      </c>
      <c r="J63" s="47" t="inlineStr">
        <is>
          <t>@luxury_beauty_aestheticz</t>
        </is>
      </c>
      <c r="K63" s="45" t="inlineStr">
        <is>
          <t>2026-10-19-it-dissolves.jpg</t>
        </is>
      </c>
      <c r="L63" s="47" t="inlineStr">
        <is>
          <t>Open folder</t>
        </is>
      </c>
      <c r="M63" s="47" t="inlineStr">
        <is>
          <t>Open image</t>
        </is>
      </c>
      <c r="N63" s="45">
        <f>IMAGE("https://raw.githubusercontent.com/RepoKing23/InstagramCarousel/claude/med-spa-carousel-ideas-sim9wz/content/gbp/2026-10-19-it-dissolves.jpg")</f>
        <v/>
      </c>
      <c r="O63" s="47" t="inlineStr">
        <is>
          <t>Alef Morais / Unsplash</t>
        </is>
      </c>
      <c r="P63" s="45" t="inlineStr">
        <is>
          <t>Ready</t>
        </is>
      </c>
      <c r="Q63" s="46" t="inlineStr"/>
    </row>
    <row r="64" ht="132" customHeight="1" s="14">
      <c r="A64" s="51" t="n">
        <v>46315</v>
      </c>
      <c r="B64" s="45" t="inlineStr">
        <is>
          <t>Tue</t>
        </is>
      </c>
      <c r="C64" s="45" t="inlineStr">
        <is>
          <t>IG: The Filler Timeline</t>
        </is>
      </c>
      <c r="D64" s="45" t="inlineStr">
        <is>
          <t>Education</t>
        </is>
      </c>
      <c r="E64" s="46" t="inlineStr">
        <is>
          <t>Day by day after lip filler. Day one is swollen and firm, day two is often the peak, by day three it is settling, bruising clears through week one, and two weeks is your actual result. Judge it then, not before. On Instagram.</t>
        </is>
      </c>
      <c r="F64" s="45" t="n">
        <v>225</v>
      </c>
      <c r="G64" s="46" t="inlineStr">
        <is>
          <t>Day one swollen. Day three settling. Two weeks is your result.
Day one, expect firm and larger than the final shape, sometimes noticeably uneven. Day two is the swelling peak for most people, which is the day everybody messages me. Day three it begins to come down and starts to look like a lip again. Any bruising surfaces and clears through the first week.
Week two is when the product has fully integrated and the shape is real. That is the only fair point to judge it, and the point at which we review.
The day two panic is the single most common message I get after lip filler in Oakville, and it is almost never a problem. Save the timeline from Instagram so you have it on your phone when you need it.</t>
        </is>
      </c>
      <c r="H64" s="45" t="n">
        <v>711</v>
      </c>
      <c r="I64" s="45" t="inlineStr">
        <is>
          <t>Learn more</t>
        </is>
      </c>
      <c r="J64" s="47" t="inlineStr">
        <is>
          <t>@luxury_beauty_aestheticz</t>
        </is>
      </c>
      <c r="K64" s="45" t="inlineStr">
        <is>
          <t>2026-10-20-the-filler-timeline.jpg</t>
        </is>
      </c>
      <c r="L64" s="47" t="inlineStr">
        <is>
          <t>Open folder</t>
        </is>
      </c>
      <c r="M64" s="47" t="inlineStr">
        <is>
          <t>Open image</t>
        </is>
      </c>
      <c r="N64" s="45">
        <f>IMAGE("https://raw.githubusercontent.com/RepoKing23/InstagramCarousel/claude/med-spa-carousel-ideas-sim9wz/content/gbp/2026-10-20-the-filler-timeline.jpg")</f>
        <v/>
      </c>
      <c r="O64" s="47" t="inlineStr">
        <is>
          <t>Zulfugar Karimov / Unsplash</t>
        </is>
      </c>
      <c r="P64" s="45" t="inlineStr">
        <is>
          <t>Ready</t>
        </is>
      </c>
      <c r="Q64" s="46" t="inlineStr"/>
    </row>
    <row r="65" ht="132" customHeight="1" s="14">
      <c r="A65" s="50" t="n">
        <v>46316</v>
      </c>
      <c r="B65" s="41" t="inlineStr">
        <is>
          <t>Wed</t>
        </is>
      </c>
      <c r="C65" s="41" t="inlineStr">
        <is>
          <t>GBP only</t>
        </is>
      </c>
      <c r="D65" s="41" t="inlineStr">
        <is>
          <t>Education</t>
        </is>
      </c>
      <c r="E65" s="42" t="inlineStr">
        <is>
          <t>Will filler bruise? Sometimes, and it is not a sign anything went wrong. Lips bruise most because the tissue is vascular. Skip alcohol beforehand, hold blood thinning supplements if your doctor agrees, ice after, and expect it clear within a week.</t>
        </is>
      </c>
      <c r="F65" s="41" t="n">
        <v>247</v>
      </c>
      <c r="G65" s="42" t="inlineStr">
        <is>
          <t>Will I bruise? Sometimes, and it does not mean anything went wrong.
Filler is placed in tissue that has blood vessels running through it, and lips have more of them than anywhere else I treat. A needle can meet one. Careful technique lowers the odds and no technique removes them, which is why I will not promise you a bruise free appointment.
What helps: no alcohol for 24 hours beforehand, holding fish oil, vitamin E and ibuprofen for a few days if your own doctor agrees, ice afterwards, and arnica if you like it.
Most bruising is small, most of it is coverable with makeup after 24 hours, and nearly all of it is gone inside a week. Book with a week of room before anything you care about, and you will never have to think about it.</t>
        </is>
      </c>
      <c r="H65" s="41" t="n">
        <v>741</v>
      </c>
      <c r="I65" s="41" t="inlineStr">
        <is>
          <t>Learn more</t>
        </is>
      </c>
      <c r="J65" s="43" t="inlineStr">
        <is>
          <t>@luxury_beauty_aestheticz</t>
        </is>
      </c>
      <c r="K65" s="41" t="inlineStr">
        <is>
          <t>2026-10-21-will-i-bruise.jpg</t>
        </is>
      </c>
      <c r="L65" s="43" t="inlineStr">
        <is>
          <t>Open folder</t>
        </is>
      </c>
      <c r="M65" s="43" t="inlineStr">
        <is>
          <t>Open image</t>
        </is>
      </c>
      <c r="N65" s="41">
        <f>IMAGE("https://raw.githubusercontent.com/RepoKing23/InstagramCarousel/claude/med-spa-carousel-ideas-sim9wz/content/gbp/2026-10-21-will-i-bruise.jpg")</f>
        <v/>
      </c>
      <c r="O65" s="43" t="inlineStr">
        <is>
          <t>Neda Vidakovic / Unsplash</t>
        </is>
      </c>
      <c r="P65" s="41" t="inlineStr">
        <is>
          <t>Ready</t>
        </is>
      </c>
      <c r="Q65" s="42" t="inlineStr"/>
    </row>
    <row r="66" ht="132" customHeight="1" s="14">
      <c r="A66" s="51" t="n">
        <v>46317</v>
      </c>
      <c r="B66" s="45" t="inlineStr">
        <is>
          <t>Thu</t>
        </is>
      </c>
      <c r="C66" s="45" t="inlineStr">
        <is>
          <t>IG: Lip Filler Aftercare: Your First Week</t>
        </is>
      </c>
      <c r="D66" s="45" t="inlineStr">
        <is>
          <t>Education</t>
        </is>
      </c>
      <c r="E66" s="46" t="inlineStr">
        <is>
          <t>Lip filler aftercare for the first week. Ice on and off for the first day, sleep propped up, no gym, sauna or hot yoga for 48 hours, no pressing or massaging unless I asked you to, and keep the water up. Save the post on Instagram.</t>
        </is>
      </c>
      <c r="F66" s="45" t="n">
        <v>231</v>
      </c>
      <c r="G66" s="46" t="inlineStr">
        <is>
          <t>Your first week after lip filler, in the order it matters.
First 48 hours: ice on and off, sleep propped up on an extra pillow, and skip the gym, sauna and hot yoga because heat and blood flow both make swelling worse. Do not press, pinch or massage the lips unless I have specifically told you to. No dental work, and hold off on flying if you can.
Drink more water than usual. Hyaluronic acid draws water, and dehydrated lips feel tighter and look flatter.
After 48 hours you are essentially back to normal. Small lumps in the first week are common and usually resolve on their own, but message me rather than sitting and worrying about it. Every client at the Oakville studio leaves with this in writing and my number. Save it from Instagram.</t>
        </is>
      </c>
      <c r="H66" s="45" t="n">
        <v>748</v>
      </c>
      <c r="I66" s="45" t="inlineStr">
        <is>
          <t>Learn more</t>
        </is>
      </c>
      <c r="J66" s="47" t="inlineStr">
        <is>
          <t>@luxury_beauty_aestheticz</t>
        </is>
      </c>
      <c r="K66" s="45" t="inlineStr">
        <is>
          <t>2026-10-22-the-first-week.jpg</t>
        </is>
      </c>
      <c r="L66" s="47" t="inlineStr">
        <is>
          <t>Open folder</t>
        </is>
      </c>
      <c r="M66" s="47" t="inlineStr">
        <is>
          <t>Open image</t>
        </is>
      </c>
      <c r="N66" s="45">
        <f>IMAGE("https://raw.githubusercontent.com/RepoKing23/InstagramCarousel/claude/med-spa-carousel-ideas-sim9wz/content/gbp/2026-10-22-the-first-week.jpg")</f>
        <v/>
      </c>
      <c r="O66" s="47" t="inlineStr">
        <is>
          <t>Soheil Kmp / Unsplash</t>
        </is>
      </c>
      <c r="P66" s="45" t="inlineStr">
        <is>
          <t>Ready</t>
        </is>
      </c>
      <c r="Q66" s="46" t="inlineStr"/>
    </row>
    <row r="67" ht="132" customHeight="1" s="14">
      <c r="A67" s="51" t="n">
        <v>46318</v>
      </c>
      <c r="B67" s="45" t="inlineStr">
        <is>
          <t>Fri</t>
        </is>
      </c>
      <c r="C67" s="45" t="inlineStr">
        <is>
          <t>IG: Aftercare Essentials</t>
        </is>
      </c>
      <c r="D67" s="45" t="inlineStr">
        <is>
          <t>Education</t>
        </is>
      </c>
      <c r="E67" s="46" t="inlineStr">
        <is>
          <t>The whole filler aftercare list on one card. Ice, water, an extra pillow, no heat or hard exercise for 48 hours, no pressing at it, and no judging the result before two weeks. Save it to your phone. On Instagram.</t>
        </is>
      </c>
      <c r="F67" s="45" t="n">
        <v>212</v>
      </c>
      <c r="G67" s="46" t="inlineStr">
        <is>
          <t>The entire filler aftercare list, on one card, because it really is short.
Ice on and off for the first day. Water, more than you think. An extra pillow for two nights. No gym, sauna or hot yoga for 48 hours. No pressing, pinching or massaging the area. No judging the result until two weeks, which is the rule people break most.
That is the list. Everything else you have read online is either a variation on those six or somebody selling you something.
Every client at the Oakville studio leaves with this in writing and a way to reach me directly, because the reassuring answer at 9pm on day two is worth more than any leaflet. Save the card from Instagram so it is on your phone when you need it.</t>
        </is>
      </c>
      <c r="H67" s="45" t="n">
        <v>703</v>
      </c>
      <c r="I67" s="45" t="inlineStr">
        <is>
          <t>Learn more</t>
        </is>
      </c>
      <c r="J67" s="47" t="inlineStr">
        <is>
          <t>@luxury_beauty_aestheticz</t>
        </is>
      </c>
      <c r="K67" s="45" t="inlineStr">
        <is>
          <t>2026-10-23-aftercare-essentials.jpg</t>
        </is>
      </c>
      <c r="L67" s="47" t="inlineStr">
        <is>
          <t>Open folder</t>
        </is>
      </c>
      <c r="M67" s="47" t="inlineStr">
        <is>
          <t>Open image</t>
        </is>
      </c>
      <c r="N67" s="45">
        <f>IMAGE("https://raw.githubusercontent.com/RepoKing23/InstagramCarousel/claude/med-spa-carousel-ideas-sim9wz/content/gbp/2026-10-23-aftercare-essentials.jpg")</f>
        <v/>
      </c>
      <c r="O67" s="47" t="inlineStr">
        <is>
          <t>Rosa Rafael / Unsplash</t>
        </is>
      </c>
      <c r="P67" s="45" t="inlineStr">
        <is>
          <t>Ready</t>
        </is>
      </c>
      <c r="Q67" s="46" t="inlineStr"/>
    </row>
    <row r="68" ht="132" customHeight="1" s="14">
      <c r="A68" s="51" t="n">
        <v>46319</v>
      </c>
      <c r="B68" s="45" t="inlineStr">
        <is>
          <t>Sat</t>
        </is>
      </c>
      <c r="C68" s="45" t="inlineStr">
        <is>
          <t>IG: Client Words: The Lip Glow-Up</t>
        </is>
      </c>
      <c r="D68" s="45" t="inlineStr">
        <is>
          <t>Trust &amp; Proof</t>
        </is>
      </c>
      <c r="E68" s="46" t="inlineStr">
        <is>
          <t>In her words, shared with consent: she wanted lips that looked like hers on a good day, and nobody at work has asked what she had done. That is the brief, met. Her result is on Instagram beside it.</t>
        </is>
      </c>
      <c r="F68" s="45" t="n">
        <v>197</v>
      </c>
      <c r="G68" s="46" t="inlineStr">
        <is>
          <t>Her words, not mine, shared with her written consent.
What she asked for was lips that looked like hers on a good day. Not bigger, not a shape she had saved from someone else. She had talked herself out of it twice, both times because of results she had seen on other people and did not want.
We used less than one syringe, in a single appointment, and reviewed at two weeks.
The line from her review that I keep thinking about: nobody at work has asked what she had done, and two people have asked if she has been sleeping better. That is the brief, met exactly. Her result is posted beside her words on Instagram, with permission. Lip filler consultations in Oakville are booked from there.</t>
        </is>
      </c>
      <c r="H68" s="45" t="n">
        <v>695</v>
      </c>
      <c r="I68" s="45" t="inlineStr">
        <is>
          <t>Learn more</t>
        </is>
      </c>
      <c r="J68" s="47" t="inlineStr">
        <is>
          <t>@luxury_beauty_aestheticz</t>
        </is>
      </c>
      <c r="K68" s="45" t="inlineStr">
        <is>
          <t>2026-10-24-client-words-lips.jpg</t>
        </is>
      </c>
      <c r="L68" s="47" t="inlineStr">
        <is>
          <t>Open folder</t>
        </is>
      </c>
      <c r="M68" s="47" t="inlineStr">
        <is>
          <t>Open image</t>
        </is>
      </c>
      <c r="N68" s="45">
        <f>IMAGE("https://raw.githubusercontent.com/RepoKing23/InstagramCarousel/claude/med-spa-carousel-ideas-sim9wz/content/gbp/2026-10-24-client-words-lips.jpg")</f>
        <v/>
      </c>
      <c r="O68" s="47" t="inlineStr">
        <is>
          <t>Elist Nguyen / Unsplash</t>
        </is>
      </c>
      <c r="P68" s="45" t="inlineStr">
        <is>
          <t>Ready</t>
        </is>
      </c>
      <c r="Q68" s="46" t="inlineStr"/>
    </row>
    <row r="69" ht="132" customHeight="1" s="14">
      <c r="A69" s="50" t="n">
        <v>46320</v>
      </c>
      <c r="B69" s="41" t="inlineStr">
        <is>
          <t>Sun</t>
        </is>
      </c>
      <c r="C69" s="41" t="inlineStr">
        <is>
          <t>GBP only</t>
        </is>
      </c>
      <c r="D69" s="41" t="inlineStr">
        <is>
          <t>Trust &amp; Proof</t>
        </is>
      </c>
      <c r="E69" s="42" t="inlineStr">
        <is>
          <t>Booking is straightforward. Send a message on Instagram with what is bothering you and roughly when suits, and we start with a consult. Evenings available. Appointment only, at 3060 Preserve Dr, Oakville, with free parking at the door.</t>
        </is>
      </c>
      <c r="F69" s="41" t="n">
        <v>235</v>
      </c>
      <c r="G69" s="42" t="inlineStr">
        <is>
          <t>Booking at the Oakville studio is straightforward, and it starts with a conversation.
Send a message on Instagram with what is bothering you and roughly when suits. You do not need to know which treatment you want, and you do not need the vocabulary. Describing it in your own words is genuinely enough, and often more useful.
Every new client starts with a consult, which can be the same visit as treatment if you are a clear candidate and comfortable going ahead.
We are appointment only at 3060 Preserve Dr, with free parking at the door and evening slots for people coming after work. Clients travel in from Burlington, Milton and Mississauga. Botox, lip filler, cheek filler and jawline, all injected by a nurse practitioner.</t>
        </is>
      </c>
      <c r="H69" s="41" t="n">
        <v>733</v>
      </c>
      <c r="I69" s="41" t="inlineStr">
        <is>
          <t>Learn more</t>
        </is>
      </c>
      <c r="J69" s="43" t="inlineStr">
        <is>
          <t>@luxury_beauty_aestheticz</t>
        </is>
      </c>
      <c r="K69" s="41" t="inlineStr">
        <is>
          <t>2026-10-25-how-to-book-filler.jpg</t>
        </is>
      </c>
      <c r="L69" s="43" t="inlineStr">
        <is>
          <t>Open folder</t>
        </is>
      </c>
      <c r="M69" s="43" t="inlineStr">
        <is>
          <t>Open image</t>
        </is>
      </c>
      <c r="N69" s="41">
        <f>IMAGE("https://raw.githubusercontent.com/RepoKing23/InstagramCarousel/claude/med-spa-carousel-ideas-sim9wz/content/gbp/2026-10-25-how-to-book-filler.jpg")</f>
        <v/>
      </c>
      <c r="O69" s="43" t="inlineStr">
        <is>
          <t>Look Studio / Unsplash</t>
        </is>
      </c>
      <c r="P69" s="41" t="inlineStr">
        <is>
          <t>Ready</t>
        </is>
      </c>
      <c r="Q69" s="42" t="inlineStr"/>
    </row>
    <row r="70" ht="132" customHeight="1" s="14">
      <c r="A70" s="51" t="n">
        <v>46321</v>
      </c>
      <c r="B70" s="45" t="inlineStr">
        <is>
          <t>Mon</t>
        </is>
      </c>
      <c r="C70" s="45" t="inlineStr">
        <is>
          <t>IG: 5 Filler Lies You Still Believe</t>
        </is>
      </c>
      <c r="D70" s="45" t="inlineStr">
        <is>
          <t>Education</t>
        </is>
      </c>
      <c r="E70" s="46" t="inlineStr">
        <is>
          <t>Five filler lies, taken apart. It does not migrate on its own, it does not stretch your skin, it is not permanent, you are not committed for life, and one syringe is not a dramatic change. Every one of them has a real answer. On Instagram.</t>
        </is>
      </c>
      <c r="F70" s="45" t="n">
        <v>239</v>
      </c>
      <c r="G70" s="46" t="inlineStr">
        <is>
          <t>Five things people still believe about filler, and what is actually true.
It migrates on its own. It does not. Migration is overfilling or misplacement, and it is a technique problem, not a property of the product. It stretches your skin permanently. There is no good evidence for that at the volumes used properly. It is permanent. Hyaluronic acid filler is not, and it can be dissolved on purpose.
Once you start you cannot stop. You can stop whenever you like, and your face returns to where it would have been.
And the fifth, which is the most expensive one: that one syringe is a dramatic change. It is about a fifth of a teaspoon. All five taken apart properly on Instagram, or ask me directly at a consult in Oakville.</t>
        </is>
      </c>
      <c r="H70" s="45" t="n">
        <v>728</v>
      </c>
      <c r="I70" s="45" t="inlineStr">
        <is>
          <t>Learn more</t>
        </is>
      </c>
      <c r="J70" s="47" t="inlineStr">
        <is>
          <t>@luxury_beauty_aestheticz</t>
        </is>
      </c>
      <c r="K70" s="45" t="inlineStr">
        <is>
          <t>2026-10-26-five-filler-lies.jpg</t>
        </is>
      </c>
      <c r="L70" s="47" t="inlineStr">
        <is>
          <t>Open folder</t>
        </is>
      </c>
      <c r="M70" s="47" t="inlineStr">
        <is>
          <t>Open image</t>
        </is>
      </c>
      <c r="N70" s="45">
        <f>IMAGE("https://raw.githubusercontent.com/RepoKing23/InstagramCarousel/claude/med-spa-carousel-ideas-sim9wz/content/gbp/2026-10-26-five-filler-lies.jpg")</f>
        <v/>
      </c>
      <c r="O70" s="47" t="inlineStr">
        <is>
          <t>karelys Ruiz / Unsplash</t>
        </is>
      </c>
      <c r="P70" s="45" t="inlineStr">
        <is>
          <t>Ready</t>
        </is>
      </c>
      <c r="Q70" s="46" t="inlineStr"/>
    </row>
    <row r="71" ht="132" customHeight="1" s="14">
      <c r="A71" s="51" t="n">
        <v>46322</v>
      </c>
      <c r="B71" s="45" t="inlineStr">
        <is>
          <t>Tue</t>
        </is>
      </c>
      <c r="C71" s="45" t="inlineStr">
        <is>
          <t>IG: Myth vs Truth: Filler Edition</t>
        </is>
      </c>
      <c r="D71" s="45" t="inlineStr">
        <is>
          <t>Education</t>
        </is>
      </c>
      <c r="E71" s="46" t="inlineStr">
        <is>
          <t>Myth versus truth, filler edition. Six claims side by side, with the real answer next to each one. If you have been putting off asking because of something you read, one of these is probably it. On Instagram.</t>
        </is>
      </c>
      <c r="F71" s="45" t="n">
        <v>208</v>
      </c>
      <c r="G71" s="46" t="inlineStr">
        <is>
          <t>Myth on one side, truth on the other, six of them.
These are the six I hear most often at consults in Oakville, and they have a pattern. Every one of them started with somebody seeing a bad result and concluding that the treatment does that, rather than that the injector did that. Bad filler is loud and visible. Good filler is invisible by design, so it never gets counted.
That asymmetry is the whole reason this misinformation survives.
If you have been putting off asking a question because of something you read, there is a decent chance it is on this card with the real answer beside it. And if it is not, message me and I will answer it directly rather than sending you a leaflet. The card is on Instagram.</t>
        </is>
      </c>
      <c r="H71" s="45" t="n">
        <v>717</v>
      </c>
      <c r="I71" s="45" t="inlineStr">
        <is>
          <t>Learn more</t>
        </is>
      </c>
      <c r="J71" s="47" t="inlineStr">
        <is>
          <t>@luxury_beauty_aestheticz</t>
        </is>
      </c>
      <c r="K71" s="45" t="inlineStr">
        <is>
          <t>2026-10-27-myth-vs-truth-filler.jpg</t>
        </is>
      </c>
      <c r="L71" s="47" t="inlineStr">
        <is>
          <t>Open folder</t>
        </is>
      </c>
      <c r="M71" s="47" t="inlineStr">
        <is>
          <t>Open image</t>
        </is>
      </c>
      <c r="N71" s="45">
        <f>IMAGE("https://raw.githubusercontent.com/RepoKing23/InstagramCarousel/claude/med-spa-carousel-ideas-sim9wz/content/gbp/2026-10-27-myth-vs-truth-filler.jpg")</f>
        <v/>
      </c>
      <c r="O71" s="47" t="inlineStr">
        <is>
          <t>Ionela Mat / Unsplash</t>
        </is>
      </c>
      <c r="P71" s="45" t="inlineStr">
        <is>
          <t>Ready</t>
        </is>
      </c>
      <c r="Q71" s="46" t="inlineStr"/>
    </row>
    <row r="72" ht="132" customHeight="1" s="14">
      <c r="A72" s="50" t="n">
        <v>46323</v>
      </c>
      <c r="B72" s="41" t="inlineStr">
        <is>
          <t>Wed</t>
        </is>
      </c>
      <c r="C72" s="41" t="inlineStr">
        <is>
          <t>GBP only</t>
        </is>
      </c>
      <c r="D72" s="41" t="inlineStr">
        <is>
          <t>Trust &amp; Proof</t>
        </is>
      </c>
      <c r="E72" s="42" t="inlineStr">
        <is>
          <t>How filler is priced here. Per syringe, quoted at your consult once we know the area and the amount, and half a syringe is priced as half. No package pressure and no product opened before you have agreed to the number.</t>
        </is>
      </c>
      <c r="F72" s="41" t="n">
        <v>218</v>
      </c>
      <c r="G72" s="42" t="inlineStr">
        <is>
          <t>Filler is priced per syringe, and you get the number before anything is opened.
I do not post a price list, for the same reason I do not post one for Botox. The honest figure depends on the area, how much it actually needs and whether we are starting fresh or working alongside existing product, and a number posted without that context is either a lure or a guess.
What you get instead: a quote at your consult, in writing, for the plan we agreed on. Half a syringe is priced as half.
There are no packages to commit to and no pressure to book a series at the Oakville studio. If the plan is one syringe and a review, that is what you pay for. Ask at the consult and you will get a straight number.</t>
        </is>
      </c>
      <c r="H72" s="41" t="n">
        <v>702</v>
      </c>
      <c r="I72" s="41" t="inlineStr">
        <is>
          <t>Learn more</t>
        </is>
      </c>
      <c r="J72" s="43" t="inlineStr">
        <is>
          <t>@luxury_beauty_aestheticz</t>
        </is>
      </c>
      <c r="K72" s="41" t="inlineStr">
        <is>
          <t>2026-10-28-priced-by-the-syringe.jpg</t>
        </is>
      </c>
      <c r="L72" s="43" t="inlineStr">
        <is>
          <t>Open folder</t>
        </is>
      </c>
      <c r="M72" s="43" t="inlineStr">
        <is>
          <t>Open image</t>
        </is>
      </c>
      <c r="N72" s="41">
        <f>IMAGE("https://raw.githubusercontent.com/RepoKing23/InstagramCarousel/claude/med-spa-carousel-ideas-sim9wz/content/gbp/2026-10-28-priced-by-the-syringe.jpg")</f>
        <v/>
      </c>
      <c r="O72" s="43" t="inlineStr">
        <is>
          <t>Masum Rahimi / Unsplash</t>
        </is>
      </c>
      <c r="P72" s="41" t="inlineStr">
        <is>
          <t>Ready</t>
        </is>
      </c>
      <c r="Q72" s="42" t="inlineStr"/>
    </row>
    <row r="73" ht="132" customHeight="1" s="14">
      <c r="A73" s="51" t="n">
        <v>46324</v>
      </c>
      <c r="B73" s="45" t="inlineStr">
        <is>
          <t>Thu</t>
        </is>
      </c>
      <c r="C73" s="45" t="inlineStr">
        <is>
          <t>IG: Facial Balancing: Why We Treat Faces, Not Lines</t>
        </is>
      </c>
      <c r="D73" s="45" t="inlineStr">
        <is>
          <t>Trust &amp; Proof</t>
        </is>
      </c>
      <c r="E73" s="46" t="inlineStr">
        <is>
          <t>Why I treat faces and not lines. Chasing each line as it appears is how people end up overfilled and still unhappy, because the line was a symptom of lost support somewhere else. Fix the structure and the line softens. On Instagram.</t>
        </is>
      </c>
      <c r="F73" s="45" t="n">
        <v>232</v>
      </c>
      <c r="G73" s="46" t="inlineStr">
        <is>
          <t>Treating lines one at a time is how faces end up overfilled.
A line is usually a symptom. The fold at the side of the mouth is the clearest example, since most of the time it is not a lack of volume at the fold, it is a lack of support above it that let the tissue settle. Fill the fold directly and you get a heavy, obvious result that still does not look right, and you will be back to fill it again.
Support the structure and the line softens on its own, using less product in a place you were not looking at.
This is the difference between an assessment and an order form. At the Oakville studio the consult starts with your whole face regardless of which line brought you in. The full explanation is on Instagram.</t>
        </is>
      </c>
      <c r="H73" s="45" t="n">
        <v>721</v>
      </c>
      <c r="I73" s="45" t="inlineStr">
        <is>
          <t>Learn more</t>
        </is>
      </c>
      <c r="J73" s="47" t="inlineStr">
        <is>
          <t>@luxury_beauty_aestheticz</t>
        </is>
      </c>
      <c r="K73" s="45" t="inlineStr">
        <is>
          <t>2026-10-29-faces-not-lines.jpg</t>
        </is>
      </c>
      <c r="L73" s="47" t="inlineStr">
        <is>
          <t>Open folder</t>
        </is>
      </c>
      <c r="M73" s="47" t="inlineStr">
        <is>
          <t>Open image</t>
        </is>
      </c>
      <c r="N73" s="45">
        <f>IMAGE("https://raw.githubusercontent.com/RepoKing23/InstagramCarousel/claude/med-spa-carousel-ideas-sim9wz/content/gbp/2026-10-29-faces-not-lines.jpg")</f>
        <v/>
      </c>
      <c r="O73" s="47" t="inlineStr">
        <is>
          <t>Elist Nguyen / Unsplash</t>
        </is>
      </c>
      <c r="P73" s="45" t="inlineStr">
        <is>
          <t>Ready</t>
        </is>
      </c>
      <c r="Q73" s="46" t="inlineStr"/>
    </row>
    <row r="74" ht="132" customHeight="1" s="14">
      <c r="A74" s="51" t="n">
        <v>46325</v>
      </c>
      <c r="B74" s="45" t="inlineStr">
        <is>
          <t>Fri</t>
        </is>
      </c>
      <c r="C74" s="45" t="inlineStr">
        <is>
          <t>IG: One Syringe. Balanced Lips.</t>
        </is>
      </c>
      <c r="D74" s="45" t="inlineStr">
        <is>
          <t>Trust &amp; Proof</t>
        </is>
      </c>
      <c r="E74" s="46" t="inlineStr">
        <is>
          <t>One syringe, one appointment, photographed two weeks apart in the same light. The upper lip was short against the lower, so the work was ratio rather than volume. Shared with client consent on Instagram.</t>
        </is>
      </c>
      <c r="F74" s="45" t="n">
        <v>203</v>
      </c>
      <c r="G74" s="46" t="inlineStr">
        <is>
          <t>One syringe, one appointment, and the photos are two weeks apart in the same light.
The brief was balance rather than size. Her upper lip sat short against the lower, which made the whole mouth read slightly downturned in photos, and it was bothering her more in pictures than in the mirror. The work was ratio: height in the upper lip, support at the corners, nothing added for the sake of volume.
Same lighting, same angle, no filter and no smoothing on either frame.
If you look at these and think the change is subtle, that is the correct reaction and the reason she is happy with it. Shared with her written consent, on Instagram. Lip filler consultations in Oakville are booked from there, and half syringes are a real option.</t>
        </is>
      </c>
      <c r="H74" s="45" t="n">
        <v>735</v>
      </c>
      <c r="I74" s="45" t="inlineStr">
        <is>
          <t>Learn more</t>
        </is>
      </c>
      <c r="J74" s="47" t="inlineStr">
        <is>
          <t>@luxury_beauty_aestheticz</t>
        </is>
      </c>
      <c r="K74" s="45" t="inlineStr">
        <is>
          <t>2026-10-30-one-syringe-balanced-lips.jpg</t>
        </is>
      </c>
      <c r="L74" s="47" t="inlineStr">
        <is>
          <t>Open folder</t>
        </is>
      </c>
      <c r="M74" s="47" t="inlineStr">
        <is>
          <t>Open image</t>
        </is>
      </c>
      <c r="N74" s="45">
        <f>IMAGE("https://raw.githubusercontent.com/RepoKing23/InstagramCarousel/claude/med-spa-carousel-ideas-sim9wz/content/gbp/2026-10-30-one-syringe-balanced-lips.jpg")</f>
        <v/>
      </c>
      <c r="O74" s="47" t="inlineStr">
        <is>
          <t>Vitaliy Shevchenko / Unsplash</t>
        </is>
      </c>
      <c r="P74" s="45" t="inlineStr">
        <is>
          <t>Ready</t>
        </is>
      </c>
      <c r="Q74" s="46" t="inlineStr"/>
    </row>
    <row r="75" ht="132" customHeight="1" s="14">
      <c r="A75" s="51" t="n">
        <v>46326</v>
      </c>
      <c r="B75" s="45" t="inlineStr">
        <is>
          <t>Sat</t>
        </is>
      </c>
      <c r="C75" s="45" t="inlineStr">
        <is>
          <t>IG: Ask Anything: Filler Edition</t>
        </is>
      </c>
      <c r="D75" s="45" t="inlineStr">
        <is>
          <t>Personality &amp; BTS</t>
        </is>
      </c>
      <c r="E75" s="46" t="inlineStr">
        <is>
          <t>The question box is open all weekend, filler edition. Anonymous, and I answer the awkward ones first. Cost, pain, migration, dissolving, whether you are too young or too late. Ask on Instagram and I will answer this week.</t>
        </is>
      </c>
      <c r="F75" s="45" t="n">
        <v>221</v>
      </c>
      <c r="G75" s="46" t="inlineStr">
        <is>
          <t>The question box is open all weekend, filler edition. Ask me anything.
It is anonymous, and I answer the awkward ones first because those are the ones stopping people from booking. Cost, pain, migration, dissolving, whether you are too young to start or too late to bother, what happens if you stop, what to do about work you had done somewhere else and do not like.
October here has been a month about filler, and this is where it lands.
Every answer goes up this week, and nothing gets skipped for being uncomfortable. If a question is better answered in person, I will say so rather than guessing at your face from a paragraph. Ask on Instagram, or book a consult at the Oakville studio and ask across the room.</t>
        </is>
      </c>
      <c r="H75" s="45" t="n">
        <v>717</v>
      </c>
      <c r="I75" s="45" t="inlineStr">
        <is>
          <t>Learn more</t>
        </is>
      </c>
      <c r="J75" s="47" t="inlineStr">
        <is>
          <t>@luxury_beauty_aestheticz</t>
        </is>
      </c>
      <c r="K75" s="45" t="inlineStr">
        <is>
          <t>2026-10-31-ask-anything-filler.jpg</t>
        </is>
      </c>
      <c r="L75" s="47" t="inlineStr">
        <is>
          <t>Open folder</t>
        </is>
      </c>
      <c r="M75" s="47" t="inlineStr">
        <is>
          <t>Open image</t>
        </is>
      </c>
      <c r="N75" s="45">
        <f>IMAGE("https://raw.githubusercontent.com/RepoKing23/InstagramCarousel/claude/med-spa-carousel-ideas-sim9wz/content/gbp/2026-10-31-ask-anything-filler.jpg")</f>
        <v/>
      </c>
      <c r="O75" s="47" t="inlineStr">
        <is>
          <t>Alef Morais / Unsplash</t>
        </is>
      </c>
      <c r="P75" s="45" t="inlineStr">
        <is>
          <t>Ready</t>
        </is>
      </c>
      <c r="Q75" s="46" t="inlineStr"/>
    </row>
  </sheetData>
  <hyperlinks>
    <hyperlink xmlns:r="http://schemas.openxmlformats.org/officeDocument/2006/relationships" ref="J2" r:id="rId1"/>
    <hyperlink xmlns:r="http://schemas.openxmlformats.org/officeDocument/2006/relationships" ref="L2" r:id="rId2"/>
    <hyperlink xmlns:r="http://schemas.openxmlformats.org/officeDocument/2006/relationships" ref="M2" r:id="rId3"/>
    <hyperlink xmlns:r="http://schemas.openxmlformats.org/officeDocument/2006/relationships" ref="O2" r:id="rId4"/>
    <hyperlink xmlns:r="http://schemas.openxmlformats.org/officeDocument/2006/relationships" ref="J3" r:id="rId5"/>
    <hyperlink xmlns:r="http://schemas.openxmlformats.org/officeDocument/2006/relationships" ref="L3" r:id="rId6"/>
    <hyperlink xmlns:r="http://schemas.openxmlformats.org/officeDocument/2006/relationships" ref="M3" r:id="rId7"/>
    <hyperlink xmlns:r="http://schemas.openxmlformats.org/officeDocument/2006/relationships" ref="O3" r:id="rId8"/>
    <hyperlink xmlns:r="http://schemas.openxmlformats.org/officeDocument/2006/relationships" ref="J4" r:id="rId9"/>
    <hyperlink xmlns:r="http://schemas.openxmlformats.org/officeDocument/2006/relationships" ref="L4" r:id="rId10"/>
    <hyperlink xmlns:r="http://schemas.openxmlformats.org/officeDocument/2006/relationships" ref="M4" r:id="rId11"/>
    <hyperlink xmlns:r="http://schemas.openxmlformats.org/officeDocument/2006/relationships" ref="O4" r:id="rId12"/>
    <hyperlink xmlns:r="http://schemas.openxmlformats.org/officeDocument/2006/relationships" ref="J5" r:id="rId13"/>
    <hyperlink xmlns:r="http://schemas.openxmlformats.org/officeDocument/2006/relationships" ref="L5" r:id="rId14"/>
    <hyperlink xmlns:r="http://schemas.openxmlformats.org/officeDocument/2006/relationships" ref="M5" r:id="rId15"/>
    <hyperlink xmlns:r="http://schemas.openxmlformats.org/officeDocument/2006/relationships" ref="O5" r:id="rId16"/>
    <hyperlink xmlns:r="http://schemas.openxmlformats.org/officeDocument/2006/relationships" ref="J6" r:id="rId17"/>
    <hyperlink xmlns:r="http://schemas.openxmlformats.org/officeDocument/2006/relationships" ref="L6" r:id="rId18"/>
    <hyperlink xmlns:r="http://schemas.openxmlformats.org/officeDocument/2006/relationships" ref="M6" r:id="rId19"/>
    <hyperlink xmlns:r="http://schemas.openxmlformats.org/officeDocument/2006/relationships" ref="O6" r:id="rId20"/>
    <hyperlink xmlns:r="http://schemas.openxmlformats.org/officeDocument/2006/relationships" ref="J7" r:id="rId21"/>
    <hyperlink xmlns:r="http://schemas.openxmlformats.org/officeDocument/2006/relationships" ref="L7" r:id="rId22"/>
    <hyperlink xmlns:r="http://schemas.openxmlformats.org/officeDocument/2006/relationships" ref="M7" r:id="rId23"/>
    <hyperlink xmlns:r="http://schemas.openxmlformats.org/officeDocument/2006/relationships" ref="O7" r:id="rId24"/>
    <hyperlink xmlns:r="http://schemas.openxmlformats.org/officeDocument/2006/relationships" ref="J8" r:id="rId25"/>
    <hyperlink xmlns:r="http://schemas.openxmlformats.org/officeDocument/2006/relationships" ref="L8" r:id="rId26"/>
    <hyperlink xmlns:r="http://schemas.openxmlformats.org/officeDocument/2006/relationships" ref="M8" r:id="rId27"/>
    <hyperlink xmlns:r="http://schemas.openxmlformats.org/officeDocument/2006/relationships" ref="O8" r:id="rId28"/>
    <hyperlink xmlns:r="http://schemas.openxmlformats.org/officeDocument/2006/relationships" ref="J9" r:id="rId29"/>
    <hyperlink xmlns:r="http://schemas.openxmlformats.org/officeDocument/2006/relationships" ref="L9" r:id="rId30"/>
    <hyperlink xmlns:r="http://schemas.openxmlformats.org/officeDocument/2006/relationships" ref="M9" r:id="rId31"/>
    <hyperlink xmlns:r="http://schemas.openxmlformats.org/officeDocument/2006/relationships" ref="O9" r:id="rId32"/>
    <hyperlink xmlns:r="http://schemas.openxmlformats.org/officeDocument/2006/relationships" ref="J10" r:id="rId33"/>
    <hyperlink xmlns:r="http://schemas.openxmlformats.org/officeDocument/2006/relationships" ref="L10" r:id="rId34"/>
    <hyperlink xmlns:r="http://schemas.openxmlformats.org/officeDocument/2006/relationships" ref="M10" r:id="rId35"/>
    <hyperlink xmlns:r="http://schemas.openxmlformats.org/officeDocument/2006/relationships" ref="O10" r:id="rId36"/>
    <hyperlink xmlns:r="http://schemas.openxmlformats.org/officeDocument/2006/relationships" ref="J11" r:id="rId37"/>
    <hyperlink xmlns:r="http://schemas.openxmlformats.org/officeDocument/2006/relationships" ref="L11" r:id="rId38"/>
    <hyperlink xmlns:r="http://schemas.openxmlformats.org/officeDocument/2006/relationships" ref="M11" r:id="rId39"/>
    <hyperlink xmlns:r="http://schemas.openxmlformats.org/officeDocument/2006/relationships" ref="O11" r:id="rId40"/>
    <hyperlink xmlns:r="http://schemas.openxmlformats.org/officeDocument/2006/relationships" ref="J12" r:id="rId41"/>
    <hyperlink xmlns:r="http://schemas.openxmlformats.org/officeDocument/2006/relationships" ref="L12" r:id="rId42"/>
    <hyperlink xmlns:r="http://schemas.openxmlformats.org/officeDocument/2006/relationships" ref="M12" r:id="rId43"/>
    <hyperlink xmlns:r="http://schemas.openxmlformats.org/officeDocument/2006/relationships" ref="O12" r:id="rId44"/>
    <hyperlink xmlns:r="http://schemas.openxmlformats.org/officeDocument/2006/relationships" ref="J13" r:id="rId45"/>
    <hyperlink xmlns:r="http://schemas.openxmlformats.org/officeDocument/2006/relationships" ref="L13" r:id="rId46"/>
    <hyperlink xmlns:r="http://schemas.openxmlformats.org/officeDocument/2006/relationships" ref="M13" r:id="rId47"/>
    <hyperlink xmlns:r="http://schemas.openxmlformats.org/officeDocument/2006/relationships" ref="O13" r:id="rId48"/>
    <hyperlink xmlns:r="http://schemas.openxmlformats.org/officeDocument/2006/relationships" ref="J14" r:id="rId49"/>
    <hyperlink xmlns:r="http://schemas.openxmlformats.org/officeDocument/2006/relationships" ref="L14" r:id="rId50"/>
    <hyperlink xmlns:r="http://schemas.openxmlformats.org/officeDocument/2006/relationships" ref="M14" r:id="rId51"/>
    <hyperlink xmlns:r="http://schemas.openxmlformats.org/officeDocument/2006/relationships" ref="O14" r:id="rId52"/>
    <hyperlink xmlns:r="http://schemas.openxmlformats.org/officeDocument/2006/relationships" ref="J15" r:id="rId53"/>
    <hyperlink xmlns:r="http://schemas.openxmlformats.org/officeDocument/2006/relationships" ref="L15" r:id="rId54"/>
    <hyperlink xmlns:r="http://schemas.openxmlformats.org/officeDocument/2006/relationships" ref="M15" r:id="rId55"/>
    <hyperlink xmlns:r="http://schemas.openxmlformats.org/officeDocument/2006/relationships" ref="O15" r:id="rId56"/>
    <hyperlink xmlns:r="http://schemas.openxmlformats.org/officeDocument/2006/relationships" ref="J16" r:id="rId57"/>
    <hyperlink xmlns:r="http://schemas.openxmlformats.org/officeDocument/2006/relationships" ref="L16" r:id="rId58"/>
    <hyperlink xmlns:r="http://schemas.openxmlformats.org/officeDocument/2006/relationships" ref="M16" r:id="rId59"/>
    <hyperlink xmlns:r="http://schemas.openxmlformats.org/officeDocument/2006/relationships" ref="O16" r:id="rId60"/>
    <hyperlink xmlns:r="http://schemas.openxmlformats.org/officeDocument/2006/relationships" ref="J17" r:id="rId61"/>
    <hyperlink xmlns:r="http://schemas.openxmlformats.org/officeDocument/2006/relationships" ref="L17" r:id="rId62"/>
    <hyperlink xmlns:r="http://schemas.openxmlformats.org/officeDocument/2006/relationships" ref="M17" r:id="rId63"/>
    <hyperlink xmlns:r="http://schemas.openxmlformats.org/officeDocument/2006/relationships" ref="O17" r:id="rId64"/>
    <hyperlink xmlns:r="http://schemas.openxmlformats.org/officeDocument/2006/relationships" ref="J18" r:id="rId65"/>
    <hyperlink xmlns:r="http://schemas.openxmlformats.org/officeDocument/2006/relationships" ref="L18" r:id="rId66"/>
    <hyperlink xmlns:r="http://schemas.openxmlformats.org/officeDocument/2006/relationships" ref="M18" r:id="rId67"/>
    <hyperlink xmlns:r="http://schemas.openxmlformats.org/officeDocument/2006/relationships" ref="O18" r:id="rId68"/>
    <hyperlink xmlns:r="http://schemas.openxmlformats.org/officeDocument/2006/relationships" ref="J19" r:id="rId69"/>
    <hyperlink xmlns:r="http://schemas.openxmlformats.org/officeDocument/2006/relationships" ref="L19" r:id="rId70"/>
    <hyperlink xmlns:r="http://schemas.openxmlformats.org/officeDocument/2006/relationships" ref="M19" r:id="rId71"/>
    <hyperlink xmlns:r="http://schemas.openxmlformats.org/officeDocument/2006/relationships" ref="O19" r:id="rId72"/>
    <hyperlink xmlns:r="http://schemas.openxmlformats.org/officeDocument/2006/relationships" ref="J20" r:id="rId73"/>
    <hyperlink xmlns:r="http://schemas.openxmlformats.org/officeDocument/2006/relationships" ref="L20" r:id="rId74"/>
    <hyperlink xmlns:r="http://schemas.openxmlformats.org/officeDocument/2006/relationships" ref="M20" r:id="rId75"/>
    <hyperlink xmlns:r="http://schemas.openxmlformats.org/officeDocument/2006/relationships" ref="O20" r:id="rId76"/>
    <hyperlink xmlns:r="http://schemas.openxmlformats.org/officeDocument/2006/relationships" ref="J21" r:id="rId77"/>
    <hyperlink xmlns:r="http://schemas.openxmlformats.org/officeDocument/2006/relationships" ref="L21" r:id="rId78"/>
    <hyperlink xmlns:r="http://schemas.openxmlformats.org/officeDocument/2006/relationships" ref="M21" r:id="rId79"/>
    <hyperlink xmlns:r="http://schemas.openxmlformats.org/officeDocument/2006/relationships" ref="O21" r:id="rId80"/>
    <hyperlink xmlns:r="http://schemas.openxmlformats.org/officeDocument/2006/relationships" ref="J22" r:id="rId81"/>
    <hyperlink xmlns:r="http://schemas.openxmlformats.org/officeDocument/2006/relationships" ref="L22" r:id="rId82"/>
    <hyperlink xmlns:r="http://schemas.openxmlformats.org/officeDocument/2006/relationships" ref="M22" r:id="rId83"/>
    <hyperlink xmlns:r="http://schemas.openxmlformats.org/officeDocument/2006/relationships" ref="O22" r:id="rId84"/>
    <hyperlink xmlns:r="http://schemas.openxmlformats.org/officeDocument/2006/relationships" ref="J23" r:id="rId85"/>
    <hyperlink xmlns:r="http://schemas.openxmlformats.org/officeDocument/2006/relationships" ref="L23" r:id="rId86"/>
    <hyperlink xmlns:r="http://schemas.openxmlformats.org/officeDocument/2006/relationships" ref="M23" r:id="rId87"/>
    <hyperlink xmlns:r="http://schemas.openxmlformats.org/officeDocument/2006/relationships" ref="O23" r:id="rId88"/>
    <hyperlink xmlns:r="http://schemas.openxmlformats.org/officeDocument/2006/relationships" ref="J24" r:id="rId89"/>
    <hyperlink xmlns:r="http://schemas.openxmlformats.org/officeDocument/2006/relationships" ref="L24" r:id="rId90"/>
    <hyperlink xmlns:r="http://schemas.openxmlformats.org/officeDocument/2006/relationships" ref="M24" r:id="rId91"/>
    <hyperlink xmlns:r="http://schemas.openxmlformats.org/officeDocument/2006/relationships" ref="O24" r:id="rId92"/>
    <hyperlink xmlns:r="http://schemas.openxmlformats.org/officeDocument/2006/relationships" ref="J25" r:id="rId93"/>
    <hyperlink xmlns:r="http://schemas.openxmlformats.org/officeDocument/2006/relationships" ref="L25" r:id="rId94"/>
    <hyperlink xmlns:r="http://schemas.openxmlformats.org/officeDocument/2006/relationships" ref="M25" r:id="rId95"/>
    <hyperlink xmlns:r="http://schemas.openxmlformats.org/officeDocument/2006/relationships" ref="O25" r:id="rId96"/>
    <hyperlink xmlns:r="http://schemas.openxmlformats.org/officeDocument/2006/relationships" ref="J26" r:id="rId97"/>
    <hyperlink xmlns:r="http://schemas.openxmlformats.org/officeDocument/2006/relationships" ref="L26" r:id="rId98"/>
    <hyperlink xmlns:r="http://schemas.openxmlformats.org/officeDocument/2006/relationships" ref="M26" r:id="rId99"/>
    <hyperlink xmlns:r="http://schemas.openxmlformats.org/officeDocument/2006/relationships" ref="O26" r:id="rId100"/>
    <hyperlink xmlns:r="http://schemas.openxmlformats.org/officeDocument/2006/relationships" ref="J27" r:id="rId101"/>
    <hyperlink xmlns:r="http://schemas.openxmlformats.org/officeDocument/2006/relationships" ref="L27" r:id="rId102"/>
    <hyperlink xmlns:r="http://schemas.openxmlformats.org/officeDocument/2006/relationships" ref="M27" r:id="rId103"/>
    <hyperlink xmlns:r="http://schemas.openxmlformats.org/officeDocument/2006/relationships" ref="O27" r:id="rId104"/>
    <hyperlink xmlns:r="http://schemas.openxmlformats.org/officeDocument/2006/relationships" ref="J28" r:id="rId105"/>
    <hyperlink xmlns:r="http://schemas.openxmlformats.org/officeDocument/2006/relationships" ref="L28" r:id="rId106"/>
    <hyperlink xmlns:r="http://schemas.openxmlformats.org/officeDocument/2006/relationships" ref="M28" r:id="rId107"/>
    <hyperlink xmlns:r="http://schemas.openxmlformats.org/officeDocument/2006/relationships" ref="O28" r:id="rId108"/>
    <hyperlink xmlns:r="http://schemas.openxmlformats.org/officeDocument/2006/relationships" ref="J29" r:id="rId109"/>
    <hyperlink xmlns:r="http://schemas.openxmlformats.org/officeDocument/2006/relationships" ref="L29" r:id="rId110"/>
    <hyperlink xmlns:r="http://schemas.openxmlformats.org/officeDocument/2006/relationships" ref="M29" r:id="rId111"/>
    <hyperlink xmlns:r="http://schemas.openxmlformats.org/officeDocument/2006/relationships" ref="O29" r:id="rId112"/>
    <hyperlink xmlns:r="http://schemas.openxmlformats.org/officeDocument/2006/relationships" ref="J30" r:id="rId113"/>
    <hyperlink xmlns:r="http://schemas.openxmlformats.org/officeDocument/2006/relationships" ref="L30" r:id="rId114"/>
    <hyperlink xmlns:r="http://schemas.openxmlformats.org/officeDocument/2006/relationships" ref="M30" r:id="rId115"/>
    <hyperlink xmlns:r="http://schemas.openxmlformats.org/officeDocument/2006/relationships" ref="O30" r:id="rId116"/>
    <hyperlink xmlns:r="http://schemas.openxmlformats.org/officeDocument/2006/relationships" ref="J31" r:id="rId117"/>
    <hyperlink xmlns:r="http://schemas.openxmlformats.org/officeDocument/2006/relationships" ref="L31" r:id="rId118"/>
    <hyperlink xmlns:r="http://schemas.openxmlformats.org/officeDocument/2006/relationships" ref="M31" r:id="rId119"/>
    <hyperlink xmlns:r="http://schemas.openxmlformats.org/officeDocument/2006/relationships" ref="O31" r:id="rId120"/>
    <hyperlink xmlns:r="http://schemas.openxmlformats.org/officeDocument/2006/relationships" ref="J32" r:id="rId121"/>
    <hyperlink xmlns:r="http://schemas.openxmlformats.org/officeDocument/2006/relationships" ref="L32" r:id="rId122"/>
    <hyperlink xmlns:r="http://schemas.openxmlformats.org/officeDocument/2006/relationships" ref="M32" r:id="rId123"/>
    <hyperlink xmlns:r="http://schemas.openxmlformats.org/officeDocument/2006/relationships" ref="O32" r:id="rId124"/>
    <hyperlink xmlns:r="http://schemas.openxmlformats.org/officeDocument/2006/relationships" ref="J33" r:id="rId125"/>
    <hyperlink xmlns:r="http://schemas.openxmlformats.org/officeDocument/2006/relationships" ref="L33" r:id="rId126"/>
    <hyperlink xmlns:r="http://schemas.openxmlformats.org/officeDocument/2006/relationships" ref="M33" r:id="rId127"/>
    <hyperlink xmlns:r="http://schemas.openxmlformats.org/officeDocument/2006/relationships" ref="O33" r:id="rId128"/>
    <hyperlink xmlns:r="http://schemas.openxmlformats.org/officeDocument/2006/relationships" ref="J34" r:id="rId129"/>
    <hyperlink xmlns:r="http://schemas.openxmlformats.org/officeDocument/2006/relationships" ref="L34" r:id="rId130"/>
    <hyperlink xmlns:r="http://schemas.openxmlformats.org/officeDocument/2006/relationships" ref="M34" r:id="rId131"/>
    <hyperlink xmlns:r="http://schemas.openxmlformats.org/officeDocument/2006/relationships" ref="O34" r:id="rId132"/>
    <hyperlink xmlns:r="http://schemas.openxmlformats.org/officeDocument/2006/relationships" ref="J35" r:id="rId133"/>
    <hyperlink xmlns:r="http://schemas.openxmlformats.org/officeDocument/2006/relationships" ref="L35" r:id="rId134"/>
    <hyperlink xmlns:r="http://schemas.openxmlformats.org/officeDocument/2006/relationships" ref="M35" r:id="rId135"/>
    <hyperlink xmlns:r="http://schemas.openxmlformats.org/officeDocument/2006/relationships" ref="O35" r:id="rId136"/>
    <hyperlink xmlns:r="http://schemas.openxmlformats.org/officeDocument/2006/relationships" ref="J36" r:id="rId137"/>
    <hyperlink xmlns:r="http://schemas.openxmlformats.org/officeDocument/2006/relationships" ref="L36" r:id="rId138"/>
    <hyperlink xmlns:r="http://schemas.openxmlformats.org/officeDocument/2006/relationships" ref="M36" r:id="rId139"/>
    <hyperlink xmlns:r="http://schemas.openxmlformats.org/officeDocument/2006/relationships" ref="O36" r:id="rId140"/>
    <hyperlink xmlns:r="http://schemas.openxmlformats.org/officeDocument/2006/relationships" ref="J37" r:id="rId141"/>
    <hyperlink xmlns:r="http://schemas.openxmlformats.org/officeDocument/2006/relationships" ref="L37" r:id="rId142"/>
    <hyperlink xmlns:r="http://schemas.openxmlformats.org/officeDocument/2006/relationships" ref="M37" r:id="rId143"/>
    <hyperlink xmlns:r="http://schemas.openxmlformats.org/officeDocument/2006/relationships" ref="O37" r:id="rId144"/>
    <hyperlink xmlns:r="http://schemas.openxmlformats.org/officeDocument/2006/relationships" ref="J38" r:id="rId145"/>
    <hyperlink xmlns:r="http://schemas.openxmlformats.org/officeDocument/2006/relationships" ref="L38" r:id="rId146"/>
    <hyperlink xmlns:r="http://schemas.openxmlformats.org/officeDocument/2006/relationships" ref="M38" r:id="rId147"/>
    <hyperlink xmlns:r="http://schemas.openxmlformats.org/officeDocument/2006/relationships" ref="O38" r:id="rId148"/>
    <hyperlink xmlns:r="http://schemas.openxmlformats.org/officeDocument/2006/relationships" ref="J39" r:id="rId149"/>
    <hyperlink xmlns:r="http://schemas.openxmlformats.org/officeDocument/2006/relationships" ref="L39" r:id="rId150"/>
    <hyperlink xmlns:r="http://schemas.openxmlformats.org/officeDocument/2006/relationships" ref="M39" r:id="rId151"/>
    <hyperlink xmlns:r="http://schemas.openxmlformats.org/officeDocument/2006/relationships" ref="O39" r:id="rId152"/>
    <hyperlink xmlns:r="http://schemas.openxmlformats.org/officeDocument/2006/relationships" ref="J40" r:id="rId153"/>
    <hyperlink xmlns:r="http://schemas.openxmlformats.org/officeDocument/2006/relationships" ref="L40" r:id="rId154"/>
    <hyperlink xmlns:r="http://schemas.openxmlformats.org/officeDocument/2006/relationships" ref="M40" r:id="rId155"/>
    <hyperlink xmlns:r="http://schemas.openxmlformats.org/officeDocument/2006/relationships" ref="O40" r:id="rId156"/>
    <hyperlink xmlns:r="http://schemas.openxmlformats.org/officeDocument/2006/relationships" ref="J41" r:id="rId157"/>
    <hyperlink xmlns:r="http://schemas.openxmlformats.org/officeDocument/2006/relationships" ref="L41" r:id="rId158"/>
    <hyperlink xmlns:r="http://schemas.openxmlformats.org/officeDocument/2006/relationships" ref="M41" r:id="rId159"/>
    <hyperlink xmlns:r="http://schemas.openxmlformats.org/officeDocument/2006/relationships" ref="O41" r:id="rId160"/>
    <hyperlink xmlns:r="http://schemas.openxmlformats.org/officeDocument/2006/relationships" ref="J42" r:id="rId161"/>
    <hyperlink xmlns:r="http://schemas.openxmlformats.org/officeDocument/2006/relationships" ref="L42" r:id="rId162"/>
    <hyperlink xmlns:r="http://schemas.openxmlformats.org/officeDocument/2006/relationships" ref="M42" r:id="rId163"/>
    <hyperlink xmlns:r="http://schemas.openxmlformats.org/officeDocument/2006/relationships" ref="O42" r:id="rId164"/>
    <hyperlink xmlns:r="http://schemas.openxmlformats.org/officeDocument/2006/relationships" ref="J43" r:id="rId165"/>
    <hyperlink xmlns:r="http://schemas.openxmlformats.org/officeDocument/2006/relationships" ref="L43" r:id="rId166"/>
    <hyperlink xmlns:r="http://schemas.openxmlformats.org/officeDocument/2006/relationships" ref="M43" r:id="rId167"/>
    <hyperlink xmlns:r="http://schemas.openxmlformats.org/officeDocument/2006/relationships" ref="O43" r:id="rId168"/>
    <hyperlink xmlns:r="http://schemas.openxmlformats.org/officeDocument/2006/relationships" ref="J44" r:id="rId169"/>
    <hyperlink xmlns:r="http://schemas.openxmlformats.org/officeDocument/2006/relationships" ref="L44" r:id="rId170"/>
    <hyperlink xmlns:r="http://schemas.openxmlformats.org/officeDocument/2006/relationships" ref="M44" r:id="rId171"/>
    <hyperlink xmlns:r="http://schemas.openxmlformats.org/officeDocument/2006/relationships" ref="O44" r:id="rId172"/>
    <hyperlink xmlns:r="http://schemas.openxmlformats.org/officeDocument/2006/relationships" ref="J45" r:id="rId173"/>
    <hyperlink xmlns:r="http://schemas.openxmlformats.org/officeDocument/2006/relationships" ref="L45" r:id="rId174"/>
    <hyperlink xmlns:r="http://schemas.openxmlformats.org/officeDocument/2006/relationships" ref="M45" r:id="rId175"/>
    <hyperlink xmlns:r="http://schemas.openxmlformats.org/officeDocument/2006/relationships" ref="O45" r:id="rId176"/>
    <hyperlink xmlns:r="http://schemas.openxmlformats.org/officeDocument/2006/relationships" ref="J46" r:id="rId177"/>
    <hyperlink xmlns:r="http://schemas.openxmlformats.org/officeDocument/2006/relationships" ref="L46" r:id="rId178"/>
    <hyperlink xmlns:r="http://schemas.openxmlformats.org/officeDocument/2006/relationships" ref="M46" r:id="rId179"/>
    <hyperlink xmlns:r="http://schemas.openxmlformats.org/officeDocument/2006/relationships" ref="O46" r:id="rId180"/>
    <hyperlink xmlns:r="http://schemas.openxmlformats.org/officeDocument/2006/relationships" ref="J47" r:id="rId181"/>
    <hyperlink xmlns:r="http://schemas.openxmlformats.org/officeDocument/2006/relationships" ref="L47" r:id="rId182"/>
    <hyperlink xmlns:r="http://schemas.openxmlformats.org/officeDocument/2006/relationships" ref="M47" r:id="rId183"/>
    <hyperlink xmlns:r="http://schemas.openxmlformats.org/officeDocument/2006/relationships" ref="O47" r:id="rId184"/>
    <hyperlink xmlns:r="http://schemas.openxmlformats.org/officeDocument/2006/relationships" ref="J48" r:id="rId185"/>
    <hyperlink xmlns:r="http://schemas.openxmlformats.org/officeDocument/2006/relationships" ref="L48" r:id="rId186"/>
    <hyperlink xmlns:r="http://schemas.openxmlformats.org/officeDocument/2006/relationships" ref="M48" r:id="rId187"/>
    <hyperlink xmlns:r="http://schemas.openxmlformats.org/officeDocument/2006/relationships" ref="O48" r:id="rId188"/>
    <hyperlink xmlns:r="http://schemas.openxmlformats.org/officeDocument/2006/relationships" ref="J49" r:id="rId189"/>
    <hyperlink xmlns:r="http://schemas.openxmlformats.org/officeDocument/2006/relationships" ref="L49" r:id="rId190"/>
    <hyperlink xmlns:r="http://schemas.openxmlformats.org/officeDocument/2006/relationships" ref="M49" r:id="rId191"/>
    <hyperlink xmlns:r="http://schemas.openxmlformats.org/officeDocument/2006/relationships" ref="O49" r:id="rId192"/>
    <hyperlink xmlns:r="http://schemas.openxmlformats.org/officeDocument/2006/relationships" ref="J50" r:id="rId193"/>
    <hyperlink xmlns:r="http://schemas.openxmlformats.org/officeDocument/2006/relationships" ref="L50" r:id="rId194"/>
    <hyperlink xmlns:r="http://schemas.openxmlformats.org/officeDocument/2006/relationships" ref="M50" r:id="rId195"/>
    <hyperlink xmlns:r="http://schemas.openxmlformats.org/officeDocument/2006/relationships" ref="O50" r:id="rId196"/>
    <hyperlink xmlns:r="http://schemas.openxmlformats.org/officeDocument/2006/relationships" ref="J51" r:id="rId197"/>
    <hyperlink xmlns:r="http://schemas.openxmlformats.org/officeDocument/2006/relationships" ref="L51" r:id="rId198"/>
    <hyperlink xmlns:r="http://schemas.openxmlformats.org/officeDocument/2006/relationships" ref="M51" r:id="rId199"/>
    <hyperlink xmlns:r="http://schemas.openxmlformats.org/officeDocument/2006/relationships" ref="O51" r:id="rId200"/>
    <hyperlink xmlns:r="http://schemas.openxmlformats.org/officeDocument/2006/relationships" ref="J52" r:id="rId201"/>
    <hyperlink xmlns:r="http://schemas.openxmlformats.org/officeDocument/2006/relationships" ref="L52" r:id="rId202"/>
    <hyperlink xmlns:r="http://schemas.openxmlformats.org/officeDocument/2006/relationships" ref="M52" r:id="rId203"/>
    <hyperlink xmlns:r="http://schemas.openxmlformats.org/officeDocument/2006/relationships" ref="O52" r:id="rId204"/>
    <hyperlink xmlns:r="http://schemas.openxmlformats.org/officeDocument/2006/relationships" ref="J53" r:id="rId205"/>
    <hyperlink xmlns:r="http://schemas.openxmlformats.org/officeDocument/2006/relationships" ref="L53" r:id="rId206"/>
    <hyperlink xmlns:r="http://schemas.openxmlformats.org/officeDocument/2006/relationships" ref="M53" r:id="rId207"/>
    <hyperlink xmlns:r="http://schemas.openxmlformats.org/officeDocument/2006/relationships" ref="O53" r:id="rId208"/>
    <hyperlink xmlns:r="http://schemas.openxmlformats.org/officeDocument/2006/relationships" ref="J54" r:id="rId209"/>
    <hyperlink xmlns:r="http://schemas.openxmlformats.org/officeDocument/2006/relationships" ref="L54" r:id="rId210"/>
    <hyperlink xmlns:r="http://schemas.openxmlformats.org/officeDocument/2006/relationships" ref="M54" r:id="rId211"/>
    <hyperlink xmlns:r="http://schemas.openxmlformats.org/officeDocument/2006/relationships" ref="O54" r:id="rId212"/>
    <hyperlink xmlns:r="http://schemas.openxmlformats.org/officeDocument/2006/relationships" ref="J55" r:id="rId213"/>
    <hyperlink xmlns:r="http://schemas.openxmlformats.org/officeDocument/2006/relationships" ref="L55" r:id="rId214"/>
    <hyperlink xmlns:r="http://schemas.openxmlformats.org/officeDocument/2006/relationships" ref="M55" r:id="rId215"/>
    <hyperlink xmlns:r="http://schemas.openxmlformats.org/officeDocument/2006/relationships" ref="O55" r:id="rId216"/>
    <hyperlink xmlns:r="http://schemas.openxmlformats.org/officeDocument/2006/relationships" ref="J56" r:id="rId217"/>
    <hyperlink xmlns:r="http://schemas.openxmlformats.org/officeDocument/2006/relationships" ref="L56" r:id="rId218"/>
    <hyperlink xmlns:r="http://schemas.openxmlformats.org/officeDocument/2006/relationships" ref="M56" r:id="rId219"/>
    <hyperlink xmlns:r="http://schemas.openxmlformats.org/officeDocument/2006/relationships" ref="O56" r:id="rId220"/>
    <hyperlink xmlns:r="http://schemas.openxmlformats.org/officeDocument/2006/relationships" ref="J57" r:id="rId221"/>
    <hyperlink xmlns:r="http://schemas.openxmlformats.org/officeDocument/2006/relationships" ref="L57" r:id="rId222"/>
    <hyperlink xmlns:r="http://schemas.openxmlformats.org/officeDocument/2006/relationships" ref="M57" r:id="rId223"/>
    <hyperlink xmlns:r="http://schemas.openxmlformats.org/officeDocument/2006/relationships" ref="O57" r:id="rId224"/>
    <hyperlink xmlns:r="http://schemas.openxmlformats.org/officeDocument/2006/relationships" ref="J58" r:id="rId225"/>
    <hyperlink xmlns:r="http://schemas.openxmlformats.org/officeDocument/2006/relationships" ref="L58" r:id="rId226"/>
    <hyperlink xmlns:r="http://schemas.openxmlformats.org/officeDocument/2006/relationships" ref="M58" r:id="rId227"/>
    <hyperlink xmlns:r="http://schemas.openxmlformats.org/officeDocument/2006/relationships" ref="O58" r:id="rId228"/>
    <hyperlink xmlns:r="http://schemas.openxmlformats.org/officeDocument/2006/relationships" ref="J59" r:id="rId229"/>
    <hyperlink xmlns:r="http://schemas.openxmlformats.org/officeDocument/2006/relationships" ref="L59" r:id="rId230"/>
    <hyperlink xmlns:r="http://schemas.openxmlformats.org/officeDocument/2006/relationships" ref="M59" r:id="rId231"/>
    <hyperlink xmlns:r="http://schemas.openxmlformats.org/officeDocument/2006/relationships" ref="O59" r:id="rId232"/>
    <hyperlink xmlns:r="http://schemas.openxmlformats.org/officeDocument/2006/relationships" ref="J60" r:id="rId233"/>
    <hyperlink xmlns:r="http://schemas.openxmlformats.org/officeDocument/2006/relationships" ref="L60" r:id="rId234"/>
    <hyperlink xmlns:r="http://schemas.openxmlformats.org/officeDocument/2006/relationships" ref="M60" r:id="rId235"/>
    <hyperlink xmlns:r="http://schemas.openxmlformats.org/officeDocument/2006/relationships" ref="O60" r:id="rId236"/>
    <hyperlink xmlns:r="http://schemas.openxmlformats.org/officeDocument/2006/relationships" ref="J61" r:id="rId237"/>
    <hyperlink xmlns:r="http://schemas.openxmlformats.org/officeDocument/2006/relationships" ref="L61" r:id="rId238"/>
    <hyperlink xmlns:r="http://schemas.openxmlformats.org/officeDocument/2006/relationships" ref="M61" r:id="rId239"/>
    <hyperlink xmlns:r="http://schemas.openxmlformats.org/officeDocument/2006/relationships" ref="O61" r:id="rId240"/>
    <hyperlink xmlns:r="http://schemas.openxmlformats.org/officeDocument/2006/relationships" ref="J62" r:id="rId241"/>
    <hyperlink xmlns:r="http://schemas.openxmlformats.org/officeDocument/2006/relationships" ref="L62" r:id="rId242"/>
    <hyperlink xmlns:r="http://schemas.openxmlformats.org/officeDocument/2006/relationships" ref="M62" r:id="rId243"/>
    <hyperlink xmlns:r="http://schemas.openxmlformats.org/officeDocument/2006/relationships" ref="O62" r:id="rId244"/>
    <hyperlink xmlns:r="http://schemas.openxmlformats.org/officeDocument/2006/relationships" ref="J63" r:id="rId245"/>
    <hyperlink xmlns:r="http://schemas.openxmlformats.org/officeDocument/2006/relationships" ref="L63" r:id="rId246"/>
    <hyperlink xmlns:r="http://schemas.openxmlformats.org/officeDocument/2006/relationships" ref="M63" r:id="rId247"/>
    <hyperlink xmlns:r="http://schemas.openxmlformats.org/officeDocument/2006/relationships" ref="O63" r:id="rId248"/>
    <hyperlink xmlns:r="http://schemas.openxmlformats.org/officeDocument/2006/relationships" ref="J64" r:id="rId249"/>
    <hyperlink xmlns:r="http://schemas.openxmlformats.org/officeDocument/2006/relationships" ref="L64" r:id="rId250"/>
    <hyperlink xmlns:r="http://schemas.openxmlformats.org/officeDocument/2006/relationships" ref="M64" r:id="rId251"/>
    <hyperlink xmlns:r="http://schemas.openxmlformats.org/officeDocument/2006/relationships" ref="O64" r:id="rId252"/>
    <hyperlink xmlns:r="http://schemas.openxmlformats.org/officeDocument/2006/relationships" ref="J65" r:id="rId253"/>
    <hyperlink xmlns:r="http://schemas.openxmlformats.org/officeDocument/2006/relationships" ref="L65" r:id="rId254"/>
    <hyperlink xmlns:r="http://schemas.openxmlformats.org/officeDocument/2006/relationships" ref="M65" r:id="rId255"/>
    <hyperlink xmlns:r="http://schemas.openxmlformats.org/officeDocument/2006/relationships" ref="O65" r:id="rId256"/>
    <hyperlink xmlns:r="http://schemas.openxmlformats.org/officeDocument/2006/relationships" ref="J66" r:id="rId257"/>
    <hyperlink xmlns:r="http://schemas.openxmlformats.org/officeDocument/2006/relationships" ref="L66" r:id="rId258"/>
    <hyperlink xmlns:r="http://schemas.openxmlformats.org/officeDocument/2006/relationships" ref="M66" r:id="rId259"/>
    <hyperlink xmlns:r="http://schemas.openxmlformats.org/officeDocument/2006/relationships" ref="O66" r:id="rId260"/>
    <hyperlink xmlns:r="http://schemas.openxmlformats.org/officeDocument/2006/relationships" ref="J67" r:id="rId261"/>
    <hyperlink xmlns:r="http://schemas.openxmlformats.org/officeDocument/2006/relationships" ref="L67" r:id="rId262"/>
    <hyperlink xmlns:r="http://schemas.openxmlformats.org/officeDocument/2006/relationships" ref="M67" r:id="rId263"/>
    <hyperlink xmlns:r="http://schemas.openxmlformats.org/officeDocument/2006/relationships" ref="O67" r:id="rId264"/>
    <hyperlink xmlns:r="http://schemas.openxmlformats.org/officeDocument/2006/relationships" ref="J68" r:id="rId265"/>
    <hyperlink xmlns:r="http://schemas.openxmlformats.org/officeDocument/2006/relationships" ref="L68" r:id="rId266"/>
    <hyperlink xmlns:r="http://schemas.openxmlformats.org/officeDocument/2006/relationships" ref="M68" r:id="rId267"/>
    <hyperlink xmlns:r="http://schemas.openxmlformats.org/officeDocument/2006/relationships" ref="O68" r:id="rId268"/>
    <hyperlink xmlns:r="http://schemas.openxmlformats.org/officeDocument/2006/relationships" ref="J69" r:id="rId269"/>
    <hyperlink xmlns:r="http://schemas.openxmlformats.org/officeDocument/2006/relationships" ref="L69" r:id="rId270"/>
    <hyperlink xmlns:r="http://schemas.openxmlformats.org/officeDocument/2006/relationships" ref="M69" r:id="rId271"/>
    <hyperlink xmlns:r="http://schemas.openxmlformats.org/officeDocument/2006/relationships" ref="O69" r:id="rId272"/>
    <hyperlink xmlns:r="http://schemas.openxmlformats.org/officeDocument/2006/relationships" ref="J70" r:id="rId273"/>
    <hyperlink xmlns:r="http://schemas.openxmlformats.org/officeDocument/2006/relationships" ref="L70" r:id="rId274"/>
    <hyperlink xmlns:r="http://schemas.openxmlformats.org/officeDocument/2006/relationships" ref="M70" r:id="rId275"/>
    <hyperlink xmlns:r="http://schemas.openxmlformats.org/officeDocument/2006/relationships" ref="O70" r:id="rId276"/>
    <hyperlink xmlns:r="http://schemas.openxmlformats.org/officeDocument/2006/relationships" ref="J71" r:id="rId277"/>
    <hyperlink xmlns:r="http://schemas.openxmlformats.org/officeDocument/2006/relationships" ref="L71" r:id="rId278"/>
    <hyperlink xmlns:r="http://schemas.openxmlformats.org/officeDocument/2006/relationships" ref="M71" r:id="rId279"/>
    <hyperlink xmlns:r="http://schemas.openxmlformats.org/officeDocument/2006/relationships" ref="O71" r:id="rId280"/>
    <hyperlink xmlns:r="http://schemas.openxmlformats.org/officeDocument/2006/relationships" ref="J72" r:id="rId281"/>
    <hyperlink xmlns:r="http://schemas.openxmlformats.org/officeDocument/2006/relationships" ref="L72" r:id="rId282"/>
    <hyperlink xmlns:r="http://schemas.openxmlformats.org/officeDocument/2006/relationships" ref="M72" r:id="rId283"/>
    <hyperlink xmlns:r="http://schemas.openxmlformats.org/officeDocument/2006/relationships" ref="O72" r:id="rId284"/>
    <hyperlink xmlns:r="http://schemas.openxmlformats.org/officeDocument/2006/relationships" ref="J73" r:id="rId285"/>
    <hyperlink xmlns:r="http://schemas.openxmlformats.org/officeDocument/2006/relationships" ref="L73" r:id="rId286"/>
    <hyperlink xmlns:r="http://schemas.openxmlformats.org/officeDocument/2006/relationships" ref="M73" r:id="rId287"/>
    <hyperlink xmlns:r="http://schemas.openxmlformats.org/officeDocument/2006/relationships" ref="O73" r:id="rId288"/>
    <hyperlink xmlns:r="http://schemas.openxmlformats.org/officeDocument/2006/relationships" ref="J74" r:id="rId289"/>
    <hyperlink xmlns:r="http://schemas.openxmlformats.org/officeDocument/2006/relationships" ref="L74" r:id="rId290"/>
    <hyperlink xmlns:r="http://schemas.openxmlformats.org/officeDocument/2006/relationships" ref="M74" r:id="rId291"/>
    <hyperlink xmlns:r="http://schemas.openxmlformats.org/officeDocument/2006/relationships" ref="O74" r:id="rId292"/>
    <hyperlink xmlns:r="http://schemas.openxmlformats.org/officeDocument/2006/relationships" ref="J75" r:id="rId293"/>
    <hyperlink xmlns:r="http://schemas.openxmlformats.org/officeDocument/2006/relationships" ref="L75" r:id="rId294"/>
    <hyperlink xmlns:r="http://schemas.openxmlformats.org/officeDocument/2006/relationships" ref="M75" r:id="rId295"/>
    <hyperlink xmlns:r="http://schemas.openxmlformats.org/officeDocument/2006/relationships" ref="O75" r:id="rId296"/>
  </hyperlinks>
  <pageMargins left="0.75" right="0.75" top="1" bottom="1" header="0.5" footer="0.5"/>
</worksheet>
</file>

<file path=xl/worksheets/sheet4.xml><?xml version="1.0" encoding="utf-8"?>
<worksheet xmlns="http://schemas.openxmlformats.org/spreadsheetml/2006/main">
  <sheetPr filterMode="0">
    <tabColor rgb="008A8578"/>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30" customHeight="1" s="14">
      <c r="A1" s="53" t="inlineStr">
        <is>
          <t>Period</t>
        </is>
      </c>
      <c r="B1" s="53" t="inlineStr">
        <is>
          <t>Theme</t>
        </is>
      </c>
      <c r="C1" s="53" t="inlineStr">
        <is>
          <t>Goal</t>
        </is>
      </c>
      <c r="D1" s="53" t="inlineStr">
        <is>
          <t>Carousel Topics</t>
        </is>
      </c>
      <c r="E1" s="53"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autoFilter ref="A1:E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008A8578"/>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30" customHeight="1" s="14">
      <c r="A1" s="53" t="inlineStr">
        <is>
          <t>Pillar</t>
        </is>
      </c>
      <c r="B1" s="53" t="inlineStr">
        <is>
          <t>Share of Posts</t>
        </is>
      </c>
      <c r="C1" s="53" t="inlineStr">
        <is>
          <t>What It Is</t>
        </is>
      </c>
      <c r="D1" s="53" t="inlineStr">
        <is>
          <t>Formats</t>
        </is>
      </c>
      <c r="E1" s="53"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autoFilter ref="A1:E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008A8578"/>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30" customHeight="1" s="14">
      <c r="A1" s="53" t="inlineStr">
        <is>
          <t>Set</t>
        </is>
      </c>
      <c r="B1" s="53" t="inlineStr">
        <is>
          <t>Name</t>
        </is>
      </c>
      <c r="C1" s="53"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autoFilter ref="A1:C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tabColor rgb="008A8578"/>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ht="30" customHeight="1" s="14">
      <c r="A1" s="52" t="inlineStr">
        <is>
          <t>File</t>
        </is>
      </c>
      <c r="B1" s="52" t="inlineStr">
        <is>
          <t>Client</t>
        </is>
      </c>
      <c r="C1" s="52" t="inlineStr">
        <is>
          <t>Type</t>
        </is>
      </c>
      <c r="D1" s="52" t="inlineStr">
        <is>
          <t>Pair</t>
        </is>
      </c>
      <c r="E1" s="52" t="inlineStr">
        <is>
          <t>Consent</t>
        </is>
      </c>
      <c r="F1" s="52" t="inlineStr">
        <is>
          <t>Used In</t>
        </is>
      </c>
      <c r="G1" s="52"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autoFilter ref="A1:G21"/>
  <pageMargins left="0.75" right="0.75" top="1" bottom="1" header="0.5" footer="0.5"/>
</worksheet>
</file>

<file path=xl/worksheets/sheet8.xml><?xml version="1.0" encoding="utf-8"?>
<worksheet xmlns="http://schemas.openxmlformats.org/spreadsheetml/2006/main">
  <sheetPr filterMode="0">
    <tabColor rgb="008A8578"/>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30" customHeight="1" s="14">
      <c r="A1" s="53" t="inlineStr">
        <is>
          <t>Idea</t>
        </is>
      </c>
      <c r="B1" s="53" t="inlineStr">
        <is>
          <t>Format</t>
        </is>
      </c>
      <c r="C1" s="53" t="inlineStr">
        <is>
          <t>Pillar</t>
        </is>
      </c>
      <c r="D1" s="53" t="inlineStr">
        <is>
          <t>Hook</t>
        </is>
      </c>
      <c r="E1" s="53"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autoFilter ref="A1:E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2026-09-01T13:29:44Z</dcterms:modified>
  <cp:revision>0</cp:revision>
</cp:coreProperties>
</file>