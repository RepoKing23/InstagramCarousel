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Monthly Themes" sheetId="3" state="visible" r:id="rId3"/>
    <sheet name="Content Pillars" sheetId="4" state="visible" r:id="rId4"/>
    <sheet name="Hashtag Sets" sheetId="5" state="visible" r:id="rId5"/>
    <sheet name="Photo Library" sheetId="6" state="visible" r:id="rId6"/>
    <sheet name="Ideas Backlog"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mmm\ d&quot;, &quot;yyyy"/>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s>
  <fills count="5">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sheet1.xml><?xml version="1.0" encoding="utf-8"?>
<worksheet xmlns="http://schemas.openxmlformats.org/spreadsheetml/2006/main">
  <sheetPr>
    <outlinePr summaryBelow="1" summaryRight="1"/>
    <pageSetUpPr/>
  </sheetPr>
  <dimension ref="B2:C43"/>
  <sheetViews>
    <sheetView showGridLines="0" workbookViewId="0">
      <selection activeCell="A1" sqref="A1"/>
    </sheetView>
  </sheetViews>
  <sheetFormatPr baseColWidth="8" defaultRowHeight="15"/>
  <cols>
    <col width="3" customWidth="1" style="14" min="1" max="1"/>
    <col width="22" customWidth="1" style="14" min="2" max="2"/>
    <col width="95" customWidth="1" style="14" min="3" max="3"/>
  </cols>
  <sheetData>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22" t="inlineStr">
        <is>
          <t>4. Post</t>
        </is>
      </c>
      <c r="C23" s="24" t="inlineStr">
        <is>
          <t>Instagram gets the caption and hashtags. GBP gets the GBP caption, the GBP image, and a button pointed at the Instagram profile.</t>
        </is>
      </c>
    </row>
    <row r="24">
      <c r="B24" s="22" t="inlineStr">
        <is>
          <t>5. Track</t>
        </is>
      </c>
      <c r="C24" s="24" t="inlineStr">
        <is>
          <t>Move Status as each post progresses: Idea, Design, Ready, Posted. Hold means blocked, see the row notes.</t>
        </is>
      </c>
    </row>
    <row r="25">
      <c r="B25" s="22" t="inlineStr">
        <is>
          <t>6. Measure</t>
        </is>
      </c>
      <c r="C25" s="24" t="inlineStr">
        <is>
          <t>After 48 hours fill Reach, Saves, Comments, DMs, Bookings from IG Insights. Saves and DMs are the numbers that matter.</t>
        </is>
      </c>
    </row>
    <row r="26">
      <c r="B26" s="22" t="inlineStr">
        <is>
          <t>7. Repeat</t>
        </is>
      </c>
      <c r="C26" s="24" t="inlineStr">
        <is>
          <t>Anything with high saves or DMs becomes next month’s sequel.</t>
        </is>
      </c>
    </row>
    <row r="28">
      <c r="B28" s="37" t="inlineStr">
        <is>
          <t>HOUSE RULES</t>
        </is>
      </c>
      <c r="C28" s="38" t="n"/>
    </row>
    <row r="29">
      <c r="B29" s="22" t="inlineStr">
        <is>
          <t>Client photos</t>
        </is>
      </c>
      <c r="C29" s="24" t="inlineStr">
        <is>
          <t>Written consent on file before anything is posted. Every photo is cropped to the treatment area: no eyes, brows, tattoos or jewellery. Always add "individual results vary". Never boost before and after posts on IG or TikTok; organic only.</t>
        </is>
      </c>
    </row>
    <row r="30">
      <c r="B30" s="22" t="inlineStr">
        <is>
          <t>Grid tone</t>
        </is>
      </c>
      <c r="C30" s="24" t="inlineStr">
        <is>
          <t>The profile grid runs three tiles per row, newest first. Keep exactly one Dark or Photo-dark tile per row and never let two Dark tiles touch. The Tone column tracks this; re-check it whenever a date moves.</t>
        </is>
      </c>
    </row>
    <row r="31">
      <c r="B31" s="22" t="inlineStr">
        <is>
          <t>GBP</t>
        </is>
      </c>
      <c r="C31" s="24" t="inlineStr">
        <is>
          <t>No hashtags on GBP, they do not work there. The offer goes in the first 80 characters. Images are 1200x900 with everything inside the centre 900x900 square, because Maps crops to a square.</t>
        </is>
      </c>
    </row>
    <row r="32">
      <c r="B32" s="22" t="inlineStr">
        <is>
          <t>Hashtags</t>
        </is>
      </c>
      <c r="C32" s="24" t="inlineStr">
        <is>
          <t>Every set leads with local tags (Oakville, Burlington, Milton, Mississauga, Halton). Location plus service is the highest-intent combination. Sets live on the Hashtag Sets tab.</t>
        </is>
      </c>
    </row>
    <row r="33">
      <c r="B33" s="22" t="inlineStr">
        <is>
          <t>Voice</t>
        </is>
      </c>
      <c r="C33" s="24" t="inlineStr">
        <is>
          <t>Plain, direct, first person. No em dashes, no sparkle emoji, no borrowed captions. If a line sounds like a template, rewrite it.</t>
        </is>
      </c>
    </row>
    <row r="34">
      <c r="B34" s="22" t="inlineStr">
        <is>
          <t>Compliance</t>
        </is>
      </c>
      <c r="C34"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6">
      <c r="B36" s="37" t="inlineStr">
        <is>
          <t>STATUS SNAPSHOT</t>
        </is>
      </c>
      <c r="C36" s="38" t="n"/>
    </row>
    <row r="37">
      <c r="B37" s="22" t="inlineStr">
        <is>
          <t>Posts planned</t>
        </is>
      </c>
      <c r="C37" s="24">
        <f>COUNTA('Posting Schedule'!A2:A66)</f>
        <v/>
      </c>
    </row>
    <row r="38">
      <c r="B38" s="22" t="inlineStr">
        <is>
          <t>Ideas</t>
        </is>
      </c>
      <c r="C38" s="24">
        <f>COUNTIF('Posting Schedule'!S2:S66,"Idea")</f>
        <v/>
      </c>
    </row>
    <row r="39">
      <c r="B39" s="22" t="inlineStr">
        <is>
          <t>In design</t>
        </is>
      </c>
      <c r="C39" s="24">
        <f>COUNTIF('Posting Schedule'!S2:S66,"Design")</f>
        <v/>
      </c>
    </row>
    <row r="40">
      <c r="B40" s="22" t="inlineStr">
        <is>
          <t>Ready to post</t>
        </is>
      </c>
      <c r="C40" s="24">
        <f>COUNTIF('Posting Schedule'!S2:S66,"Ready")</f>
        <v/>
      </c>
    </row>
    <row r="41">
      <c r="B41" s="22" t="inlineStr">
        <is>
          <t>Posted</t>
        </is>
      </c>
      <c r="C41" s="24">
        <f>COUNTIF('Posting Schedule'!S2:S66,"Posted")</f>
        <v/>
      </c>
    </row>
    <row r="43">
      <c r="B43" s="22" t="inlineStr">
        <is>
          <t>Google Sheets</t>
        </is>
      </c>
      <c r="C43" s="24" t="inlineStr">
        <is>
          <t>drive.google.com &gt; New &gt; File upload &gt; pick this file &gt; open with Google Sheets. Preview thumbnails and links work there.</t>
        </is>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15" customHeight="1" s="14">
      <c r="A1" s="25" t="inlineStr">
        <is>
          <t>Date</t>
        </is>
      </c>
      <c r="B1" s="25" t="inlineStr">
        <is>
          <t>Day</t>
        </is>
      </c>
      <c r="C1" s="25" t="inlineStr">
        <is>
          <t>Week</t>
        </is>
      </c>
      <c r="D1" s="25" t="inlineStr">
        <is>
          <t>Month Theme</t>
        </is>
      </c>
      <c r="E1" s="25" t="inlineStr">
        <is>
          <t>Format</t>
        </is>
      </c>
      <c r="F1" s="26" t="inlineStr">
        <is>
          <t>Tone</t>
        </is>
      </c>
      <c r="G1" s="25" t="inlineStr">
        <is>
          <t>Platforms</t>
        </is>
      </c>
      <c r="H1" s="25" t="inlineStr">
        <is>
          <t>Pillar</t>
        </is>
      </c>
      <c r="I1" s="25" t="inlineStr">
        <is>
          <t>Topic &amp; Hook</t>
        </is>
      </c>
      <c r="J1" s="25" t="inlineStr">
        <is>
          <t>Caption Draft</t>
        </is>
      </c>
      <c r="K1" s="25" t="inlineStr">
        <is>
          <t>CTA</t>
        </is>
      </c>
      <c r="L1" s="25" t="inlineStr">
        <is>
          <t>Hashtag Set</t>
        </is>
      </c>
      <c r="M1" s="25" t="inlineStr">
        <is>
          <t>Visual / Asset</t>
        </is>
      </c>
      <c r="N1" s="26" t="inlineStr">
        <is>
          <t>Photo Assets</t>
        </is>
      </c>
      <c r="O1" s="26" t="inlineStr">
        <is>
          <t>Consent</t>
        </is>
      </c>
      <c r="P1" s="25" t="inlineStr">
        <is>
          <t>Folder Link</t>
        </is>
      </c>
      <c r="Q1" s="26" t="inlineStr">
        <is>
          <t>Image Link</t>
        </is>
      </c>
      <c r="R1" s="26" t="inlineStr">
        <is>
          <t>Preview</t>
        </is>
      </c>
      <c r="S1" s="25" t="inlineStr">
        <is>
          <t>Status</t>
        </is>
      </c>
      <c r="T1" s="25" t="inlineStr">
        <is>
          <t>Posted Link</t>
        </is>
      </c>
      <c r="U1" s="25" t="inlineStr">
        <is>
          <t>Reach</t>
        </is>
      </c>
      <c r="V1" s="25" t="inlineStr">
        <is>
          <t>Saves</t>
        </is>
      </c>
      <c r="W1" s="25" t="inlineStr">
        <is>
          <t>Comments</t>
        </is>
      </c>
      <c r="X1" s="25" t="inlineStr">
        <is>
          <t>DMs</t>
        </is>
      </c>
      <c r="Y1" s="25" t="inlineStr">
        <is>
          <t>Bookings</t>
        </is>
      </c>
      <c r="Z1" s="26" t="inlineStr">
        <is>
          <t>GBP Caption</t>
        </is>
      </c>
      <c r="AA1" s="26" t="inlineStr">
        <is>
          <t>GBP CTA</t>
        </is>
      </c>
      <c r="AB1" s="26"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https://github.com/RepoKing23/InstagramCarousel/tree/claude/med-spa-carousel-ideas-sim9wz/content/2026-08-17-5-botox-lies-you-still</t>
        </is>
      </c>
      <c r="P2" s="32" t="inlineStr">
        <is>
          <t>Open folder</t>
        </is>
      </c>
      <c r="Q2" s="33" t="inlineStr">
        <is>
          <t>View 8 slides (jpg)</t>
        </is>
      </c>
      <c r="R2" s="24">
        <f>IMAGE("https://raw.githubusercontent.com/RepoKing23/InstagramCarousel/claude/med-spa-carousel-ideas-sim9wz/content/2026-08-17-5-botox-lies-you-still/images/slide-1.jpg")</f>
        <v/>
      </c>
      <c r="S2" s="28" t="inlineStr">
        <is>
          <t>Ready</t>
        </is>
      </c>
      <c r="T2" s="28" t="n"/>
      <c r="U2" s="28" t="n"/>
      <c r="V2" s="28" t="n"/>
      <c r="W2" s="28" t="n"/>
      <c r="X2" s="28" t="n"/>
      <c r="Y2" s="28" t="n"/>
      <c r="Z2" s="24" t="n"/>
      <c r="AA2" s="24" t="inlineStr">
        <is>
          <t>https://github.com/RepoKing23/InstagramCarousel/blob/claude/med-spa-carousel-ideas-sim9wz/content/2026-08-17-5-botox-lies-you-still/images/gbp.jpg?raw=1</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https://github.com/RepoKing23/InstagramCarousel/tree/claude/med-spa-carousel-ideas-sim9wz/content/2026-08-18-service-spotlight-botox</t>
        </is>
      </c>
      <c r="P3" s="34" t="inlineStr">
        <is>
          <t>Open folder</t>
        </is>
      </c>
      <c r="Q3" s="33" t="inlineStr">
        <is>
          <t>View image (jpg)</t>
        </is>
      </c>
      <c r="R3" s="24">
        <f>IMAGE("https://raw.githubusercontent.com/RepoKing23/InstagramCarousel/claude/med-spa-carousel-ideas-sim9wz/content/2026-08-18-service-spotlight-botox/images/post.jpg")</f>
        <v/>
      </c>
      <c r="S3" s="30" t="inlineStr">
        <is>
          <t>Ready</t>
        </is>
      </c>
      <c r="T3" s="30" t="n"/>
      <c r="U3" s="30" t="n"/>
      <c r="V3" s="30" t="n"/>
      <c r="W3" s="30" t="n"/>
      <c r="X3" s="30" t="n"/>
      <c r="Y3" s="30" t="n"/>
      <c r="Z3" s="24" t="n"/>
      <c r="AA3" s="24" t="inlineStr">
        <is>
          <t>https://github.com/RepoKing23/InstagramCarousel/blob/claude/med-spa-carousel-ideas-sim9wz/content/2026-08-18-service-spotlight-botox/images/gbp.jpg?raw=1</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https://github.com/RepoKing23/InstagramCarousel/tree/claude/med-spa-carousel-ideas-sim9wz/content/2026-08-20-5-red-flags-at-a</t>
        </is>
      </c>
      <c r="P4" s="32" t="inlineStr">
        <is>
          <t>Open folder</t>
        </is>
      </c>
      <c r="Q4" s="33" t="inlineStr">
        <is>
          <t>View 7 slides (jpg)</t>
        </is>
      </c>
      <c r="R4" s="24">
        <f>IMAGE("https://raw.githubusercontent.com/RepoKing23/InstagramCarousel/claude/med-spa-carousel-ideas-sim9wz/content/2026-08-20-5-red-flags-at-a/images/slide-1.jpg")</f>
        <v/>
      </c>
      <c r="S4" s="28" t="inlineStr">
        <is>
          <t>Ready</t>
        </is>
      </c>
      <c r="T4" s="28" t="n"/>
      <c r="U4" s="28" t="n"/>
      <c r="V4" s="28" t="n"/>
      <c r="W4" s="28" t="n"/>
      <c r="X4" s="28" t="n"/>
      <c r="Y4" s="28"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https://github.com/RepoKing23/InstagramCarousel/tree/claude/med-spa-carousel-ideas-sim9wz/content/2026-08-21-behind-the-scenes-the-prep</t>
        </is>
      </c>
      <c r="P5" s="34" t="inlineStr">
        <is>
          <t>Open folder</t>
        </is>
      </c>
      <c r="Q5" s="33" t="inlineStr">
        <is>
          <t>View image (jpg)</t>
        </is>
      </c>
      <c r="R5" s="24">
        <f>IMAGE("https://raw.githubusercontent.com/RepoKing23/InstagramCarousel/claude/med-spa-carousel-ideas-sim9wz/content/2026-08-21-behind-the-scenes-the-prep/images/post.jpg")</f>
        <v/>
      </c>
      <c r="S5" s="30" t="inlineStr">
        <is>
          <t>Ready</t>
        </is>
      </c>
      <c r="T5" s="30" t="n"/>
      <c r="U5" s="30" t="n"/>
      <c r="V5" s="30" t="n"/>
      <c r="W5" s="30" t="n"/>
      <c r="X5" s="30" t="n"/>
      <c r="Y5" s="30"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IMAGE("https://raw.githubusercontent.com/RepoKing23/InstagramCarousel/claude/med-spa-carousel-ideas-sim9wz/content/2026-08-22-great-work-is-invisible/images/before-after-result.jpg")</f>
        <v/>
      </c>
      <c r="S6" s="30" t="inlineStr">
        <is>
          <t>Ready</t>
        </is>
      </c>
      <c r="T6" s="30" t="n"/>
      <c r="U6" s="30" t="n"/>
      <c r="V6" s="30" t="n"/>
      <c r="W6" s="30" t="n"/>
      <c r="X6" s="30" t="n"/>
      <c r="Y6" s="30"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https://github.com/RepoKing23/InstagramCarousel/tree/claude/med-spa-carousel-ideas-sim9wz/content/2026-08-24-your-first-visit-step-by</t>
        </is>
      </c>
      <c r="P7" s="32" t="inlineStr">
        <is>
          <t>Open folder</t>
        </is>
      </c>
      <c r="Q7" s="33" t="inlineStr">
        <is>
          <t>View 8 slides (jpg)</t>
        </is>
      </c>
      <c r="R7" s="24">
        <f>IMAGE("https://raw.githubusercontent.com/RepoKing23/InstagramCarousel/claude/med-spa-carousel-ideas-sim9wz/content/2026-08-24-your-first-visit-step-by/images/slide-1.jpg")</f>
        <v/>
      </c>
      <c r="S7" s="28" t="inlineStr">
        <is>
          <t>Ready</t>
        </is>
      </c>
      <c r="T7" s="28" t="n"/>
      <c r="U7" s="28" t="n"/>
      <c r="V7" s="28" t="n"/>
      <c r="W7" s="28" t="n"/>
      <c r="X7" s="28" t="n"/>
      <c r="Y7" s="28"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https://github.com/RepoKing23/InstagramCarousel/tree/claude/med-spa-carousel-ideas-sim9wz/content/2026-08-25-why-i-do-not-post</t>
        </is>
      </c>
      <c r="P8" s="34" t="inlineStr">
        <is>
          <t>Open folder</t>
        </is>
      </c>
      <c r="Q8" s="33" t="inlineStr">
        <is>
          <t>View image (jpg)</t>
        </is>
      </c>
      <c r="R8" s="24">
        <f>IMAGE("https://raw.githubusercontent.com/RepoKing23/InstagramCarousel/claude/med-spa-carousel-ideas-sim9wz/content/2026-08-25-why-i-do-not-post/images/post.jpg")</f>
        <v/>
      </c>
      <c r="S8" s="30" t="inlineStr">
        <is>
          <t>Ready</t>
        </is>
      </c>
      <c r="T8" s="30" t="n"/>
      <c r="U8" s="30" t="n"/>
      <c r="V8" s="30" t="n"/>
      <c r="W8" s="30" t="n"/>
      <c r="X8" s="30" t="n"/>
      <c r="Y8" s="30"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https://github.com/RepoKing23/InstagramCarousel/tree/claude/med-spa-carousel-ideas-sim9wz/content/2026-08-27-meet-np-cleo-the-face</t>
        </is>
      </c>
      <c r="P9" s="32" t="inlineStr">
        <is>
          <t>Open folder</t>
        </is>
      </c>
      <c r="Q9" s="33" t="inlineStr">
        <is>
          <t>View 5 slides (jpg)</t>
        </is>
      </c>
      <c r="R9" s="24">
        <f>IMAGE("https://raw.githubusercontent.com/RepoKing23/InstagramCarousel/claude/med-spa-carousel-ideas-sim9wz/content/2026-08-27-meet-np-cleo-the-face/images/slide-1.jpg")</f>
        <v/>
      </c>
      <c r="S9" s="28" t="inlineStr">
        <is>
          <t>Ready</t>
        </is>
      </c>
      <c r="T9" s="28" t="n"/>
      <c r="U9" s="28" t="n"/>
      <c r="V9" s="28" t="n"/>
      <c r="W9" s="28" t="n"/>
      <c r="X9" s="28" t="n"/>
      <c r="Y9" s="28"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https://github.com/RepoKing23/InstagramCarousel/tree/claude/med-spa-carousel-ideas-sim9wz/content/2026-08-28-welcome-to-the-treatment-room</t>
        </is>
      </c>
      <c r="P10" s="34" t="inlineStr">
        <is>
          <t>Open folder</t>
        </is>
      </c>
      <c r="Q10" s="33" t="inlineStr">
        <is>
          <t>View image (jpg)</t>
        </is>
      </c>
      <c r="R10" s="24">
        <f>IMAGE("https://raw.githubusercontent.com/RepoKing23/InstagramCarousel/claude/med-spa-carousel-ideas-sim9wz/content/2026-08-28-welcome-to-the-treatment-room/images/post.jpg")</f>
        <v/>
      </c>
      <c r="S10" s="30" t="inlineStr">
        <is>
          <t>Ready</t>
        </is>
      </c>
      <c r="T10" s="30" t="n"/>
      <c r="U10" s="30" t="n"/>
      <c r="V10" s="30" t="n"/>
      <c r="W10" s="30" t="n"/>
      <c r="X10" s="30" t="n"/>
      <c r="Y10" s="30"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https://github.com/RepoKing23/InstagramCarousel/tree/claude/med-spa-carousel-ideas-sim9wz/content/2026-08-29-this-or-that-rested-vs</t>
        </is>
      </c>
      <c r="P11" s="34" t="inlineStr">
        <is>
          <t>Open folder</t>
        </is>
      </c>
      <c r="Q11" s="33" t="inlineStr">
        <is>
          <t>View image (jpg)</t>
        </is>
      </c>
      <c r="R11" s="24">
        <f>IMAGE("https://raw.githubusercontent.com/RepoKing23/InstagramCarousel/claude/med-spa-carousel-ideas-sim9wz/content/2026-08-29-this-or-that-rested-vs/images/post.jpg")</f>
        <v/>
      </c>
      <c r="S11" s="30" t="inlineStr">
        <is>
          <t>Ready</t>
        </is>
      </c>
      <c r="T11" s="30" t="n"/>
      <c r="U11" s="30" t="n"/>
      <c r="V11" s="30" t="n"/>
      <c r="W11" s="30" t="n"/>
      <c r="X11" s="30" t="n"/>
      <c r="Y11" s="30"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https://github.com/RepoKing23/InstagramCarousel/tree/claude/med-spa-carousel-ideas-sim9wz/content/2026-08-31-preventative-botox-when-to-actually</t>
        </is>
      </c>
      <c r="P12" s="32" t="inlineStr">
        <is>
          <t>Open folder</t>
        </is>
      </c>
      <c r="Q12" s="33" t="inlineStr">
        <is>
          <t>View 7 slides (jpg)</t>
        </is>
      </c>
      <c r="R12" s="24">
        <f>IMAGE("https://raw.githubusercontent.com/RepoKing23/InstagramCarousel/claude/med-spa-carousel-ideas-sim9wz/content/2026-08-31-preventative-botox-when-to-actually/images/slide-1.jpg")</f>
        <v/>
      </c>
      <c r="S12" s="28" t="inlineStr">
        <is>
          <t>Ready</t>
        </is>
      </c>
      <c r="T12" s="28" t="n"/>
      <c r="U12" s="28" t="n"/>
      <c r="V12" s="28" t="n"/>
      <c r="W12" s="28" t="n"/>
      <c r="X12" s="28" t="n"/>
      <c r="Y12" s="28"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https://github.com/RepoKing23/InstagramCarousel/tree/claude/med-spa-carousel-ideas-sim9wz/content/2026-09-01-service-spotlight-preventative-botox</t>
        </is>
      </c>
      <c r="P13" s="34" t="inlineStr">
        <is>
          <t>Open folder</t>
        </is>
      </c>
      <c r="Q13" s="24" t="inlineStr">
        <is>
          <t>Not designed yet</t>
        </is>
      </c>
      <c r="R13" s="24" t="n"/>
      <c r="S13" s="30" t="inlineStr">
        <is>
          <t>Idea</t>
        </is>
      </c>
      <c r="T13" s="30" t="n"/>
      <c r="U13" s="30" t="n"/>
      <c r="V13" s="30" t="n"/>
      <c r="W13" s="30" t="n"/>
      <c r="X13" s="30" t="n"/>
      <c r="Y13" s="30"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https://github.com/RepoKing23/InstagramCarousel/tree/claude/med-spa-carousel-ideas-sim9wz/content/2026-09-03-what-20-units-actually-looks</t>
        </is>
      </c>
      <c r="P14" s="32" t="inlineStr">
        <is>
          <t>Open folder</t>
        </is>
      </c>
      <c r="Q14" s="24" t="inlineStr">
        <is>
          <t>Not designed yet</t>
        </is>
      </c>
      <c r="R14" s="24" t="n"/>
      <c r="S14" s="28" t="inlineStr">
        <is>
          <t>Idea</t>
        </is>
      </c>
      <c r="T14" s="28" t="n"/>
      <c r="U14" s="28" t="n"/>
      <c r="V14" s="28" t="n"/>
      <c r="W14" s="28" t="n"/>
      <c r="X14" s="28" t="n"/>
      <c r="Y14" s="28"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https://github.com/RepoKing23/InstagramCarousel/tree/claude/med-spa-carousel-ideas-sim9wz/content/2026-09-04-meet-your-injector</t>
        </is>
      </c>
      <c r="P15" s="34" t="inlineStr">
        <is>
          <t>Open folder</t>
        </is>
      </c>
      <c r="Q15" s="24" t="inlineStr">
        <is>
          <t>Not designed yet</t>
        </is>
      </c>
      <c r="R15" s="24" t="n"/>
      <c r="S15" s="30" t="inlineStr">
        <is>
          <t>Idea</t>
        </is>
      </c>
      <c r="T15" s="30" t="n"/>
      <c r="U15" s="30" t="n"/>
      <c r="V15" s="30" t="n"/>
      <c r="W15" s="30" t="n"/>
      <c r="X15" s="30" t="n"/>
      <c r="Y15" s="30"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https://github.com/RepoKing23/InstagramCarousel/tree/claude/med-spa-carousel-ideas-sim9wz/content/2026-09-05-quote-prevention-beats-erasing</t>
        </is>
      </c>
      <c r="P16" s="34" t="inlineStr">
        <is>
          <t>Open folder</t>
        </is>
      </c>
      <c r="Q16" s="24" t="inlineStr">
        <is>
          <t>Not designed yet</t>
        </is>
      </c>
      <c r="R16" s="24" t="n"/>
      <c r="S16" s="30" t="inlineStr">
        <is>
          <t>Idea</t>
        </is>
      </c>
      <c r="T16" s="30" t="n"/>
      <c r="U16" s="30" t="n"/>
      <c r="V16" s="30" t="n"/>
      <c r="W16" s="30" t="n"/>
      <c r="X16" s="30" t="n"/>
      <c r="Y16" s="30"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https://github.com/RepoKing23/InstagramCarousel/tree/claude/med-spa-carousel-ideas-sim9wz/content/2026-09-07-botox-vs-dysport-the-real</t>
        </is>
      </c>
      <c r="P17" s="32" t="inlineStr">
        <is>
          <t>Open folder</t>
        </is>
      </c>
      <c r="Q17" s="24" t="inlineStr">
        <is>
          <t>Not designed yet</t>
        </is>
      </c>
      <c r="R17" s="24" t="n"/>
      <c r="S17" s="28" t="inlineStr">
        <is>
          <t>Idea</t>
        </is>
      </c>
      <c r="T17" s="28" t="n"/>
      <c r="U17" s="28" t="n"/>
      <c r="V17" s="28" t="n"/>
      <c r="W17" s="28" t="n"/>
      <c r="X17" s="28" t="n"/>
      <c r="Y17" s="28"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https://github.com/RepoKing23/InstagramCarousel/tree/claude/med-spa-carousel-ideas-sim9wz/content/2026-09-08-botox-vs-dysport-at-a</t>
        </is>
      </c>
      <c r="P18" s="34" t="inlineStr">
        <is>
          <t>Open folder</t>
        </is>
      </c>
      <c r="Q18" s="24" t="inlineStr">
        <is>
          <t>Not designed yet</t>
        </is>
      </c>
      <c r="R18" s="24" t="n"/>
      <c r="S18" s="30" t="inlineStr">
        <is>
          <t>Idea</t>
        </is>
      </c>
      <c r="T18" s="30" t="n"/>
      <c r="U18" s="30" t="n"/>
      <c r="V18" s="30" t="n"/>
      <c r="W18" s="30" t="n"/>
      <c r="X18" s="30" t="n"/>
      <c r="Y18" s="30"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https://github.com/RepoKing23/InstagramCarousel/tree/claude/med-spa-carousel-ideas-sim9wz/content/2026-09-10-botox-aftercare-the-first-48</t>
        </is>
      </c>
      <c r="P19" s="32" t="inlineStr">
        <is>
          <t>Open folder</t>
        </is>
      </c>
      <c r="Q19" s="24" t="inlineStr">
        <is>
          <t>Not designed yet</t>
        </is>
      </c>
      <c r="R19" s="24" t="n"/>
      <c r="S19" s="28" t="inlineStr">
        <is>
          <t>Idea</t>
        </is>
      </c>
      <c r="T19" s="28" t="n"/>
      <c r="U19" s="28" t="n"/>
      <c r="V19" s="28" t="n"/>
      <c r="W19" s="28" t="n"/>
      <c r="X19" s="28" t="n"/>
      <c r="Y19" s="28"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https://github.com/RepoKing23/InstagramCarousel/tree/claude/med-spa-carousel-ideas-sim9wz/content/2026-09-11-the-face-map</t>
        </is>
      </c>
      <c r="P20" s="34" t="inlineStr">
        <is>
          <t>Open folder</t>
        </is>
      </c>
      <c r="Q20" s="24" t="inlineStr">
        <is>
          <t>Not designed yet</t>
        </is>
      </c>
      <c r="R20" s="24" t="n"/>
      <c r="S20" s="30" t="inlineStr">
        <is>
          <t>Idea</t>
        </is>
      </c>
      <c r="T20" s="30" t="n"/>
      <c r="U20" s="30" t="n"/>
      <c r="V20" s="30" t="n"/>
      <c r="W20" s="30" t="n"/>
      <c r="X20" s="30" t="n"/>
      <c r="Y20" s="30"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https://github.com/RepoKing23/InstagramCarousel/tree/claude/med-spa-carousel-ideas-sim9wz/content/2026-09-12-faq-does-botox-hurt</t>
        </is>
      </c>
      <c r="P21" s="34" t="inlineStr">
        <is>
          <t>Open folder</t>
        </is>
      </c>
      <c r="Q21" s="24" t="inlineStr">
        <is>
          <t>Not designed yet</t>
        </is>
      </c>
      <c r="R21" s="24" t="n"/>
      <c r="S21" s="30" t="inlineStr">
        <is>
          <t>Idea</t>
        </is>
      </c>
      <c r="T21" s="30" t="n"/>
      <c r="U21" s="30" t="n"/>
      <c r="V21" s="30" t="n"/>
      <c r="W21" s="30" t="n"/>
      <c r="X21" s="30" t="n"/>
      <c r="Y21" s="30"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https://github.com/RepoKing23/InstagramCarousel/tree/claude/med-spa-carousel-ideas-sim9wz/content/2026-09-14-5-things-botox-can-t</t>
        </is>
      </c>
      <c r="P22" s="32" t="inlineStr">
        <is>
          <t>Open folder</t>
        </is>
      </c>
      <c r="Q22" s="24" t="inlineStr">
        <is>
          <t>Not designed yet</t>
        </is>
      </c>
      <c r="R22" s="24" t="n"/>
      <c r="S22" s="28" t="inlineStr">
        <is>
          <t>Idea</t>
        </is>
      </c>
      <c r="T22" s="28" t="n"/>
      <c r="U22" s="28" t="n"/>
      <c r="V22" s="28" t="n"/>
      <c r="W22" s="28" t="n"/>
      <c r="X22" s="28" t="n"/>
      <c r="Y22" s="28"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https://github.com/RepoKing23/InstagramCarousel/tree/claude/med-spa-carousel-ideas-sim9wz/content/2026-09-15-what-botox-can-t-fix</t>
        </is>
      </c>
      <c r="P23" s="34" t="inlineStr">
        <is>
          <t>Open folder</t>
        </is>
      </c>
      <c r="Q23" s="24" t="inlineStr">
        <is>
          <t>Not designed yet</t>
        </is>
      </c>
      <c r="R23" s="24" t="n"/>
      <c r="S23" s="30" t="inlineStr">
        <is>
          <t>Idea</t>
        </is>
      </c>
      <c r="T23" s="30" t="n"/>
      <c r="U23" s="30" t="n"/>
      <c r="V23" s="30" t="n"/>
      <c r="W23" s="30" t="n"/>
      <c r="X23" s="30" t="n"/>
      <c r="Y23" s="30"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https://github.com/RepoKing23/InstagramCarousel/tree/claude/med-spa-carousel-ideas-sim9wz/content/2026-09-17-still-you-just-refreshed</t>
        </is>
      </c>
      <c r="P24" s="32" t="inlineStr">
        <is>
          <t>Open folder</t>
        </is>
      </c>
      <c r="Q24" s="24" t="inlineStr">
        <is>
          <t>Not designed yet</t>
        </is>
      </c>
      <c r="R24" s="24" t="n"/>
      <c r="S24" s="28" t="inlineStr">
        <is>
          <t>Idea</t>
        </is>
      </c>
      <c r="T24" s="28" t="n"/>
      <c r="U24" s="28" t="n"/>
      <c r="V24" s="28" t="n"/>
      <c r="W24" s="28" t="n"/>
      <c r="X24" s="28" t="n"/>
      <c r="Y24" s="28"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https://github.com/RepoKing23/InstagramCarousel/tree/claude/med-spa-carousel-ideas-sim9wz/content/2026-09-18-myth-vs-truth-the-frozen</t>
        </is>
      </c>
      <c r="P25" s="34" t="inlineStr">
        <is>
          <t>Open folder</t>
        </is>
      </c>
      <c r="Q25" s="24" t="inlineStr">
        <is>
          <t>Not designed yet</t>
        </is>
      </c>
      <c r="R25" s="24" t="n"/>
      <c r="S25" s="30" t="inlineStr">
        <is>
          <t>Idea</t>
        </is>
      </c>
      <c r="T25" s="30" t="n"/>
      <c r="U25" s="30" t="n"/>
      <c r="V25" s="30" t="n"/>
      <c r="W25" s="30" t="n"/>
      <c r="X25" s="30" t="n"/>
      <c r="Y25" s="30"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https://github.com/RepoKing23/InstagramCarousel/tree/claude/med-spa-carousel-ideas-sim9wz/content/2026-09-19-client-words-natural-results</t>
        </is>
      </c>
      <c r="P26" s="34" t="inlineStr">
        <is>
          <t>Open folder</t>
        </is>
      </c>
      <c r="Q26" s="24" t="inlineStr">
        <is>
          <t>Not designed yet</t>
        </is>
      </c>
      <c r="R26" s="24" t="n"/>
      <c r="S26" s="30" t="inlineStr">
        <is>
          <t>Idea</t>
        </is>
      </c>
      <c r="T26" s="30" t="n"/>
      <c r="U26" s="30" t="n"/>
      <c r="V26" s="30" t="n"/>
      <c r="W26" s="30" t="n"/>
      <c r="X26" s="30" t="n"/>
      <c r="Y26" s="30"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https://github.com/RepoKing23/InstagramCarousel/tree/claude/med-spa-carousel-ideas-sim9wz/content/2026-09-21-botox-or-filler-you-might</t>
        </is>
      </c>
      <c r="P27" s="32" t="inlineStr">
        <is>
          <t>Open folder</t>
        </is>
      </c>
      <c r="Q27" s="24" t="inlineStr">
        <is>
          <t>Not designed yet</t>
        </is>
      </c>
      <c r="R27" s="24" t="n"/>
      <c r="S27" s="28" t="inlineStr">
        <is>
          <t>Idea</t>
        </is>
      </c>
      <c r="T27" s="28" t="n"/>
      <c r="U27" s="28" t="n"/>
      <c r="V27" s="28" t="n"/>
      <c r="W27" s="28" t="n"/>
      <c r="X27" s="28" t="n"/>
      <c r="Y27" s="28"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https://github.com/RepoKing23/InstagramCarousel/tree/claude/med-spa-carousel-ideas-sim9wz/content/2026-09-22-lines-vs-volume</t>
        </is>
      </c>
      <c r="P28" s="34" t="inlineStr">
        <is>
          <t>Open folder</t>
        </is>
      </c>
      <c r="Q28" s="24" t="inlineStr">
        <is>
          <t>Not designed yet</t>
        </is>
      </c>
      <c r="R28" s="24" t="n"/>
      <c r="S28" s="30" t="inlineStr">
        <is>
          <t>Idea</t>
        </is>
      </c>
      <c r="T28" s="30" t="n"/>
      <c r="U28" s="30" t="n"/>
      <c r="V28" s="30" t="n"/>
      <c r="W28" s="30" t="n"/>
      <c r="X28" s="30" t="n"/>
      <c r="Y28" s="30"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https://github.com/RepoKing23/InstagramCarousel/tree/claude/med-spa-carousel-ideas-sim9wz/content/2026-09-24-ask-np-cleo-your-questions</t>
        </is>
      </c>
      <c r="P29" s="32" t="inlineStr">
        <is>
          <t>Open folder</t>
        </is>
      </c>
      <c r="Q29" s="24" t="inlineStr">
        <is>
          <t>Not designed yet</t>
        </is>
      </c>
      <c r="R29" s="24" t="n"/>
      <c r="S29" s="28" t="inlineStr">
        <is>
          <t>Idea</t>
        </is>
      </c>
      <c r="T29" s="28" t="n"/>
      <c r="U29" s="28" t="n"/>
      <c r="V29" s="28" t="n"/>
      <c r="W29" s="28" t="n"/>
      <c r="X29" s="28" t="n"/>
      <c r="Y29" s="28"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https://github.com/RepoKing23/InstagramCarousel/tree/claude/med-spa-carousel-ideas-sim9wz/content/2026-09-25-your-dms-answered</t>
        </is>
      </c>
      <c r="P30" s="34" t="inlineStr">
        <is>
          <t>Open folder</t>
        </is>
      </c>
      <c r="Q30" s="24" t="inlineStr">
        <is>
          <t>Not designed yet</t>
        </is>
      </c>
      <c r="R30" s="24" t="n"/>
      <c r="S30" s="30" t="inlineStr">
        <is>
          <t>Idea</t>
        </is>
      </c>
      <c r="T30" s="30" t="n"/>
      <c r="U30" s="30" t="n"/>
      <c r="V30" s="30" t="n"/>
      <c r="W30" s="30" t="n"/>
      <c r="X30" s="30" t="n"/>
      <c r="Y30" s="30"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https://github.com/RepoKing23/InstagramCarousel/tree/claude/med-spa-carousel-ideas-sim9wz/content/2026-09-26-poll-what-should-np-cleo</t>
        </is>
      </c>
      <c r="P31" s="34" t="inlineStr">
        <is>
          <t>Open folder</t>
        </is>
      </c>
      <c r="Q31" s="24" t="inlineStr">
        <is>
          <t>Not designed yet</t>
        </is>
      </c>
      <c r="R31" s="24" t="n"/>
      <c r="S31" s="30" t="inlineStr">
        <is>
          <t>Idea</t>
        </is>
      </c>
      <c r="T31" s="30" t="n"/>
      <c r="U31" s="30" t="n"/>
      <c r="V31" s="30" t="n"/>
      <c r="W31" s="30" t="n"/>
      <c r="X31" s="30" t="n"/>
      <c r="Y31" s="30"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https://github.com/RepoKing23/InstagramCarousel/tree/claude/med-spa-carousel-ideas-sim9wz/content/2026-09-28-how-long-does-botox-really</t>
        </is>
      </c>
      <c r="P32" s="32" t="inlineStr">
        <is>
          <t>Open folder</t>
        </is>
      </c>
      <c r="Q32" s="24" t="inlineStr">
        <is>
          <t>Not designed yet</t>
        </is>
      </c>
      <c r="R32" s="24" t="n"/>
      <c r="S32" s="28" t="inlineStr">
        <is>
          <t>Idea</t>
        </is>
      </c>
      <c r="T32" s="28" t="n"/>
      <c r="U32" s="28" t="n"/>
      <c r="V32" s="28" t="n"/>
      <c r="W32" s="28" t="n"/>
      <c r="X32" s="28" t="n"/>
      <c r="Y32" s="28"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https://github.com/RepoKing23/InstagramCarousel/tree/claude/med-spa-carousel-ideas-sim9wz/content/2026-09-29-the-3-month-botox-timeline</t>
        </is>
      </c>
      <c r="P33" s="34" t="inlineStr">
        <is>
          <t>Open folder</t>
        </is>
      </c>
      <c r="Q33" s="24" t="inlineStr">
        <is>
          <t>Not designed yet</t>
        </is>
      </c>
      <c r="R33" s="24" t="n"/>
      <c r="S33" s="30" t="inlineStr">
        <is>
          <t>Idea</t>
        </is>
      </c>
      <c r="T33" s="30" t="n"/>
      <c r="U33" s="30" t="n"/>
      <c r="V33" s="30" t="n"/>
      <c r="W33" s="30" t="n"/>
      <c r="X33" s="30" t="n"/>
      <c r="Y33" s="30"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https://github.com/RepoKing23/InstagramCarousel/tree/claude/med-spa-carousel-ideas-sim9wz/content/2026-10-01-why-we-sometimes-say-no</t>
        </is>
      </c>
      <c r="P34" s="32" t="inlineStr">
        <is>
          <t>Open folder</t>
        </is>
      </c>
      <c r="Q34" s="24" t="inlineStr">
        <is>
          <t>Not designed yet</t>
        </is>
      </c>
      <c r="R34" s="24" t="n"/>
      <c r="S34" s="28" t="inlineStr">
        <is>
          <t>Idea</t>
        </is>
      </c>
      <c r="T34" s="28" t="n"/>
      <c r="U34" s="28" t="n"/>
      <c r="V34" s="28" t="n"/>
      <c r="W34" s="28" t="n"/>
      <c r="X34" s="28" t="n"/>
      <c r="Y34" s="28"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https://github.com/RepoKing23/InstagramCarousel/tree/claude/med-spa-carousel-ideas-sim9wz/content/2026-10-02-what-i-tell-every-first</t>
        </is>
      </c>
      <c r="P35" s="34" t="inlineStr">
        <is>
          <t>Open folder</t>
        </is>
      </c>
      <c r="Q35" s="24" t="inlineStr">
        <is>
          <t>Not designed yet</t>
        </is>
      </c>
      <c r="R35" s="24" t="n"/>
      <c r="S35" s="30" t="inlineStr">
        <is>
          <t>Idea</t>
        </is>
      </c>
      <c r="T35" s="30" t="n"/>
      <c r="U35" s="30" t="n"/>
      <c r="V35" s="30" t="n"/>
      <c r="W35" s="30" t="n"/>
      <c r="X35" s="30" t="n"/>
      <c r="Y35" s="30"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https://github.com/RepoKing23/InstagramCarousel/tree/claude/med-spa-carousel-ideas-sim9wz/content/2026-10-03-quote-no-is-protection</t>
        </is>
      </c>
      <c r="P36" s="34" t="inlineStr">
        <is>
          <t>Open folder</t>
        </is>
      </c>
      <c r="Q36" s="24" t="inlineStr">
        <is>
          <t>Not designed yet</t>
        </is>
      </c>
      <c r="R36" s="24" t="n"/>
      <c r="S36" s="30" t="inlineStr">
        <is>
          <t>Idea</t>
        </is>
      </c>
      <c r="T36" s="30" t="n"/>
      <c r="U36" s="30" t="n"/>
      <c r="V36" s="30" t="n"/>
      <c r="W36" s="30" t="n"/>
      <c r="X36" s="30" t="n"/>
      <c r="Y36" s="30"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https://github.com/RepoKing23/InstagramCarousel/tree/claude/med-spa-carousel-ideas-sim9wz/content/2026-10-05-filler-won-t-make-you</t>
        </is>
      </c>
      <c r="P37" s="32" t="inlineStr">
        <is>
          <t>Open folder</t>
        </is>
      </c>
      <c r="Q37" s="24" t="inlineStr">
        <is>
          <t>Not designed yet</t>
        </is>
      </c>
      <c r="R37" s="24" t="n"/>
      <c r="S37" s="28" t="inlineStr">
        <is>
          <t>Idea</t>
        </is>
      </c>
      <c r="T37" s="28" t="n"/>
      <c r="U37" s="28" t="n"/>
      <c r="V37" s="28" t="n"/>
      <c r="W37" s="28" t="n"/>
      <c r="X37" s="28" t="n"/>
      <c r="Y37" s="28"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https://github.com/RepoKing23/InstagramCarousel/tree/claude/med-spa-carousel-ideas-sim9wz/content/2026-10-06-service-spotlight-dermal-filler</t>
        </is>
      </c>
      <c r="P38" s="34" t="inlineStr">
        <is>
          <t>Open folder</t>
        </is>
      </c>
      <c r="Q38" s="24" t="inlineStr">
        <is>
          <t>Not designed yet</t>
        </is>
      </c>
      <c r="R38" s="24" t="n"/>
      <c r="S38" s="30" t="inlineStr">
        <is>
          <t>Idea</t>
        </is>
      </c>
      <c r="T38" s="30" t="n"/>
      <c r="U38" s="30" t="n"/>
      <c r="V38" s="30" t="n"/>
      <c r="W38" s="30" t="n"/>
      <c r="X38" s="30" t="n"/>
      <c r="Y38" s="30"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IMAGE("https://raw.githubusercontent.com/RepoKing23/InstagramCarousel/claude/med-spa-carousel-ideas-sim9wz/content/2026-10-08-lip-filler-natural-vs-overdone/images/before-after-result.jpg")</f>
        <v/>
      </c>
      <c r="S39" s="28" t="inlineStr">
        <is>
          <t>Ready</t>
        </is>
      </c>
      <c r="T39" s="28" t="n"/>
      <c r="U39" s="28" t="n"/>
      <c r="V39" s="28" t="n"/>
      <c r="W39" s="28" t="n"/>
      <c r="X39" s="28" t="n"/>
      <c r="Y39" s="28"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https://github.com/RepoKing23/InstagramCarousel/tree/claude/med-spa-carousel-ideas-sim9wz/content/2026-10-09-inside-the-filler-appointment</t>
        </is>
      </c>
      <c r="P40" s="34" t="inlineStr">
        <is>
          <t>Open folder</t>
        </is>
      </c>
      <c r="Q40" s="24" t="inlineStr">
        <is>
          <t>Not designed yet</t>
        </is>
      </c>
      <c r="R40" s="24" t="n"/>
      <c r="S40" s="30" t="inlineStr">
        <is>
          <t>Idea</t>
        </is>
      </c>
      <c r="T40" s="30" t="n"/>
      <c r="U40" s="30" t="n"/>
      <c r="V40" s="30" t="n"/>
      <c r="W40" s="30" t="n"/>
      <c r="X40" s="30" t="n"/>
      <c r="Y40" s="30"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IMAGE("https://raw.githubusercontent.com/RepoKing23/InstagramCarousel/claude/med-spa-carousel-ideas-sim9wz/content/2026-10-10-subtle-is-the-new-dramatic/images/before-after-result.jpg")</f>
        <v/>
      </c>
      <c r="S41" s="30" t="inlineStr">
        <is>
          <t>Ready</t>
        </is>
      </c>
      <c r="T41" s="30" t="n"/>
      <c r="U41" s="30" t="n"/>
      <c r="V41" s="30" t="n"/>
      <c r="W41" s="30" t="n"/>
      <c r="X41" s="30" t="n"/>
      <c r="Y41" s="30"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https://github.com/RepoKing23/InstagramCarousel/tree/claude/med-spa-carousel-ideas-sim9wz/content/2026-10-12-cheek-filler-the-secret-nobody</t>
        </is>
      </c>
      <c r="P42" s="32" t="inlineStr">
        <is>
          <t>Open folder</t>
        </is>
      </c>
      <c r="Q42" s="24" t="inlineStr">
        <is>
          <t>Not designed yet</t>
        </is>
      </c>
      <c r="R42" s="24" t="n"/>
      <c r="S42" s="28" t="inlineStr">
        <is>
          <t>Idea</t>
        </is>
      </c>
      <c r="T42" s="28" t="n"/>
      <c r="U42" s="28" t="n"/>
      <c r="V42" s="28" t="n"/>
      <c r="W42" s="28" t="n"/>
      <c r="X42" s="28" t="n"/>
      <c r="Y42" s="28"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https://github.com/RepoKing23/InstagramCarousel/tree/claude/med-spa-carousel-ideas-sim9wz/content/2026-10-13-service-spotlight-cheek-filler</t>
        </is>
      </c>
      <c r="P43" s="34" t="inlineStr">
        <is>
          <t>Open folder</t>
        </is>
      </c>
      <c r="Q43" s="24" t="inlineStr">
        <is>
          <t>Not designed yet</t>
        </is>
      </c>
      <c r="R43" s="24" t="n"/>
      <c r="S43" s="30" t="inlineStr">
        <is>
          <t>Idea</t>
        </is>
      </c>
      <c r="T43" s="30" t="n"/>
      <c r="U43" s="30" t="n"/>
      <c r="V43" s="30" t="n"/>
      <c r="W43" s="30" t="n"/>
      <c r="X43" s="30" t="n"/>
      <c r="Y43" s="30"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IMAGE("https://raw.githubusercontent.com/RepoKing23/InstagramCarousel/claude/med-spa-carousel-ideas-sim9wz/content/2026-10-15-real-lips-real-results/images/slide-1.jpg")</f>
        <v/>
      </c>
      <c r="S44" s="28" t="inlineStr">
        <is>
          <t>Ready</t>
        </is>
      </c>
      <c r="T44" s="28" t="n"/>
      <c r="U44" s="28" t="n"/>
      <c r="V44" s="28" t="n"/>
      <c r="W44" s="28" t="n"/>
      <c r="X44" s="28" t="n"/>
      <c r="Y44" s="28"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https://github.com/RepoKing23/InstagramCarousel/tree/claude/med-spa-carousel-ideas-sim9wz/content/2026-10-16-facial-balancing-101</t>
        </is>
      </c>
      <c r="P45" s="34" t="inlineStr">
        <is>
          <t>Open folder</t>
        </is>
      </c>
      <c r="Q45" s="24" t="inlineStr">
        <is>
          <t>Not designed yet</t>
        </is>
      </c>
      <c r="R45" s="24" t="n"/>
      <c r="S45" s="30" t="inlineStr">
        <is>
          <t>Idea</t>
        </is>
      </c>
      <c r="T45" s="30" t="n"/>
      <c r="U45" s="30" t="n"/>
      <c r="V45" s="30" t="n"/>
      <c r="W45" s="30" t="n"/>
      <c r="X45" s="30" t="n"/>
      <c r="Y45" s="30"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https://github.com/RepoKing23/InstagramCarousel/tree/claude/med-spa-carousel-ideas-sim9wz/content/2026-10-17-faq-how-much-filler-do</t>
        </is>
      </c>
      <c r="P46" s="34" t="inlineStr">
        <is>
          <t>Open folder</t>
        </is>
      </c>
      <c r="Q46" s="24" t="inlineStr">
        <is>
          <t>Not designed yet</t>
        </is>
      </c>
      <c r="R46" s="24" t="n"/>
      <c r="S46" s="30" t="inlineStr">
        <is>
          <t>Idea</t>
        </is>
      </c>
      <c r="T46" s="30" t="n"/>
      <c r="U46" s="30" t="n"/>
      <c r="V46" s="30" t="n"/>
      <c r="W46" s="30" t="n"/>
      <c r="X46" s="30" t="n"/>
      <c r="Y46" s="30"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https://github.com/RepoKing23/InstagramCarousel/tree/claude/med-spa-carousel-ideas-sim9wz/content/2026-10-19-filler-dissolves-here-is-the</t>
        </is>
      </c>
      <c r="P47" s="32" t="inlineStr">
        <is>
          <t>Open folder</t>
        </is>
      </c>
      <c r="Q47" s="24" t="inlineStr">
        <is>
          <t>Not designed yet</t>
        </is>
      </c>
      <c r="R47" s="24" t="n"/>
      <c r="S47" s="28" t="inlineStr">
        <is>
          <t>Idea</t>
        </is>
      </c>
      <c r="T47" s="28" t="n"/>
      <c r="U47" s="28" t="n"/>
      <c r="V47" s="28" t="n"/>
      <c r="W47" s="28" t="n"/>
      <c r="X47" s="28" t="n"/>
      <c r="Y47" s="28"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https://github.com/RepoKing23/InstagramCarousel/tree/claude/med-spa-carousel-ideas-sim9wz/content/2026-10-20-the-filler-timeline</t>
        </is>
      </c>
      <c r="P48" s="34" t="inlineStr">
        <is>
          <t>Open folder</t>
        </is>
      </c>
      <c r="Q48" s="24" t="inlineStr">
        <is>
          <t>Not designed yet</t>
        </is>
      </c>
      <c r="R48" s="24" t="n"/>
      <c r="S48" s="30" t="inlineStr">
        <is>
          <t>Idea</t>
        </is>
      </c>
      <c r="T48" s="30" t="n"/>
      <c r="U48" s="30" t="n"/>
      <c r="V48" s="30" t="n"/>
      <c r="W48" s="30" t="n"/>
      <c r="X48" s="30" t="n"/>
      <c r="Y48" s="30"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IMAGE("https://raw.githubusercontent.com/RepoKing23/InstagramCarousel/claude/med-spa-carousel-ideas-sim9wz/content/2026-10-22-lip-filler-aftercare-your-first/images/day-zero-before-after.jpg")</f>
        <v/>
      </c>
      <c r="S49" s="28" t="inlineStr">
        <is>
          <t>Design</t>
        </is>
      </c>
      <c r="T49" s="28" t="n"/>
      <c r="U49" s="28" t="n"/>
      <c r="V49" s="28" t="n"/>
      <c r="W49" s="28" t="n"/>
      <c r="X49" s="28" t="n"/>
      <c r="Y49" s="28"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https://github.com/RepoKing23/InstagramCarousel/tree/claude/med-spa-carousel-ideas-sim9wz/content/2026-10-23-aftercare-essentials</t>
        </is>
      </c>
      <c r="P50" s="34" t="inlineStr">
        <is>
          <t>Open folder</t>
        </is>
      </c>
      <c r="Q50" s="24" t="inlineStr">
        <is>
          <t>Not designed yet</t>
        </is>
      </c>
      <c r="R50" s="24" t="n"/>
      <c r="S50" s="30" t="inlineStr">
        <is>
          <t>Idea</t>
        </is>
      </c>
      <c r="T50" s="30" t="n"/>
      <c r="U50" s="30" t="n"/>
      <c r="V50" s="30" t="n"/>
      <c r="W50" s="30" t="n"/>
      <c r="X50" s="30" t="n"/>
      <c r="Y50" s="30"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IMAGE("https://raw.githubusercontent.com/RepoKing23/InstagramCarousel/claude/med-spa-carousel-ideas-sim9wz/content/2026-10-24-client-words-the-lip-glow/images/before-after-result.jpg")</f>
        <v/>
      </c>
      <c r="S51" s="30" t="inlineStr">
        <is>
          <t>Ready</t>
        </is>
      </c>
      <c r="T51" s="30" t="n"/>
      <c r="U51" s="30" t="n"/>
      <c r="V51" s="30" t="n"/>
      <c r="W51" s="30" t="n"/>
      <c r="X51" s="30" t="n"/>
      <c r="Y51" s="30"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https://github.com/RepoKing23/InstagramCarousel/tree/claude/med-spa-carousel-ideas-sim9wz/content/2026-10-26-5-filler-lies-you-still</t>
        </is>
      </c>
      <c r="P52" s="32" t="inlineStr">
        <is>
          <t>Open folder</t>
        </is>
      </c>
      <c r="Q52" s="24" t="inlineStr">
        <is>
          <t>Not designed yet</t>
        </is>
      </c>
      <c r="R52" s="24" t="n"/>
      <c r="S52" s="28" t="inlineStr">
        <is>
          <t>Idea</t>
        </is>
      </c>
      <c r="T52" s="28" t="n"/>
      <c r="U52" s="28" t="n"/>
      <c r="V52" s="28" t="n"/>
      <c r="W52" s="28" t="n"/>
      <c r="X52" s="28" t="n"/>
      <c r="Y52" s="28"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https://github.com/RepoKing23/InstagramCarousel/tree/claude/med-spa-carousel-ideas-sim9wz/content/2026-10-27-myth-vs-truth-filler-edition</t>
        </is>
      </c>
      <c r="P53" s="34" t="inlineStr">
        <is>
          <t>Open folder</t>
        </is>
      </c>
      <c r="Q53" s="24" t="inlineStr">
        <is>
          <t>Not designed yet</t>
        </is>
      </c>
      <c r="R53" s="24" t="n"/>
      <c r="S53" s="30" t="inlineStr">
        <is>
          <t>Idea</t>
        </is>
      </c>
      <c r="T53" s="30" t="n"/>
      <c r="U53" s="30" t="n"/>
      <c r="V53" s="30" t="n"/>
      <c r="W53" s="30" t="n"/>
      <c r="X53" s="30" t="n"/>
      <c r="Y53" s="30"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https://github.com/RepoKing23/InstagramCarousel/tree/claude/med-spa-carousel-ideas-sim9wz/content/2026-10-29-facial-balancing-why-we-treat</t>
        </is>
      </c>
      <c r="P54" s="32" t="inlineStr">
        <is>
          <t>Open folder</t>
        </is>
      </c>
      <c r="Q54" s="24" t="inlineStr">
        <is>
          <t>Not designed yet</t>
        </is>
      </c>
      <c r="R54" s="24" t="n"/>
      <c r="S54" s="28" t="inlineStr">
        <is>
          <t>Idea</t>
        </is>
      </c>
      <c r="T54" s="28" t="n"/>
      <c r="U54" s="28" t="n"/>
      <c r="V54" s="28" t="n"/>
      <c r="W54" s="28" t="n"/>
      <c r="X54" s="28" t="n"/>
      <c r="Y54" s="28"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IMAGE("https://raw.githubusercontent.com/RepoKing23/InstagramCarousel/claude/med-spa-carousel-ideas-sim9wz/content/2026-10-30-one-syringe-balanced-lips/images/before-after-result.jpg")</f>
        <v/>
      </c>
      <c r="S55" s="30" t="inlineStr">
        <is>
          <t>Ready</t>
        </is>
      </c>
      <c r="T55" s="30" t="n"/>
      <c r="U55" s="30" t="n"/>
      <c r="V55" s="30" t="n"/>
      <c r="W55" s="30" t="n"/>
      <c r="X55" s="30" t="n"/>
      <c r="Y55" s="30"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https://github.com/RepoKing23/InstagramCarousel/tree/claude/med-spa-carousel-ideas-sim9wz/content/2026-10-31-ask-anything-filler-edition</t>
        </is>
      </c>
      <c r="P56" s="34" t="inlineStr">
        <is>
          <t>Open folder</t>
        </is>
      </c>
      <c r="Q56" s="24" t="inlineStr">
        <is>
          <t>Not designed yet</t>
        </is>
      </c>
      <c r="R56" s="24" t="n"/>
      <c r="S56" s="30" t="inlineStr">
        <is>
          <t>Idea</t>
        </is>
      </c>
      <c r="T56" s="30" t="n"/>
      <c r="U56" s="30" t="n"/>
      <c r="V56" s="30" t="n"/>
      <c r="W56" s="30" t="n"/>
      <c r="X56" s="30" t="n"/>
      <c r="Y56" s="30"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https://github.com/RepoKing23/InstagramCarousel/tree/claude/med-spa-carousel-ideas-sim9wz/content/2026-11-02-rested-by-the-holidays-your</t>
        </is>
      </c>
      <c r="P57" s="32" t="inlineStr">
        <is>
          <t>Open folder</t>
        </is>
      </c>
      <c r="Q57" s="24" t="inlineStr">
        <is>
          <t>Not designed yet</t>
        </is>
      </c>
      <c r="R57" s="24" t="n"/>
      <c r="S57" s="28" t="inlineStr">
        <is>
          <t>Idea</t>
        </is>
      </c>
      <c r="T57" s="28" t="n"/>
      <c r="U57" s="28" t="n"/>
      <c r="V57" s="28" t="n"/>
      <c r="W57" s="28" t="n"/>
      <c r="X57" s="28" t="n"/>
      <c r="Y57" s="28"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https://github.com/RepoKing23/InstagramCarousel/tree/claude/med-spa-carousel-ideas-sim9wz/content/2026-11-03-holiday-countdown-book-by-these</t>
        </is>
      </c>
      <c r="P58" s="34" t="inlineStr">
        <is>
          <t>Open folder</t>
        </is>
      </c>
      <c r="Q58" s="24" t="inlineStr">
        <is>
          <t>Not designed yet</t>
        </is>
      </c>
      <c r="R58" s="24" t="n"/>
      <c r="S58" s="30" t="inlineStr">
        <is>
          <t>Idea</t>
        </is>
      </c>
      <c r="T58" s="30" t="n"/>
      <c r="U58" s="30" t="n"/>
      <c r="V58" s="30" t="n"/>
      <c r="W58" s="30" t="n"/>
      <c r="X58" s="30" t="n"/>
      <c r="Y58" s="30"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https://github.com/RepoKing23/InstagramCarousel/tree/claude/med-spa-carousel-ideas-sim9wz/content/2026-11-05-party-season-prep-what-to</t>
        </is>
      </c>
      <c r="P59" s="32" t="inlineStr">
        <is>
          <t>Open folder</t>
        </is>
      </c>
      <c r="Q59" s="24" t="inlineStr">
        <is>
          <t>Not designed yet</t>
        </is>
      </c>
      <c r="R59" s="24" t="n"/>
      <c r="S59" s="28" t="inlineStr">
        <is>
          <t>Idea</t>
        </is>
      </c>
      <c r="T59" s="28" t="n"/>
      <c r="U59" s="28" t="n"/>
      <c r="V59" s="28" t="n"/>
      <c r="W59" s="28" t="n"/>
      <c r="X59" s="28" t="n"/>
      <c r="Y59" s="28"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IMAGE("https://raw.githubusercontent.com/RepoKing23/InstagramCarousel/claude/med-spa-carousel-ideas-sim9wz/content/2026-11-06-one-result-every-angle/images/slide-1.jpg")</f>
        <v/>
      </c>
      <c r="S60" s="30" t="inlineStr">
        <is>
          <t>Ready</t>
        </is>
      </c>
      <c r="T60" s="30" t="n"/>
      <c r="U60" s="30" t="n"/>
      <c r="V60" s="30" t="n"/>
      <c r="W60" s="30" t="n"/>
      <c r="X60" s="30" t="n"/>
      <c r="Y60" s="30"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https://github.com/RepoKing23/InstagramCarousel/tree/claude/med-spa-carousel-ideas-sim9wz/content/2026-11-07-quote-book-the-appointment</t>
        </is>
      </c>
      <c r="P61" s="34" t="inlineStr">
        <is>
          <t>Open folder</t>
        </is>
      </c>
      <c r="Q61" s="24" t="inlineStr">
        <is>
          <t>Not designed yet</t>
        </is>
      </c>
      <c r="R61" s="24" t="n"/>
      <c r="S61" s="30" t="inlineStr">
        <is>
          <t>Idea</t>
        </is>
      </c>
      <c r="T61" s="30" t="n"/>
      <c r="U61" s="30" t="n"/>
      <c r="V61" s="30" t="n"/>
      <c r="W61" s="30" t="n"/>
      <c r="X61" s="30" t="n"/>
      <c r="Y61" s="30"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https://github.com/RepoKing23/InstagramCarousel/tree/claude/med-spa-carousel-ideas-sim9wz/content/2026-11-09-the-gift-of-glow-gift</t>
        </is>
      </c>
      <c r="P62" s="32" t="inlineStr">
        <is>
          <t>Open folder</t>
        </is>
      </c>
      <c r="Q62" s="24" t="inlineStr">
        <is>
          <t>Not designed yet</t>
        </is>
      </c>
      <c r="R62" s="24" t="n"/>
      <c r="S62" s="28" t="inlineStr">
        <is>
          <t>Idea</t>
        </is>
      </c>
      <c r="T62" s="28" t="n"/>
      <c r="U62" s="28" t="n"/>
      <c r="V62" s="28" t="n"/>
      <c r="W62" s="28" t="n"/>
      <c r="X62" s="28" t="n"/>
      <c r="Y62" s="28"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https://github.com/RepoKing23/InstagramCarousel/tree/claude/med-spa-carousel-ideas-sim9wz/content/2026-11-10-gift-certificates-are-here</t>
        </is>
      </c>
      <c r="P63" s="34" t="inlineStr">
        <is>
          <t>Open folder</t>
        </is>
      </c>
      <c r="Q63" s="24" t="inlineStr">
        <is>
          <t>Not designed yet</t>
        </is>
      </c>
      <c r="R63" s="24" t="n"/>
      <c r="S63" s="30" t="inlineStr">
        <is>
          <t>Idea</t>
        </is>
      </c>
      <c r="T63" s="30" t="n"/>
      <c r="U63" s="30" t="n"/>
      <c r="V63" s="30" t="n"/>
      <c r="W63" s="30" t="n"/>
      <c r="X63" s="30" t="n"/>
      <c r="Y63" s="30"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https://github.com/RepoKing23/InstagramCarousel/tree/claude/med-spa-carousel-ideas-sim9wz/content/2026-11-12-3-months-of-honest-answers</t>
        </is>
      </c>
      <c r="P64" s="32" t="inlineStr">
        <is>
          <t>Open folder</t>
        </is>
      </c>
      <c r="Q64" s="24" t="inlineStr">
        <is>
          <t>Not designed yet</t>
        </is>
      </c>
      <c r="R64" s="24" t="n"/>
      <c r="S64" s="28" t="inlineStr">
        <is>
          <t>Idea</t>
        </is>
      </c>
      <c r="T64" s="28" t="n"/>
      <c r="U64" s="28" t="n"/>
      <c r="V64" s="28" t="n"/>
      <c r="W64" s="28" t="n"/>
      <c r="X64" s="28" t="n"/>
      <c r="Y64" s="28"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https://github.com/RepoKing23/InstagramCarousel/tree/claude/med-spa-carousel-ideas-sim9wz/content/2026-11-13-thank-you-3-months-of</t>
        </is>
      </c>
      <c r="P65" s="34" t="inlineStr">
        <is>
          <t>Open folder</t>
        </is>
      </c>
      <c r="Q65" s="24" t="inlineStr">
        <is>
          <t>Not designed yet</t>
        </is>
      </c>
      <c r="R65" s="24" t="n"/>
      <c r="S65" s="30" t="inlineStr">
        <is>
          <t>Idea</t>
        </is>
      </c>
      <c r="T65" s="30" t="n"/>
      <c r="U65" s="30" t="n"/>
      <c r="V65" s="30" t="n"/>
      <c r="W65" s="30" t="n"/>
      <c r="X65" s="30" t="n"/>
      <c r="Y65" s="30"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https://github.com/RepoKing23/InstagramCarousel/tree/claude/med-spa-carousel-ideas-sim9wz/content/2026-11-14-tag-someone-who-deserves-a</t>
        </is>
      </c>
      <c r="P66" s="34" t="inlineStr">
        <is>
          <t>Open folder</t>
        </is>
      </c>
      <c r="Q66" s="24" t="inlineStr">
        <is>
          <t>Not designed yet</t>
        </is>
      </c>
      <c r="R66" s="24" t="n"/>
      <c r="S66" s="30" t="inlineStr">
        <is>
          <t>Idea</t>
        </is>
      </c>
      <c r="T66" s="30" t="n"/>
      <c r="U66" s="30" t="n"/>
      <c r="V66" s="30" t="n"/>
      <c r="W66" s="30" t="n"/>
      <c r="X66" s="30" t="n"/>
      <c r="Y66" s="30" t="n"/>
      <c r="Z66" s="24" t="n"/>
      <c r="AA66" s="24" t="n"/>
      <c r="AB66" s="24" t="inlineStr">
        <is>
          <t>Not designed yet</t>
        </is>
      </c>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2026-08-17T10:30:37Z</dcterms:modified>
  <cp:revision>0</cp:revision>
</cp:coreProperties>
</file>