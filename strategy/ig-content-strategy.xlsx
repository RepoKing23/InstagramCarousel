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sheetId="1" state="visible" r:id="rId1"/>
    <sheet name="Posting Schedule" sheetId="2" state="visible" r:id="rId2"/>
    <sheet name="Monthly Themes" sheetId="3" state="visible" r:id="rId3"/>
    <sheet name="Content Pillars" sheetId="4" state="visible" r:id="rId4"/>
    <sheet name="Hashtag Sets" sheetId="5" state="visible" r:id="rId5"/>
    <sheet name="Photo Library" sheetId="6" state="visible" r:id="rId6"/>
    <sheet name="Ideas Backlog"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mmm\ d&quot;, &quot;yyyy"/>
  </numFmts>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2E2A23"/>
      <sz val="16"/>
    </font>
    <font>
      <name val="Arial"/>
      <charset val="1"/>
      <family val="0"/>
      <color rgb="FF6E6557"/>
      <sz val="11"/>
    </font>
    <font>
      <name val="Arial"/>
      <charset val="1"/>
      <family val="0"/>
      <b val="1"/>
      <sz val="10"/>
    </font>
    <font>
      <name val="Arial"/>
      <charset val="1"/>
      <family val="0"/>
      <sz val="10"/>
    </font>
    <font>
      <name val="Arial"/>
      <charset val="1"/>
      <family val="0"/>
      <b val="1"/>
      <color rgb="FF2E2A23"/>
      <sz val="11"/>
    </font>
    <font>
      <name val="Arial"/>
      <charset val="1"/>
      <family val="0"/>
      <i val="1"/>
      <color rgb="FF6E6557"/>
      <sz val="9"/>
    </font>
    <font>
      <name val="Arial"/>
      <charset val="1"/>
      <family val="0"/>
      <b val="1"/>
      <color rgb="FFFFFFFF"/>
      <sz val="10"/>
    </font>
    <font>
      <name val="Arial"/>
      <b val="1"/>
      <color rgb="FFFFFFFF"/>
      <sz val="10"/>
    </font>
    <font>
      <name val="Arial"/>
      <sz val="10"/>
    </font>
    <font>
      <name val="Arial"/>
      <b val="1"/>
      <sz val="10"/>
    </font>
    <font>
      <name val="Arial"/>
      <color rgb="FF0563C1"/>
      <sz val="10"/>
      <u val="single"/>
    </font>
    <font>
      <name val="Arial"/>
      <b val="1"/>
      <color rgb="002E2A23"/>
      <sz val="15"/>
    </font>
    <font>
      <name val="Arial"/>
      <i val="1"/>
      <color rgb="FF6E6557"/>
      <sz val="10"/>
    </font>
  </fonts>
  <fills count="5">
    <fill>
      <patternFill/>
    </fill>
    <fill>
      <patternFill patternType="gray125"/>
    </fill>
    <fill>
      <patternFill patternType="solid">
        <fgColor rgb="FF2E2A23"/>
        <bgColor rgb="FF333300"/>
      </patternFill>
    </fill>
    <fill>
      <patternFill patternType="solid">
        <fgColor rgb="FFF3EEE5"/>
        <bgColor rgb="FFFFFFFF"/>
      </patternFill>
    </fill>
    <fill>
      <patternFill patternType="solid">
        <fgColor rgb="FF2E2A23"/>
      </patternFill>
    </fill>
  </fills>
  <borders count="2">
    <border>
      <left/>
      <right/>
      <top/>
      <bottom/>
      <diagonal/>
    </border>
    <border>
      <left style="thin">
        <color rgb="FFD8D0C0"/>
      </left>
      <right style="thin">
        <color rgb="FFD8D0C0"/>
      </right>
      <top style="thin">
        <color rgb="FFD8D0C0"/>
      </top>
      <bottom style="thin">
        <color rgb="FFD8D0C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general"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3" fillId="0" borderId="0" pivotButton="0" quotePrefix="0" xfId="0"/>
    <xf numFmtId="0" fontId="12" fillId="0" borderId="0" pivotButton="0" quotePrefix="0" xfId="0"/>
    <xf numFmtId="0" fontId="12" fillId="0" borderId="0" applyAlignment="1" pivotButton="0" quotePrefix="0" xfId="0">
      <alignment vertical="top" wrapText="1"/>
    </xf>
    <xf numFmtId="0" fontId="10" fillId="2" borderId="1" applyAlignment="1" pivotButton="0" quotePrefix="0" xfId="0">
      <alignment horizontal="general" vertical="center" wrapText="1"/>
    </xf>
    <xf numFmtId="0" fontId="11" fillId="4" borderId="0" applyAlignment="1" pivotButton="0" quotePrefix="0" xfId="0">
      <alignment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1" applyAlignment="1" pivotButton="0" quotePrefix="0" xfId="0">
      <alignment vertical="top" wrapText="1"/>
    </xf>
    <xf numFmtId="0" fontId="14" fillId="3" borderId="1" applyAlignment="1" pivotButton="0" quotePrefix="0" xfId="0">
      <alignment vertical="top" wrapText="1"/>
    </xf>
    <xf numFmtId="0" fontId="14" fillId="0" borderId="0" applyAlignment="1" pivotButton="0" quotePrefix="0" xfId="0">
      <alignment vertical="top" wrapText="1"/>
    </xf>
    <xf numFmtId="0" fontId="14" fillId="0" borderId="1" applyAlignment="1" pivotButton="0" quotePrefix="0" xfId="0">
      <alignment vertical="top" wrapText="1"/>
    </xf>
    <xf numFmtId="0" fontId="15" fillId="0" borderId="0" pivotButton="0" quotePrefix="0" xfId="0"/>
    <xf numFmtId="0" fontId="16" fillId="0" borderId="0" pivotButton="0" quotePrefix="0" xfId="0"/>
    <xf numFmtId="0" fontId="11" fillId="4" borderId="0" pivotButton="0" quotePrefix="0" xfId="0"/>
    <xf numFmtId="0" fontId="0" fillId="4"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convert-images-jpg-5jeayb/content/2026-08-17-5-botox-lies-you-still" TargetMode="External" Id="rId1" /><Relationship Type="http://schemas.openxmlformats.org/officeDocument/2006/relationships/hyperlink" Target="https://github.com/RepoKing23/InstagramCarousel/tree/claude/convert-images-jpg-5jeayb/content/2026-08-17-5-botox-lies-you-still/images" TargetMode="External" Id="rId2" /><Relationship Type="http://schemas.openxmlformats.org/officeDocument/2006/relationships/hyperlink" Target="https://github.com/RepoKing23/InstagramCarousel/tree/claude/convert-images-jpg-5jeayb/content/2026-08-17-5-botox-lies-you-still/images" TargetMode="External" Id="rId3" /><Relationship Type="http://schemas.openxmlformats.org/officeDocument/2006/relationships/hyperlink" Target="https://github.com/RepoKing23/InstagramCarousel/blob/claude/convert-images-jpg-5jeayb/content/2026-08-17-5-botox-lies-you-still/images/gbp.png?raw=1" TargetMode="External" Id="rId4" /><Relationship Type="http://schemas.openxmlformats.org/officeDocument/2006/relationships/hyperlink" Target="https://github.com/RepoKing23/InstagramCarousel/blob/claude/convert-images-jpg-5jeayb/content/2026-08-17-5-botox-lies-you-still/images/gbp.jpg?raw=1" TargetMode="External" Id="rId5" /><Relationship Type="http://schemas.openxmlformats.org/officeDocument/2006/relationships/hyperlink" Target="https://github.com/RepoKing23/InstagramCarousel/tree/claude/convert-images-jpg-5jeayb/content/2026-08-18-service-spotlight-botox" TargetMode="External" Id="rId6" /><Relationship Type="http://schemas.openxmlformats.org/officeDocument/2006/relationships/hyperlink" Target="https://github.com/RepoKing23/InstagramCarousel/blob/claude/convert-images-jpg-5jeayb/content/2026-08-18-service-spotlight-botox/images/post.png?raw=1" TargetMode="External" Id="rId7" /><Relationship Type="http://schemas.openxmlformats.org/officeDocument/2006/relationships/hyperlink" Target="https://github.com/RepoKing23/InstagramCarousel/blob/claude/convert-images-jpg-5jeayb/content/2026-08-18-service-spotlight-botox/images/post.jpg?raw=1" TargetMode="External" Id="rId8" /><Relationship Type="http://schemas.openxmlformats.org/officeDocument/2006/relationships/hyperlink" Target="https://github.com/RepoKing23/InstagramCarousel/blob/claude/convert-images-jpg-5jeayb/content/2026-08-18-service-spotlight-botox/images/gbp.png?raw=1" TargetMode="External" Id="rId9" /><Relationship Type="http://schemas.openxmlformats.org/officeDocument/2006/relationships/hyperlink" Target="https://github.com/RepoKing23/InstagramCarousel/blob/claude/convert-images-jpg-5jeayb/content/2026-08-18-service-spotlight-botox/images/gbp.jpg?raw=1" TargetMode="External" Id="rId10" /><Relationship Type="http://schemas.openxmlformats.org/officeDocument/2006/relationships/hyperlink" Target="https://github.com/RepoKing23/InstagramCarousel/tree/claude/convert-images-jpg-5jeayb/content/2026-08-20-5-red-flags-at-a" TargetMode="External" Id="rId11" /><Relationship Type="http://schemas.openxmlformats.org/officeDocument/2006/relationships/hyperlink" Target="https://github.com/RepoKing23/InstagramCarousel/tree/claude/convert-images-jpg-5jeayb/content/2026-08-20-5-red-flags-at-a/images" TargetMode="External" Id="rId12" /><Relationship Type="http://schemas.openxmlformats.org/officeDocument/2006/relationships/hyperlink" Target="https://github.com/RepoKing23/InstagramCarousel/tree/claude/convert-images-jpg-5jeayb/content/2026-08-20-5-red-flags-at-a/images" TargetMode="External" Id="rId13" /><Relationship Type="http://schemas.openxmlformats.org/officeDocument/2006/relationships/hyperlink" Target="https://github.com/RepoKing23/InstagramCarousel/blob/claude/convert-images-jpg-5jeayb/content/2026-08-20-5-red-flags-at-a/images/gbp.png?raw=1" TargetMode="External" Id="rId14" /><Relationship Type="http://schemas.openxmlformats.org/officeDocument/2006/relationships/hyperlink" Target="https://github.com/RepoKing23/InstagramCarousel/blob/claude/convert-images-jpg-5jeayb/content/2026-08-20-5-red-flags-at-a/images/gbp.jpg?raw=1" TargetMode="External" Id="rId15" /><Relationship Type="http://schemas.openxmlformats.org/officeDocument/2006/relationships/hyperlink" Target="https://github.com/RepoKing23/InstagramCarousel/tree/claude/convert-images-jpg-5jeayb/content/2026-08-21-behind-the-scenes-the-prep" TargetMode="External" Id="rId16" /><Relationship Type="http://schemas.openxmlformats.org/officeDocument/2006/relationships/hyperlink" Target="https://github.com/RepoKing23/InstagramCarousel/blob/claude/convert-images-jpg-5jeayb/content/2026-08-21-behind-the-scenes-the-prep/images/post.png?raw=1" TargetMode="External" Id="rId17" /><Relationship Type="http://schemas.openxmlformats.org/officeDocument/2006/relationships/hyperlink" Target="https://github.com/RepoKing23/InstagramCarousel/blob/claude/convert-images-jpg-5jeayb/content/2026-08-21-behind-the-scenes-the-prep/images/post.jpg?raw=1" TargetMode="External" Id="rId18" /><Relationship Type="http://schemas.openxmlformats.org/officeDocument/2006/relationships/hyperlink" Target="https://github.com/RepoKing23/InstagramCarousel/blob/claude/convert-images-jpg-5jeayb/content/2026-08-21-behind-the-scenes-the-prep/images/gbp.png?raw=1" TargetMode="External" Id="rId19" /><Relationship Type="http://schemas.openxmlformats.org/officeDocument/2006/relationships/hyperlink" Target="https://github.com/RepoKing23/InstagramCarousel/blob/claude/convert-images-jpg-5jeayb/content/2026-08-21-behind-the-scenes-the-prep/images/gbp.jpg?raw=1" TargetMode="External" Id="rId20" /><Relationship Type="http://schemas.openxmlformats.org/officeDocument/2006/relationships/hyperlink" Target="https://github.com/RepoKing23/InstagramCarousel/tree/claude/convert-images-jpg-5jeayb/content/2026-08-22-great-work-is-invisible" TargetMode="External" Id="rId21" /><Relationship Type="http://schemas.openxmlformats.org/officeDocument/2006/relationships/hyperlink" Target="https://github.com/RepoKing23/InstagramCarousel/blob/claude/convert-images-jpg-5jeayb/content/2026-08-22-great-work-is-invisible/images/before-after-result.png?raw=1" TargetMode="External" Id="rId22" /><Relationship Type="http://schemas.openxmlformats.org/officeDocument/2006/relationships/hyperlink" Target="https://github.com/RepoKing23/InstagramCarousel/blob/claude/convert-images-jpg-5jeayb/content/2026-08-22-great-work-is-invisible/images/before-after-result.jpg?raw=1" TargetMode="External" Id="rId23" /><Relationship Type="http://schemas.openxmlformats.org/officeDocument/2006/relationships/hyperlink" Target="https://github.com/RepoKing23/InstagramCarousel/blob/claude/convert-images-jpg-5jeayb/content/2026-08-22-great-work-is-invisible/images/gbp.png?raw=1" TargetMode="External" Id="rId24" /><Relationship Type="http://schemas.openxmlformats.org/officeDocument/2006/relationships/hyperlink" Target="https://github.com/RepoKing23/InstagramCarousel/blob/claude/convert-images-jpg-5jeayb/content/2026-08-22-great-work-is-invisible/images/gbp.jpg?raw=1" TargetMode="External" Id="rId25" /><Relationship Type="http://schemas.openxmlformats.org/officeDocument/2006/relationships/hyperlink" Target="https://github.com/RepoKing23/InstagramCarousel/tree/claude/convert-images-jpg-5jeayb/content/2026-08-24-your-first-visit-step-by" TargetMode="External" Id="rId26" /><Relationship Type="http://schemas.openxmlformats.org/officeDocument/2006/relationships/hyperlink" Target="https://github.com/RepoKing23/InstagramCarousel/tree/claude/convert-images-jpg-5jeayb/content/2026-08-24-your-first-visit-step-by/images" TargetMode="External" Id="rId27" /><Relationship Type="http://schemas.openxmlformats.org/officeDocument/2006/relationships/hyperlink" Target="https://github.com/RepoKing23/InstagramCarousel/tree/claude/convert-images-jpg-5jeayb/content/2026-08-24-your-first-visit-step-by/images" TargetMode="External" Id="rId28" /><Relationship Type="http://schemas.openxmlformats.org/officeDocument/2006/relationships/hyperlink" Target="https://github.com/RepoKing23/InstagramCarousel/blob/claude/convert-images-jpg-5jeayb/content/2026-08-24-your-first-visit-step-by/images/gbp.png?raw=1" TargetMode="External" Id="rId29" /><Relationship Type="http://schemas.openxmlformats.org/officeDocument/2006/relationships/hyperlink" Target="https://github.com/RepoKing23/InstagramCarousel/blob/claude/convert-images-jpg-5jeayb/content/2026-08-24-your-first-visit-step-by/images/gbp.jpg?raw=1" TargetMode="External" Id="rId30" /><Relationship Type="http://schemas.openxmlformats.org/officeDocument/2006/relationships/hyperlink" Target="https://github.com/RepoKing23/InstagramCarousel/tree/claude/convert-images-jpg-5jeayb/content/2026-08-25-why-i-do-not-post" TargetMode="External" Id="rId31" /><Relationship Type="http://schemas.openxmlformats.org/officeDocument/2006/relationships/hyperlink" Target="https://github.com/RepoKing23/InstagramCarousel/blob/claude/convert-images-jpg-5jeayb/content/2026-08-25-why-i-do-not-post/images/post.png?raw=1" TargetMode="External" Id="rId32" /><Relationship Type="http://schemas.openxmlformats.org/officeDocument/2006/relationships/hyperlink" Target="https://github.com/RepoKing23/InstagramCarousel/blob/claude/convert-images-jpg-5jeayb/content/2026-08-25-why-i-do-not-post/images/post.jpg?raw=1" TargetMode="External" Id="rId33" /><Relationship Type="http://schemas.openxmlformats.org/officeDocument/2006/relationships/hyperlink" Target="https://github.com/RepoKing23/InstagramCarousel/blob/claude/convert-images-jpg-5jeayb/content/2026-08-25-why-i-do-not-post/images/gbp.png?raw=1" TargetMode="External" Id="rId34" /><Relationship Type="http://schemas.openxmlformats.org/officeDocument/2006/relationships/hyperlink" Target="https://github.com/RepoKing23/InstagramCarousel/blob/claude/convert-images-jpg-5jeayb/content/2026-08-25-why-i-do-not-post/images/gbp.jpg?raw=1" TargetMode="External" Id="rId35" /><Relationship Type="http://schemas.openxmlformats.org/officeDocument/2006/relationships/hyperlink" Target="https://github.com/RepoKing23/InstagramCarousel/tree/claude/convert-images-jpg-5jeayb/content/2026-08-27-meet-np-cleo-the-face" TargetMode="External" Id="rId36" /><Relationship Type="http://schemas.openxmlformats.org/officeDocument/2006/relationships/hyperlink" Target="https://github.com/RepoKing23/InstagramCarousel/tree/claude/convert-images-jpg-5jeayb/content/2026-08-27-meet-np-cleo-the-face/images" TargetMode="External" Id="rId37" /><Relationship Type="http://schemas.openxmlformats.org/officeDocument/2006/relationships/hyperlink" Target="https://github.com/RepoKing23/InstagramCarousel/tree/claude/convert-images-jpg-5jeayb/content/2026-08-27-meet-np-cleo-the-face/images" TargetMode="External" Id="rId38" /><Relationship Type="http://schemas.openxmlformats.org/officeDocument/2006/relationships/hyperlink" Target="https://github.com/RepoKing23/InstagramCarousel/blob/claude/convert-images-jpg-5jeayb/content/2026-08-27-meet-np-cleo-the-face/images/gbp.png?raw=1" TargetMode="External" Id="rId39" /><Relationship Type="http://schemas.openxmlformats.org/officeDocument/2006/relationships/hyperlink" Target="https://github.com/RepoKing23/InstagramCarousel/blob/claude/convert-images-jpg-5jeayb/content/2026-08-27-meet-np-cleo-the-face/images/gbp.jpg?raw=1" TargetMode="External" Id="rId40" /><Relationship Type="http://schemas.openxmlformats.org/officeDocument/2006/relationships/hyperlink" Target="https://github.com/RepoKing23/InstagramCarousel/tree/claude/convert-images-jpg-5jeayb/content/2026-08-28-welcome-to-the-treatment-room" TargetMode="External" Id="rId41" /><Relationship Type="http://schemas.openxmlformats.org/officeDocument/2006/relationships/hyperlink" Target="https://github.com/RepoKing23/InstagramCarousel/blob/claude/convert-images-jpg-5jeayb/content/2026-08-28-welcome-to-the-treatment-room/images/post.png?raw=1" TargetMode="External" Id="rId42" /><Relationship Type="http://schemas.openxmlformats.org/officeDocument/2006/relationships/hyperlink" Target="https://github.com/RepoKing23/InstagramCarousel/blob/claude/convert-images-jpg-5jeayb/content/2026-08-28-welcome-to-the-treatment-room/images/post.jpg?raw=1" TargetMode="External" Id="rId43" /><Relationship Type="http://schemas.openxmlformats.org/officeDocument/2006/relationships/hyperlink" Target="https://github.com/RepoKing23/InstagramCarousel/blob/claude/convert-images-jpg-5jeayb/content/2026-08-28-welcome-to-the-treatment-room/images/gbp.png?raw=1" TargetMode="External" Id="rId44" /><Relationship Type="http://schemas.openxmlformats.org/officeDocument/2006/relationships/hyperlink" Target="https://github.com/RepoKing23/InstagramCarousel/blob/claude/convert-images-jpg-5jeayb/content/2026-08-28-welcome-to-the-treatment-room/images/gbp.jpg?raw=1" TargetMode="External" Id="rId45" /><Relationship Type="http://schemas.openxmlformats.org/officeDocument/2006/relationships/hyperlink" Target="https://github.com/RepoKing23/InstagramCarousel/tree/claude/convert-images-jpg-5jeayb/content/2026-08-29-this-or-that-rested-vs" TargetMode="External" Id="rId46" /><Relationship Type="http://schemas.openxmlformats.org/officeDocument/2006/relationships/hyperlink" Target="https://github.com/RepoKing23/InstagramCarousel/blob/claude/convert-images-jpg-5jeayb/content/2026-08-29-this-or-that-rested-vs/images/post.png?raw=1" TargetMode="External" Id="rId47" /><Relationship Type="http://schemas.openxmlformats.org/officeDocument/2006/relationships/hyperlink" Target="https://github.com/RepoKing23/InstagramCarousel/blob/claude/convert-images-jpg-5jeayb/content/2026-08-29-this-or-that-rested-vs/images/post.jpg?raw=1" TargetMode="External" Id="rId48" /><Relationship Type="http://schemas.openxmlformats.org/officeDocument/2006/relationships/hyperlink" Target="https://github.com/RepoKing23/InstagramCarousel/blob/claude/convert-images-jpg-5jeayb/content/2026-08-29-this-or-that-rested-vs/images/gbp.png?raw=1" TargetMode="External" Id="rId49" /><Relationship Type="http://schemas.openxmlformats.org/officeDocument/2006/relationships/hyperlink" Target="https://github.com/RepoKing23/InstagramCarousel/blob/claude/convert-images-jpg-5jeayb/content/2026-08-29-this-or-that-rested-vs/images/gbp.jpg?raw=1" TargetMode="External" Id="rId50" /><Relationship Type="http://schemas.openxmlformats.org/officeDocument/2006/relationships/hyperlink" Target="https://github.com/RepoKing23/InstagramCarousel/tree/claude/convert-images-jpg-5jeayb/content/2026-08-31-preventative-botox-when-to-actually" TargetMode="External" Id="rId51" /><Relationship Type="http://schemas.openxmlformats.org/officeDocument/2006/relationships/hyperlink" Target="https://github.com/RepoKing23/InstagramCarousel/tree/claude/convert-images-jpg-5jeayb/content/2026-08-31-preventative-botox-when-to-actually/images" TargetMode="External" Id="rId52" /><Relationship Type="http://schemas.openxmlformats.org/officeDocument/2006/relationships/hyperlink" Target="https://github.com/RepoKing23/InstagramCarousel/tree/claude/convert-images-jpg-5jeayb/content/2026-08-31-preventative-botox-when-to-actually/images" TargetMode="External" Id="rId53" /><Relationship Type="http://schemas.openxmlformats.org/officeDocument/2006/relationships/hyperlink" Target="https://github.com/RepoKing23/InstagramCarousel/blob/claude/convert-images-jpg-5jeayb/content/2026-08-31-preventative-botox-when-to-actually/images/gbp.png?raw=1" TargetMode="External" Id="rId54" /><Relationship Type="http://schemas.openxmlformats.org/officeDocument/2006/relationships/hyperlink" Target="https://github.com/RepoKing23/InstagramCarousel/blob/claude/convert-images-jpg-5jeayb/content/2026-08-31-preventative-botox-when-to-actually/images/gbp.jpg?raw=1" TargetMode="External" Id="rId55" /><Relationship Type="http://schemas.openxmlformats.org/officeDocument/2006/relationships/hyperlink" Target="https://github.com/RepoKing23/InstagramCarousel/tree/claude/convert-images-jpg-5jeayb/content/2026-09-01-service-spotlight-preventative-botox" TargetMode="External" Id="rId56" /><Relationship Type="http://schemas.openxmlformats.org/officeDocument/2006/relationships/hyperlink" Target="https://github.com/RepoKing23/InstagramCarousel/tree/claude/convert-images-jpg-5jeayb/content/2026-09-03-what-20-units-actually-looks" TargetMode="External" Id="rId57" /><Relationship Type="http://schemas.openxmlformats.org/officeDocument/2006/relationships/hyperlink" Target="https://github.com/RepoKing23/InstagramCarousel/tree/claude/convert-images-jpg-5jeayb/content/2026-09-04-meet-your-injector" TargetMode="External" Id="rId58" /><Relationship Type="http://schemas.openxmlformats.org/officeDocument/2006/relationships/hyperlink" Target="https://github.com/RepoKing23/InstagramCarousel/tree/claude/convert-images-jpg-5jeayb/content/2026-09-05-quote-prevention-beats-erasing" TargetMode="External" Id="rId59" /><Relationship Type="http://schemas.openxmlformats.org/officeDocument/2006/relationships/hyperlink" Target="https://github.com/RepoKing23/InstagramCarousel/tree/claude/convert-images-jpg-5jeayb/content/2026-09-07-botox-vs-dysport-the-real" TargetMode="External" Id="rId60" /><Relationship Type="http://schemas.openxmlformats.org/officeDocument/2006/relationships/hyperlink" Target="https://github.com/RepoKing23/InstagramCarousel/tree/claude/convert-images-jpg-5jeayb/content/2026-09-08-botox-vs-dysport-at-a" TargetMode="External" Id="rId61" /><Relationship Type="http://schemas.openxmlformats.org/officeDocument/2006/relationships/hyperlink" Target="https://github.com/RepoKing23/InstagramCarousel/tree/claude/convert-images-jpg-5jeayb/content/2026-09-10-botox-aftercare-the-first-48" TargetMode="External" Id="rId62" /><Relationship Type="http://schemas.openxmlformats.org/officeDocument/2006/relationships/hyperlink" Target="https://github.com/RepoKing23/InstagramCarousel/tree/claude/convert-images-jpg-5jeayb/content/2026-09-11-the-face-map" TargetMode="External" Id="rId63" /><Relationship Type="http://schemas.openxmlformats.org/officeDocument/2006/relationships/hyperlink" Target="https://github.com/RepoKing23/InstagramCarousel/tree/claude/convert-images-jpg-5jeayb/content/2026-09-12-faq-does-botox-hurt" TargetMode="External" Id="rId64" /><Relationship Type="http://schemas.openxmlformats.org/officeDocument/2006/relationships/hyperlink" Target="https://github.com/RepoKing23/InstagramCarousel/tree/claude/convert-images-jpg-5jeayb/content/2026-09-14-5-things-botox-can-t" TargetMode="External" Id="rId65" /><Relationship Type="http://schemas.openxmlformats.org/officeDocument/2006/relationships/hyperlink" Target="https://github.com/RepoKing23/InstagramCarousel/tree/claude/convert-images-jpg-5jeayb/content/2026-09-15-what-botox-can-t-fix" TargetMode="External" Id="rId66" /><Relationship Type="http://schemas.openxmlformats.org/officeDocument/2006/relationships/hyperlink" Target="https://github.com/RepoKing23/InstagramCarousel/tree/claude/convert-images-jpg-5jeayb/content/2026-09-17-still-you-just-refreshed" TargetMode="External" Id="rId67" /><Relationship Type="http://schemas.openxmlformats.org/officeDocument/2006/relationships/hyperlink" Target="https://github.com/RepoKing23/InstagramCarousel/tree/claude/convert-images-jpg-5jeayb/content/2026-09-18-myth-vs-truth-the-frozen" TargetMode="External" Id="rId68" /><Relationship Type="http://schemas.openxmlformats.org/officeDocument/2006/relationships/hyperlink" Target="https://github.com/RepoKing23/InstagramCarousel/tree/claude/convert-images-jpg-5jeayb/content/2026-09-19-client-words-natural-results" TargetMode="External" Id="rId69" /><Relationship Type="http://schemas.openxmlformats.org/officeDocument/2006/relationships/hyperlink" Target="https://github.com/RepoKing23/InstagramCarousel/tree/claude/convert-images-jpg-5jeayb/content/2026-09-21-botox-or-filler-you-might" TargetMode="External" Id="rId70" /><Relationship Type="http://schemas.openxmlformats.org/officeDocument/2006/relationships/hyperlink" Target="https://github.com/RepoKing23/InstagramCarousel/tree/claude/convert-images-jpg-5jeayb/content/2026-09-22-lines-vs-volume" TargetMode="External" Id="rId71" /><Relationship Type="http://schemas.openxmlformats.org/officeDocument/2006/relationships/hyperlink" Target="https://github.com/RepoKing23/InstagramCarousel/tree/claude/convert-images-jpg-5jeayb/content/2026-09-24-ask-np-cleo-your-questions" TargetMode="External" Id="rId72" /><Relationship Type="http://schemas.openxmlformats.org/officeDocument/2006/relationships/hyperlink" Target="https://github.com/RepoKing23/InstagramCarousel/tree/claude/convert-images-jpg-5jeayb/content/2026-09-25-your-dms-answered" TargetMode="External" Id="rId73" /><Relationship Type="http://schemas.openxmlformats.org/officeDocument/2006/relationships/hyperlink" Target="https://github.com/RepoKing23/InstagramCarousel/tree/claude/convert-images-jpg-5jeayb/content/2026-09-26-poll-what-should-np-cleo" TargetMode="External" Id="rId74" /><Relationship Type="http://schemas.openxmlformats.org/officeDocument/2006/relationships/hyperlink" Target="https://github.com/RepoKing23/InstagramCarousel/tree/claude/convert-images-jpg-5jeayb/content/2026-09-28-how-long-does-botox-really" TargetMode="External" Id="rId75" /><Relationship Type="http://schemas.openxmlformats.org/officeDocument/2006/relationships/hyperlink" Target="https://github.com/RepoKing23/InstagramCarousel/tree/claude/convert-images-jpg-5jeayb/content/2026-09-29-the-3-month-botox-timeline" TargetMode="External" Id="rId76" /><Relationship Type="http://schemas.openxmlformats.org/officeDocument/2006/relationships/hyperlink" Target="https://github.com/RepoKing23/InstagramCarousel/tree/claude/convert-images-jpg-5jeayb/content/2026-10-01-why-we-sometimes-say-no" TargetMode="External" Id="rId77" /><Relationship Type="http://schemas.openxmlformats.org/officeDocument/2006/relationships/hyperlink" Target="https://github.com/RepoKing23/InstagramCarousel/tree/claude/convert-images-jpg-5jeayb/content/2026-10-02-what-i-tell-every-first" TargetMode="External" Id="rId78" /><Relationship Type="http://schemas.openxmlformats.org/officeDocument/2006/relationships/hyperlink" Target="https://github.com/RepoKing23/InstagramCarousel/tree/claude/convert-images-jpg-5jeayb/content/2026-10-03-quote-no-is-protection" TargetMode="External" Id="rId79" /><Relationship Type="http://schemas.openxmlformats.org/officeDocument/2006/relationships/hyperlink" Target="https://github.com/RepoKing23/InstagramCarousel/tree/claude/convert-images-jpg-5jeayb/content/2026-10-05-filler-won-t-make-you" TargetMode="External" Id="rId80" /><Relationship Type="http://schemas.openxmlformats.org/officeDocument/2006/relationships/hyperlink" Target="https://github.com/RepoKing23/InstagramCarousel/tree/claude/convert-images-jpg-5jeayb/content/2026-10-06-service-spotlight-dermal-filler" TargetMode="External" Id="rId81" /><Relationship Type="http://schemas.openxmlformats.org/officeDocument/2006/relationships/hyperlink" Target="https://github.com/RepoKing23/InstagramCarousel/tree/claude/convert-images-jpg-5jeayb/content/2026-10-08-lip-filler-natural-vs-overdone" TargetMode="External" Id="rId82" /><Relationship Type="http://schemas.openxmlformats.org/officeDocument/2006/relationships/hyperlink" Target="https://github.com/RepoKing23/InstagramCarousel/blob/claude/convert-images-jpg-5jeayb/content/2026-10-08-lip-filler-natural-vs-overdone/images/before-after-result.png?raw=1" TargetMode="External" Id="rId83" /><Relationship Type="http://schemas.openxmlformats.org/officeDocument/2006/relationships/hyperlink" Target="https://github.com/RepoKing23/InstagramCarousel/blob/claude/convert-images-jpg-5jeayb/content/2026-10-08-lip-filler-natural-vs-overdone/images/before-after-result.jpg?raw=1" TargetMode="External" Id="rId84" /><Relationship Type="http://schemas.openxmlformats.org/officeDocument/2006/relationships/hyperlink" Target="https://github.com/RepoKing23/InstagramCarousel/tree/claude/convert-images-jpg-5jeayb/content/2026-10-09-inside-the-filler-appointment" TargetMode="External" Id="rId85" /><Relationship Type="http://schemas.openxmlformats.org/officeDocument/2006/relationships/hyperlink" Target="https://github.com/RepoKing23/InstagramCarousel/tree/claude/convert-images-jpg-5jeayb/content/2026-10-10-subtle-is-the-new-dramatic" TargetMode="External" Id="rId86" /><Relationship Type="http://schemas.openxmlformats.org/officeDocument/2006/relationships/hyperlink" Target="https://github.com/RepoKing23/InstagramCarousel/blob/claude/convert-images-jpg-5jeayb/content/2026-10-10-subtle-is-the-new-dramatic/images/before-after-result.png?raw=1" TargetMode="External" Id="rId87" /><Relationship Type="http://schemas.openxmlformats.org/officeDocument/2006/relationships/hyperlink" Target="https://github.com/RepoKing23/InstagramCarousel/blob/claude/convert-images-jpg-5jeayb/content/2026-10-10-subtle-is-the-new-dramatic/images/before-after-result.jpg?raw=1" TargetMode="External" Id="rId88" /><Relationship Type="http://schemas.openxmlformats.org/officeDocument/2006/relationships/hyperlink" Target="https://github.com/RepoKing23/InstagramCarousel/tree/claude/convert-images-jpg-5jeayb/content/2026-10-12-cheek-filler-the-secret-nobody" TargetMode="External" Id="rId89" /><Relationship Type="http://schemas.openxmlformats.org/officeDocument/2006/relationships/hyperlink" Target="https://github.com/RepoKing23/InstagramCarousel/tree/claude/convert-images-jpg-5jeayb/content/2026-10-13-service-spotlight-cheek-filler" TargetMode="External" Id="rId90" /><Relationship Type="http://schemas.openxmlformats.org/officeDocument/2006/relationships/hyperlink" Target="https://github.com/RepoKing23/InstagramCarousel/tree/claude/convert-images-jpg-5jeayb/content/2026-10-15-real-lips-real-results" TargetMode="External" Id="rId91" /><Relationship Type="http://schemas.openxmlformats.org/officeDocument/2006/relationships/hyperlink" Target="https://github.com/RepoKing23/InstagramCarousel/tree/claude/convert-images-jpg-5jeayb/content/2026-10-15-real-lips-real-results/images" TargetMode="External" Id="rId92" /><Relationship Type="http://schemas.openxmlformats.org/officeDocument/2006/relationships/hyperlink" Target="https://github.com/RepoKing23/InstagramCarousel/tree/claude/convert-images-jpg-5jeayb/content/2026-10-15-real-lips-real-results/images" TargetMode="External" Id="rId93" /><Relationship Type="http://schemas.openxmlformats.org/officeDocument/2006/relationships/hyperlink" Target="https://github.com/RepoKing23/InstagramCarousel/tree/claude/convert-images-jpg-5jeayb/content/2026-10-16-facial-balancing-101" TargetMode="External" Id="rId94" /><Relationship Type="http://schemas.openxmlformats.org/officeDocument/2006/relationships/hyperlink" Target="https://github.com/RepoKing23/InstagramCarousel/tree/claude/convert-images-jpg-5jeayb/content/2026-10-17-faq-how-much-filler-do" TargetMode="External" Id="rId95" /><Relationship Type="http://schemas.openxmlformats.org/officeDocument/2006/relationships/hyperlink" Target="https://github.com/RepoKing23/InstagramCarousel/tree/claude/convert-images-jpg-5jeayb/content/2026-10-19-filler-dissolves-here-is-the" TargetMode="External" Id="rId96" /><Relationship Type="http://schemas.openxmlformats.org/officeDocument/2006/relationships/hyperlink" Target="https://github.com/RepoKing23/InstagramCarousel/tree/claude/convert-images-jpg-5jeayb/content/2026-10-20-the-filler-timeline" TargetMode="External" Id="rId97" /><Relationship Type="http://schemas.openxmlformats.org/officeDocument/2006/relationships/hyperlink" Target="https://github.com/RepoKing23/InstagramCarousel/tree/claude/convert-images-jpg-5jeayb/content/2026-10-22-lip-filler-aftercare-your-first" TargetMode="External" Id="rId98" /><Relationship Type="http://schemas.openxmlformats.org/officeDocument/2006/relationships/hyperlink" Target="https://github.com/RepoKing23/InstagramCarousel/blob/claude/convert-images-jpg-5jeayb/content/2026-10-22-lip-filler-aftercare-your-first/images/day-zero-before-after.png?raw=1" TargetMode="External" Id="rId99" /><Relationship Type="http://schemas.openxmlformats.org/officeDocument/2006/relationships/hyperlink" Target="https://github.com/RepoKing23/InstagramCarousel/blob/claude/convert-images-jpg-5jeayb/content/2026-10-22-lip-filler-aftercare-your-first/images/day-zero-before-after.jpg?raw=1" TargetMode="External" Id="rId100" /><Relationship Type="http://schemas.openxmlformats.org/officeDocument/2006/relationships/hyperlink" Target="https://github.com/RepoKing23/InstagramCarousel/tree/claude/convert-images-jpg-5jeayb/content/2026-10-23-aftercare-essentials" TargetMode="External" Id="rId101" /><Relationship Type="http://schemas.openxmlformats.org/officeDocument/2006/relationships/hyperlink" Target="https://github.com/RepoKing23/InstagramCarousel/tree/claude/convert-images-jpg-5jeayb/content/2026-10-24-client-words-the-lip-glow" TargetMode="External" Id="rId102" /><Relationship Type="http://schemas.openxmlformats.org/officeDocument/2006/relationships/hyperlink" Target="https://github.com/RepoKing23/InstagramCarousel/blob/claude/convert-images-jpg-5jeayb/content/2026-10-24-client-words-the-lip-glow/images/before-after-result.png?raw=1" TargetMode="External" Id="rId103" /><Relationship Type="http://schemas.openxmlformats.org/officeDocument/2006/relationships/hyperlink" Target="https://github.com/RepoKing23/InstagramCarousel/blob/claude/convert-images-jpg-5jeayb/content/2026-10-24-client-words-the-lip-glow/images/before-after-result.jpg?raw=1" TargetMode="External" Id="rId104" /><Relationship Type="http://schemas.openxmlformats.org/officeDocument/2006/relationships/hyperlink" Target="https://github.com/RepoKing23/InstagramCarousel/tree/claude/convert-images-jpg-5jeayb/content/2026-10-26-5-filler-lies-you-still" TargetMode="External" Id="rId105" /><Relationship Type="http://schemas.openxmlformats.org/officeDocument/2006/relationships/hyperlink" Target="https://github.com/RepoKing23/InstagramCarousel/tree/claude/convert-images-jpg-5jeayb/content/2026-10-27-myth-vs-truth-filler-edition" TargetMode="External" Id="rId106" /><Relationship Type="http://schemas.openxmlformats.org/officeDocument/2006/relationships/hyperlink" Target="https://github.com/RepoKing23/InstagramCarousel/tree/claude/convert-images-jpg-5jeayb/content/2026-10-29-facial-balancing-why-we-treat" TargetMode="External" Id="rId107" /><Relationship Type="http://schemas.openxmlformats.org/officeDocument/2006/relationships/hyperlink" Target="https://github.com/RepoKing23/InstagramCarousel/tree/claude/convert-images-jpg-5jeayb/content/2026-10-30-one-syringe-balanced-lips" TargetMode="External" Id="rId108" /><Relationship Type="http://schemas.openxmlformats.org/officeDocument/2006/relationships/hyperlink" Target="https://github.com/RepoKing23/InstagramCarousel/blob/claude/convert-images-jpg-5jeayb/content/2026-10-30-one-syringe-balanced-lips/images/before-after-result.png?raw=1" TargetMode="External" Id="rId109" /><Relationship Type="http://schemas.openxmlformats.org/officeDocument/2006/relationships/hyperlink" Target="https://github.com/RepoKing23/InstagramCarousel/blob/claude/convert-images-jpg-5jeayb/content/2026-10-30-one-syringe-balanced-lips/images/before-after-result.jpg?raw=1" TargetMode="External" Id="rId110" /><Relationship Type="http://schemas.openxmlformats.org/officeDocument/2006/relationships/hyperlink" Target="https://github.com/RepoKing23/InstagramCarousel/tree/claude/convert-images-jpg-5jeayb/content/2026-10-31-ask-anything-filler-edition" TargetMode="External" Id="rId111" /><Relationship Type="http://schemas.openxmlformats.org/officeDocument/2006/relationships/hyperlink" Target="https://github.com/RepoKing23/InstagramCarousel/tree/claude/convert-images-jpg-5jeayb/content/2026-11-02-rested-by-the-holidays-your" TargetMode="External" Id="rId112" /><Relationship Type="http://schemas.openxmlformats.org/officeDocument/2006/relationships/hyperlink" Target="https://github.com/RepoKing23/InstagramCarousel/tree/claude/convert-images-jpg-5jeayb/content/2026-11-03-holiday-countdown-book-by-these" TargetMode="External" Id="rId113" /><Relationship Type="http://schemas.openxmlformats.org/officeDocument/2006/relationships/hyperlink" Target="https://github.com/RepoKing23/InstagramCarousel/tree/claude/convert-images-jpg-5jeayb/content/2026-11-05-party-season-prep-what-to" TargetMode="External" Id="rId114" /><Relationship Type="http://schemas.openxmlformats.org/officeDocument/2006/relationships/hyperlink" Target="https://github.com/RepoKing23/InstagramCarousel/tree/claude/convert-images-jpg-5jeayb/content/2026-11-06-one-result-every-angle" TargetMode="External" Id="rId115" /><Relationship Type="http://schemas.openxmlformats.org/officeDocument/2006/relationships/hyperlink" Target="https://github.com/RepoKing23/InstagramCarousel/tree/claude/convert-images-jpg-5jeayb/content/2026-11-06-one-result-every-angle/images" TargetMode="External" Id="rId116" /><Relationship Type="http://schemas.openxmlformats.org/officeDocument/2006/relationships/hyperlink" Target="https://github.com/RepoKing23/InstagramCarousel/tree/claude/convert-images-jpg-5jeayb/content/2026-11-06-one-result-every-angle/images" TargetMode="External" Id="rId117" /><Relationship Type="http://schemas.openxmlformats.org/officeDocument/2006/relationships/hyperlink" Target="https://github.com/RepoKing23/InstagramCarousel/tree/claude/convert-images-jpg-5jeayb/content/2026-11-07-quote-book-the-appointment" TargetMode="External" Id="rId118" /><Relationship Type="http://schemas.openxmlformats.org/officeDocument/2006/relationships/hyperlink" Target="https://github.com/RepoKing23/InstagramCarousel/tree/claude/convert-images-jpg-5jeayb/content/2026-11-09-the-gift-of-glow-gift" TargetMode="External" Id="rId119" /><Relationship Type="http://schemas.openxmlformats.org/officeDocument/2006/relationships/hyperlink" Target="https://github.com/RepoKing23/InstagramCarousel/tree/claude/convert-images-jpg-5jeayb/content/2026-11-10-gift-certificates-are-here" TargetMode="External" Id="rId120" /><Relationship Type="http://schemas.openxmlformats.org/officeDocument/2006/relationships/hyperlink" Target="https://github.com/RepoKing23/InstagramCarousel/tree/claude/convert-images-jpg-5jeayb/content/2026-11-12-3-months-of-honest-answers" TargetMode="External" Id="rId121" /><Relationship Type="http://schemas.openxmlformats.org/officeDocument/2006/relationships/hyperlink" Target="https://github.com/RepoKing23/InstagramCarousel/tree/claude/convert-images-jpg-5jeayb/content/2026-11-13-thank-you-3-months-of" TargetMode="External" Id="rId122" /><Relationship Type="http://schemas.openxmlformats.org/officeDocument/2006/relationships/hyperlink" Target="https://github.com/RepoKing23/InstagramCarousel/tree/claude/convert-images-jpg-5jeayb/content/2026-11-14-tag-someone-who-deserves-a" TargetMode="External" Id="rId123" /></Relationships>
</file>

<file path=xl/worksheets/sheet1.xml><?xml version="1.0" encoding="utf-8"?>
<worksheet xmlns="http://schemas.openxmlformats.org/spreadsheetml/2006/main">
  <sheetPr>
    <outlinePr summaryBelow="1" summaryRight="1"/>
    <pageSetUpPr/>
  </sheetPr>
  <dimension ref="B2:C43"/>
  <sheetViews>
    <sheetView showGridLines="0" workbookViewId="0">
      <selection activeCell="A1" sqref="A1"/>
    </sheetView>
  </sheetViews>
  <sheetFormatPr baseColWidth="8" defaultRowHeight="15"/>
  <cols>
    <col width="3" customWidth="1" style="14" min="1" max="1"/>
    <col width="22" customWidth="1" style="14" min="2" max="2"/>
    <col width="95" customWidth="1" style="14" min="3" max="3"/>
  </cols>
  <sheetData>
    <row r="2">
      <c r="B2" s="35" t="inlineStr">
        <is>
          <t>Luxury Beauty by Cleo R</t>
        </is>
      </c>
    </row>
    <row r="3">
      <c r="B3" s="36" t="inlineStr">
        <is>
          <t>Instagram + Google Business Profile content plan. Aug 17 to Nov 15, 2026. 13 weeks, 65 posts.</t>
        </is>
      </c>
    </row>
    <row r="5">
      <c r="B5" s="37" t="inlineStr">
        <is>
          <t>THE CLINIC</t>
        </is>
      </c>
      <c r="C5" s="38" t="n"/>
    </row>
    <row r="6">
      <c r="B6" s="22" t="inlineStr">
        <is>
          <t>Address</t>
        </is>
      </c>
      <c r="C6" s="24" t="inlineStr">
        <is>
          <t>3060 Preserve Dr, Oakville, ON L6M 4L9</t>
        </is>
      </c>
    </row>
    <row r="7">
      <c r="B7" s="22" t="inlineStr">
        <is>
          <t>Service area</t>
        </is>
      </c>
      <c r="C7" s="24" t="inlineStr">
        <is>
          <t>Oakville, Burlington, Milton, Mississauga</t>
        </is>
      </c>
    </row>
    <row r="8">
      <c r="B8" s="22" t="inlineStr">
        <is>
          <t>Instagram</t>
        </is>
      </c>
      <c r="C8" s="24" t="inlineStr">
        <is>
          <t>@luxury_beauty_aestheticz</t>
        </is>
      </c>
    </row>
    <row r="9">
      <c r="B9" s="22" t="inlineStr">
        <is>
          <t>Booking</t>
        </is>
      </c>
      <c r="C9" s="24" t="inlineStr">
        <is>
          <t>DM on Instagram for now. Swap every "Learn more" link once a booking page exists.</t>
        </is>
      </c>
    </row>
    <row r="11">
      <c r="B11" s="37" t="inlineStr">
        <is>
          <t>WEEKLY RHYTHM</t>
        </is>
      </c>
      <c r="C11" s="38" t="n"/>
    </row>
    <row r="12">
      <c r="B12" s="22" t="inlineStr">
        <is>
          <t>Monday</t>
        </is>
      </c>
      <c r="C12" s="24" t="inlineStr">
        <is>
          <t>Carousel, education pillar. The biggest post of the week.</t>
        </is>
      </c>
    </row>
    <row r="13">
      <c r="B13" s="22" t="inlineStr">
        <is>
          <t>Tuesday</t>
        </is>
      </c>
      <c r="C13" s="24" t="inlineStr">
        <is>
          <t>Single image with a strong hook. Cross-post to Facebook and TikTok.</t>
        </is>
      </c>
    </row>
    <row r="14">
      <c r="B14" s="22" t="inlineStr">
        <is>
          <t>Thursday</t>
        </is>
      </c>
      <c r="C14" s="24" t="inlineStr">
        <is>
          <t>Carousel: trust, proof or personality pillar.</t>
        </is>
      </c>
    </row>
    <row r="15">
      <c r="B15" s="22" t="inlineStr">
        <is>
          <t>Friday</t>
        </is>
      </c>
      <c r="C15" s="24" t="inlineStr">
        <is>
          <t>Single image with a strong hook. Cross-post to Facebook and TikTok.</t>
        </is>
      </c>
    </row>
    <row r="16">
      <c r="B16" s="22" t="inlineStr">
        <is>
          <t>Saturday</t>
        </is>
      </c>
      <c r="C16" s="24" t="inlineStr">
        <is>
          <t>Result, testimonial or engagement post.</t>
        </is>
      </c>
    </row>
    <row r="17">
      <c r="B17" s="22" t="inlineStr">
        <is>
          <t>Every post</t>
        </is>
      </c>
      <c r="C17" s="24" t="inlineStr">
        <is>
          <t>Also goes to Google Business Profile using the GBP columns, never the Instagram file.</t>
        </is>
      </c>
    </row>
    <row r="19">
      <c r="B19" s="37" t="inlineStr">
        <is>
          <t>WORKING THE SHEET</t>
        </is>
      </c>
      <c r="C19" s="38" t="n"/>
    </row>
    <row r="20">
      <c r="B20" s="22" t="inlineStr">
        <is>
          <t>1. Plan</t>
        </is>
      </c>
      <c r="C20" s="24" t="inlineStr">
        <is>
          <t>Everything is pre-filled in Posting Schedule. Adjust topics freely; check the Tone column before moving dates.</t>
        </is>
      </c>
    </row>
    <row r="21">
      <c r="B21" s="22" t="inlineStr">
        <is>
          <t>2. Design</t>
        </is>
      </c>
      <c r="C21" s="24" t="inlineStr">
        <is>
          <t>Ask Claude to build any post from its row. All of August is done.</t>
        </is>
      </c>
    </row>
    <row r="22">
      <c r="B22" s="22" t="inlineStr">
        <is>
          <t>3. Files</t>
        </is>
      </c>
      <c r="C22" s="24" t="inlineStr">
        <is>
          <t>Every post has a repo folder. Folder Link opens it, Image Link opens the artwork, Preview shows a live thumbnail once this file is in Google Sheets.</t>
        </is>
      </c>
    </row>
    <row r="23">
      <c r="B23" s="22" t="inlineStr">
        <is>
          <t>4. Post</t>
        </is>
      </c>
      <c r="C23" s="24" t="inlineStr">
        <is>
          <t>Instagram gets the caption and hashtags. GBP gets the GBP caption, the GBP image, and a button pointed at the Instagram profile.</t>
        </is>
      </c>
    </row>
    <row r="24">
      <c r="B24" s="22" t="inlineStr">
        <is>
          <t>5. Track</t>
        </is>
      </c>
      <c r="C24" s="24" t="inlineStr">
        <is>
          <t>Move Status as each post progresses: Idea, Design, Ready, Posted. Hold means blocked, see the row notes.</t>
        </is>
      </c>
    </row>
    <row r="25">
      <c r="B25" s="22" t="inlineStr">
        <is>
          <t>6. Measure</t>
        </is>
      </c>
      <c r="C25" s="24" t="inlineStr">
        <is>
          <t>After 48 hours fill Reach, Saves, Comments, DMs, Bookings from IG Insights. Saves and DMs are the numbers that matter.</t>
        </is>
      </c>
    </row>
    <row r="26">
      <c r="B26" s="22" t="inlineStr">
        <is>
          <t>7. Repeat</t>
        </is>
      </c>
      <c r="C26" s="24" t="inlineStr">
        <is>
          <t>Anything with high saves or DMs becomes next month’s sequel.</t>
        </is>
      </c>
    </row>
    <row r="28">
      <c r="B28" s="37" t="inlineStr">
        <is>
          <t>HOUSE RULES</t>
        </is>
      </c>
      <c r="C28" s="38" t="n"/>
    </row>
    <row r="29">
      <c r="B29" s="22" t="inlineStr">
        <is>
          <t>Client photos</t>
        </is>
      </c>
      <c r="C29" s="24" t="inlineStr">
        <is>
          <t>Written consent on file before anything is posted. Every photo is cropped to the treatment area: no eyes, brows, tattoos or jewellery. Always add "individual results vary". Never boost before and after posts on IG or TikTok; organic only.</t>
        </is>
      </c>
    </row>
    <row r="30">
      <c r="B30" s="22" t="inlineStr">
        <is>
          <t>Grid tone</t>
        </is>
      </c>
      <c r="C30" s="24" t="inlineStr">
        <is>
          <t>The profile grid runs three tiles per row, newest first. Keep exactly one Dark or Photo-dark tile per row and never let two Dark tiles touch. The Tone column tracks this; re-check it whenever a date moves.</t>
        </is>
      </c>
    </row>
    <row r="31">
      <c r="B31" s="22" t="inlineStr">
        <is>
          <t>GBP</t>
        </is>
      </c>
      <c r="C31" s="24" t="inlineStr">
        <is>
          <t>No hashtags on GBP, they do not work there. The offer goes in the first 80 characters. Images are 1200x900 with everything inside the centre 900x900 square, because Maps crops to a square.</t>
        </is>
      </c>
    </row>
    <row r="32">
      <c r="B32" s="22" t="inlineStr">
        <is>
          <t>Hashtags</t>
        </is>
      </c>
      <c r="C32" s="24" t="inlineStr">
        <is>
          <t>Every set leads with local tags (Oakville, Burlington, Milton, Mississauga, Halton). Location plus service is the highest-intent combination. Sets live on the Hashtag Sets tab.</t>
        </is>
      </c>
    </row>
    <row r="33">
      <c r="B33" s="22" t="inlineStr">
        <is>
          <t>Voice</t>
        </is>
      </c>
      <c r="C33" s="24" t="inlineStr">
        <is>
          <t>Plain, direct, first person. No em dashes, no sparkle emoji, no borrowed captions. If a line sounds like a template, rewrite it.</t>
        </is>
      </c>
    </row>
    <row r="34">
      <c r="B34" s="22" t="inlineStr">
        <is>
          <t>Compliance</t>
        </is>
      </c>
      <c r="C34" s="24" t="inlineStr">
        <is>
          <t>Botox is a prescription drug in Canada and Health Canada restricts consumer advertising of prescription drugs. The brand name in this plan is pending a compliance check; "neuromodulator" is the safe swap. Credentials read RN(EC), College of Nurses of Ontario.</t>
        </is>
      </c>
    </row>
    <row r="36">
      <c r="B36" s="37" t="inlineStr">
        <is>
          <t>STATUS SNAPSHOT</t>
        </is>
      </c>
      <c r="C36" s="38" t="n"/>
    </row>
    <row r="37">
      <c r="B37" s="22" t="inlineStr">
        <is>
          <t>Posts planned</t>
        </is>
      </c>
      <c r="C37" s="24">
        <f>COUNTA('Posting Schedule'!A2:A66)</f>
        <v/>
      </c>
    </row>
    <row r="38">
      <c r="B38" s="22" t="inlineStr">
        <is>
          <t>Ideas</t>
        </is>
      </c>
      <c r="C38" s="24">
        <f>COUNTIF('Posting Schedule'!S2:S66,"Idea")</f>
        <v/>
      </c>
    </row>
    <row r="39">
      <c r="B39" s="22" t="inlineStr">
        <is>
          <t>In design</t>
        </is>
      </c>
      <c r="C39" s="24">
        <f>COUNTIF('Posting Schedule'!S2:S66,"Design")</f>
        <v/>
      </c>
    </row>
    <row r="40">
      <c r="B40" s="22" t="inlineStr">
        <is>
          <t>Ready to post</t>
        </is>
      </c>
      <c r="C40" s="24">
        <f>COUNTIF('Posting Schedule'!S2:S66,"Ready")</f>
        <v/>
      </c>
    </row>
    <row r="41">
      <c r="B41" s="22" t="inlineStr">
        <is>
          <t>Posted</t>
        </is>
      </c>
      <c r="C41" s="24">
        <f>COUNTIF('Posting Schedule'!S2:S66,"Posted")</f>
        <v/>
      </c>
    </row>
    <row r="43">
      <c r="B43" s="22" t="inlineStr">
        <is>
          <t>Google Sheets</t>
        </is>
      </c>
      <c r="C43" s="24" t="inlineStr">
        <is>
          <t>drive.google.com &gt; New &gt; File upload &gt; pick this file &gt; open with Google Sheets. Preview thumbnails and links work there.</t>
        </is>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AB6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13" min="1" max="1"/>
    <col width="6" customWidth="1" style="13" min="2" max="3"/>
    <col width="20" customWidth="1" style="13" min="4" max="4"/>
    <col width="14" customWidth="1" style="13" min="5" max="5"/>
    <col width="10" customWidth="1" style="13" min="6" max="6"/>
    <col width="15" customWidth="1" style="13" min="7" max="7"/>
    <col width="42" customWidth="1" style="13" min="8" max="8"/>
    <col width="60" customWidth="1" style="13" min="9" max="9"/>
    <col width="22" customWidth="1" style="13" min="10" max="10"/>
    <col width="10" customWidth="1" style="13" min="11" max="11"/>
    <col width="34" customWidth="1" style="13" min="12" max="12"/>
    <col width="34" customWidth="1" style="13" min="13" max="13"/>
    <col width="14" customWidth="1" style="13" min="14" max="14"/>
    <col width="16" customWidth="1" style="13" min="15" max="15"/>
    <col width="46" customWidth="1" style="13" min="16" max="17"/>
    <col width="22" customWidth="1" style="14" min="17" max="17"/>
    <col width="10" customWidth="1" style="13" min="18" max="18"/>
    <col width="8" customWidth="1" style="13" min="19" max="19"/>
    <col width="10" customWidth="1" style="13" min="20" max="20"/>
    <col width="60" customWidth="1" style="14" min="24" max="24"/>
    <col width="26" customWidth="1" style="14" min="25" max="25"/>
    <col width="20" customWidth="1" style="14" min="26" max="26"/>
  </cols>
  <sheetData>
    <row r="1" ht="15" customHeight="1" s="14">
      <c r="A1" s="25" t="inlineStr">
        <is>
          <t>Date</t>
        </is>
      </c>
      <c r="B1" s="25" t="inlineStr">
        <is>
          <t>Day</t>
        </is>
      </c>
      <c r="C1" s="25" t="inlineStr">
        <is>
          <t>Week</t>
        </is>
      </c>
      <c r="D1" s="25" t="inlineStr">
        <is>
          <t>Month Theme</t>
        </is>
      </c>
      <c r="E1" s="25" t="inlineStr">
        <is>
          <t>Format</t>
        </is>
      </c>
      <c r="F1" s="26" t="inlineStr">
        <is>
          <t>Tone</t>
        </is>
      </c>
      <c r="G1" s="25" t="inlineStr">
        <is>
          <t>Platforms</t>
        </is>
      </c>
      <c r="H1" s="25" t="inlineStr">
        <is>
          <t>Pillar</t>
        </is>
      </c>
      <c r="I1" s="25" t="inlineStr">
        <is>
          <t>Topic &amp; Hook</t>
        </is>
      </c>
      <c r="J1" s="25" t="inlineStr">
        <is>
          <t>Caption Draft</t>
        </is>
      </c>
      <c r="K1" s="25" t="inlineStr">
        <is>
          <t>CTA</t>
        </is>
      </c>
      <c r="L1" s="25" t="inlineStr">
        <is>
          <t>Hashtag Set</t>
        </is>
      </c>
      <c r="M1" s="25" t="inlineStr">
        <is>
          <t>Visual / Asset</t>
        </is>
      </c>
      <c r="N1" s="26" t="inlineStr">
        <is>
          <t>Photo Assets</t>
        </is>
      </c>
      <c r="O1" s="26" t="inlineStr">
        <is>
          <t>Consent</t>
        </is>
      </c>
      <c r="P1" s="25" t="inlineStr">
        <is>
          <t>Folder Link</t>
        </is>
      </c>
      <c r="Q1" s="26" t="inlineStr">
        <is>
          <t>Image Link</t>
        </is>
      </c>
      <c r="R1" s="26" t="inlineStr">
        <is>
          <t>Preview</t>
        </is>
      </c>
      <c r="S1" s="25" t="inlineStr">
        <is>
          <t>Status</t>
        </is>
      </c>
      <c r="T1" s="25" t="inlineStr">
        <is>
          <t>Posted Link</t>
        </is>
      </c>
      <c r="U1" s="25" t="inlineStr">
        <is>
          <t>Reach</t>
        </is>
      </c>
      <c r="V1" s="25" t="inlineStr">
        <is>
          <t>Saves</t>
        </is>
      </c>
      <c r="W1" s="25" t="inlineStr">
        <is>
          <t>Comments</t>
        </is>
      </c>
      <c r="X1" s="25" t="inlineStr">
        <is>
          <t>DMs</t>
        </is>
      </c>
      <c r="Y1" s="25" t="inlineStr">
        <is>
          <t>Bookings</t>
        </is>
      </c>
      <c r="Z1" s="26" t="inlineStr">
        <is>
          <t>GBP Caption</t>
        </is>
      </c>
      <c r="AA1" s="26" t="inlineStr">
        <is>
          <t>GBP CTA</t>
        </is>
      </c>
      <c r="AB1" s="26" t="inlineStr">
        <is>
          <t>GBP Image Link</t>
        </is>
      </c>
    </row>
    <row r="2" ht="68.65000000000001" customHeight="1" s="14">
      <c r="A2" s="27" t="n">
        <v>46251</v>
      </c>
      <c r="B2" s="28" t="inlineStr">
        <is>
          <t>Mon</t>
        </is>
      </c>
      <c r="C2" s="28" t="n">
        <v>1</v>
      </c>
      <c r="D2" s="28" t="inlineStr">
        <is>
          <t>Botox, Honestly (Launch)</t>
        </is>
      </c>
      <c r="E2" s="28" t="inlineStr">
        <is>
          <t>Carousel</t>
        </is>
      </c>
      <c r="F2" s="24" t="inlineStr">
        <is>
          <t>Light</t>
        </is>
      </c>
      <c r="G2" s="28" t="inlineStr">
        <is>
          <t>Instagram feed + GBP</t>
        </is>
      </c>
      <c r="H2" s="28" t="inlineStr">
        <is>
          <t>Education</t>
        </is>
      </c>
      <c r="I2" s="28" t="inlineStr">
        <is>
          <t>5 Botox Lies You Still Believe | The truth, from a nurse injector.</t>
        </is>
      </c>
      <c r="J2" s="28"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K2" s="28" t="inlineStr">
        <is>
          <t>DM BOTOX or link in bio</t>
        </is>
      </c>
      <c r="L2" s="28" t="inlineStr">
        <is>
          <t>Set A</t>
        </is>
      </c>
      <c r="M2" s="28" t="inlineStr">
        <is>
          <t>READY: 8 final slides in this post's folder</t>
        </is>
      </c>
      <c r="N2" s="24" t="n"/>
      <c r="O2" s="24" t="inlineStr">
        <is>
          <t>https://github.com/RepoKing23/InstagramCarousel/tree/claude/convert-images-jpg-5jeayb/content/2026-08-17-5-botox-lies-you-still</t>
        </is>
      </c>
      <c r="P2" s="32" t="inlineStr">
        <is>
          <t>Open folder</t>
        </is>
      </c>
      <c r="Q2" s="33" t="inlineStr">
        <is>
          <t>View 8 slides (jpg)</t>
        </is>
      </c>
      <c r="R2" s="24">
        <f>IMAGE("https://raw.githubusercontent.com/RepoKing23/InstagramCarousel/claude/convert-images-jpg-5jeayb/content/2026-08-17-5-botox-lies-you-still/images/slide-1.jpg")</f>
        <v/>
      </c>
      <c r="S2" s="28" t="inlineStr">
        <is>
          <t>Ready</t>
        </is>
      </c>
      <c r="T2" s="28" t="n"/>
      <c r="U2" s="28" t="n"/>
      <c r="V2" s="28" t="n"/>
      <c r="W2" s="28" t="n"/>
      <c r="X2" s="28" t="n"/>
      <c r="Y2" s="28" t="n"/>
      <c r="Z2" s="24" t="n"/>
      <c r="AA2" s="24" t="inlineStr">
        <is>
          <t>https://github.com/RepoKing23/InstagramCarousel/blob/claude/convert-images-jpg-5jeayb/content/2026-08-17-5-botox-lies-you-still/images/gbp.png?raw=1</t>
        </is>
      </c>
      <c r="AB2" s="33" t="inlineStr">
        <is>
          <t>View GBP image (jpg)</t>
        </is>
      </c>
    </row>
    <row r="3" ht="57.45" customHeight="1" s="14">
      <c r="A3" s="29" t="n">
        <v>46252</v>
      </c>
      <c r="B3" s="30" t="inlineStr">
        <is>
          <t>Tue</t>
        </is>
      </c>
      <c r="C3" s="30" t="n">
        <v>1</v>
      </c>
      <c r="D3" s="30" t="inlineStr">
        <is>
          <t>Botox, Honestly (Launch)</t>
        </is>
      </c>
      <c r="E3" s="30" t="inlineStr">
        <is>
          <t>Single Image</t>
        </is>
      </c>
      <c r="F3" s="24" t="inlineStr">
        <is>
          <t>Photo</t>
        </is>
      </c>
      <c r="G3" s="30" t="inlineStr">
        <is>
          <t>IG + FB + TikTok photo + GBP</t>
        </is>
      </c>
      <c r="H3" s="30" t="inlineStr">
        <is>
          <t>Education</t>
        </is>
      </c>
      <c r="I3" s="30" t="inlineStr">
        <is>
          <t>Service Spotlight: Botox | Smooth, not frozen.</t>
        </is>
      </c>
      <c r="J3" s="30" t="inlineStr">
        <is>
          <t>Softened lines, full expression, and nobody can tell why you look so rested. That is Botox done right.
#botox #botoxeducation #botoxmyths #preventativebotox #antiwrinkleinjections #nurseinjector #medspa #naturalbotox #botoxbeforeandafter #aestheticnurse</t>
        </is>
      </c>
      <c r="K3" s="30" t="inlineStr">
        <is>
          <t>DM BOTOX to book</t>
        </is>
      </c>
      <c r="L3" s="30" t="inlineStr">
        <is>
          <t>Set A</t>
        </is>
      </c>
      <c r="M3" s="30" t="inlineStr">
        <is>
          <t>READY: final image in this post's folder</t>
        </is>
      </c>
      <c r="N3" s="24" t="n"/>
      <c r="O3" s="24" t="inlineStr">
        <is>
          <t>https://github.com/RepoKing23/InstagramCarousel/tree/claude/convert-images-jpg-5jeayb/content/2026-08-18-service-spotlight-botox</t>
        </is>
      </c>
      <c r="P3" s="34" t="inlineStr">
        <is>
          <t>Open folder</t>
        </is>
      </c>
      <c r="Q3" s="33" t="inlineStr">
        <is>
          <t>View image (jpg)</t>
        </is>
      </c>
      <c r="R3" s="24">
        <f>IMAGE("https://raw.githubusercontent.com/RepoKing23/InstagramCarousel/claude/convert-images-jpg-5jeayb/content/2026-08-18-service-spotlight-botox/images/post.jpg")</f>
        <v/>
      </c>
      <c r="S3" s="30" t="inlineStr">
        <is>
          <t>Ready</t>
        </is>
      </c>
      <c r="T3" s="30" t="n"/>
      <c r="U3" s="30" t="n"/>
      <c r="V3" s="30" t="n"/>
      <c r="W3" s="30" t="n"/>
      <c r="X3" s="30" t="n"/>
      <c r="Y3" s="30" t="n"/>
      <c r="Z3" s="24" t="n"/>
      <c r="AA3" s="24" t="inlineStr">
        <is>
          <t>https://github.com/RepoKing23/InstagramCarousel/blob/claude/convert-images-jpg-5jeayb/content/2026-08-18-service-spotlight-botox/images/gbp.png?raw=1</t>
        </is>
      </c>
      <c r="AB3" s="33" t="inlineStr">
        <is>
          <t>View GBP image (jpg)</t>
        </is>
      </c>
    </row>
    <row r="4" ht="68.65000000000001" customHeight="1" s="14">
      <c r="A4" s="27" t="n">
        <v>46254</v>
      </c>
      <c r="B4" s="28" t="inlineStr">
        <is>
          <t>Thu</t>
        </is>
      </c>
      <c r="C4" s="28" t="n">
        <v>1</v>
      </c>
      <c r="D4" s="28" t="inlineStr">
        <is>
          <t>Botox, Honestly (Launch)</t>
        </is>
      </c>
      <c r="E4" s="28" t="inlineStr">
        <is>
          <t>Carousel</t>
        </is>
      </c>
      <c r="F4" s="24" t="inlineStr">
        <is>
          <t>Light</t>
        </is>
      </c>
      <c r="G4" s="28" t="inlineStr">
        <is>
          <t>Instagram feed + GBP</t>
        </is>
      </c>
      <c r="H4" s="28" t="inlineStr">
        <is>
          <t>Trust &amp; Proof</t>
        </is>
      </c>
      <c r="I4" s="28" t="inlineStr">
        <is>
          <t>5 Red Flags at a Med Spa. Run. | Your face deserves better than a bargain.</t>
        </is>
      </c>
      <c r="J4" s="28"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K4" s="28" t="inlineStr">
        <is>
          <t>Save this before you book</t>
        </is>
      </c>
      <c r="L4" s="28" t="inlineStr">
        <is>
          <t>Set C</t>
        </is>
      </c>
      <c r="M4" s="28" t="inlineStr">
        <is>
          <t>Design in editorial template (sequel to Choosing the Right NP)</t>
        </is>
      </c>
      <c r="N4" s="24" t="n"/>
      <c r="O4" s="24" t="inlineStr">
        <is>
          <t>https://github.com/RepoKing23/InstagramCarousel/tree/claude/convert-images-jpg-5jeayb/content/2026-08-20-5-red-flags-at-a</t>
        </is>
      </c>
      <c r="P4" s="32" t="inlineStr">
        <is>
          <t>Open folder</t>
        </is>
      </c>
      <c r="Q4" s="33" t="inlineStr">
        <is>
          <t>View 7 slides (jpg)</t>
        </is>
      </c>
      <c r="R4" s="24">
        <f>IMAGE("https://raw.githubusercontent.com/RepoKing23/InstagramCarousel/claude/convert-images-jpg-5jeayb/content/2026-08-20-5-red-flags-at-a/images/slide-1.jpg")</f>
        <v/>
      </c>
      <c r="S4" s="28" t="inlineStr">
        <is>
          <t>Ready</t>
        </is>
      </c>
      <c r="T4" s="28" t="n"/>
      <c r="U4" s="28" t="n"/>
      <c r="V4" s="28" t="n"/>
      <c r="W4" s="28" t="n"/>
      <c r="X4" s="28" t="n"/>
      <c r="Y4" s="28" t="n"/>
      <c r="Z4" s="24" t="inlineStr">
        <is>
          <t>Five things to walk away from at a med spa: no consultation, bargain pricing, a provider who never says no, no named injector, and no plan for complications. Know them before you book anywhere. Serving Oakville, Burlington, Milton and Mississauga.</t>
        </is>
      </c>
      <c r="AA4" s="24" t="inlineStr">
        <is>
          <t>Learn more &gt; Instagram</t>
        </is>
      </c>
      <c r="AB4" s="33" t="inlineStr">
        <is>
          <t>View GBP image (jpg)</t>
        </is>
      </c>
    </row>
    <row r="5" ht="57.45" customHeight="1" s="14">
      <c r="A5" s="29" t="n">
        <v>46255</v>
      </c>
      <c r="B5" s="30" t="inlineStr">
        <is>
          <t>Fri</t>
        </is>
      </c>
      <c r="C5" s="30" t="n">
        <v>1</v>
      </c>
      <c r="D5" s="30" t="inlineStr">
        <is>
          <t>Botox, Honestly (Launch)</t>
        </is>
      </c>
      <c r="E5" s="30" t="inlineStr">
        <is>
          <t>Single Image</t>
        </is>
      </c>
      <c r="F5" s="24" t="inlineStr">
        <is>
          <t>Dark</t>
        </is>
      </c>
      <c r="G5" s="30" t="inlineStr">
        <is>
          <t>IG + FB + TikTok photo + GBP</t>
        </is>
      </c>
      <c r="H5" s="30" t="inlineStr">
        <is>
          <t>Personality &amp; BTS</t>
        </is>
      </c>
      <c r="I5" s="30" t="inlineStr">
        <is>
          <t>Behind the Scenes: The Prep | Zero shortcuts. Ever.</t>
        </is>
      </c>
      <c r="J5" s="30"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K5" s="30" t="inlineStr">
        <is>
          <t>Zero shortcuts. Ever.</t>
        </is>
      </c>
      <c r="L5" s="30" t="inlineStr">
        <is>
          <t>Set D</t>
        </is>
      </c>
      <c r="M5" s="30" t="inlineStr">
        <is>
          <t>prep tray photo + hook overlay</t>
        </is>
      </c>
      <c r="N5" s="24" t="n"/>
      <c r="O5" s="24" t="inlineStr">
        <is>
          <t>https://github.com/RepoKing23/InstagramCarousel/tree/claude/convert-images-jpg-5jeayb/content/2026-08-21-behind-the-scenes-the-prep</t>
        </is>
      </c>
      <c r="P5" s="34" t="inlineStr">
        <is>
          <t>Open folder</t>
        </is>
      </c>
      <c r="Q5" s="33" t="inlineStr">
        <is>
          <t>View image (jpg)</t>
        </is>
      </c>
      <c r="R5" s="24">
        <f>IMAGE("https://raw.githubusercontent.com/RepoKing23/InstagramCarousel/claude/convert-images-jpg-5jeayb/content/2026-08-21-behind-the-scenes-the-prep/images/post.jpg")</f>
        <v/>
      </c>
      <c r="S5" s="30" t="inlineStr">
        <is>
          <t>Ready</t>
        </is>
      </c>
      <c r="T5" s="30" t="n"/>
      <c r="U5" s="30" t="n"/>
      <c r="V5" s="30" t="n"/>
      <c r="W5" s="30" t="n"/>
      <c r="X5" s="30" t="n"/>
      <c r="Y5" s="30" t="n"/>
      <c r="Z5" s="24" t="inlineStr">
        <is>
          <t>Every appointment starts the same way. New tray, sealed product opened in front of you, and your face mapped while it moves so the plan fits how you actually move. Ask to watch. Serving Oakville, Burlington, Milton and Mississauga.</t>
        </is>
      </c>
      <c r="AA5" s="24" t="inlineStr">
        <is>
          <t>Learn more &gt; Instagram</t>
        </is>
      </c>
      <c r="AB5" s="33" t="inlineStr">
        <is>
          <t>View GBP image (jpg)</t>
        </is>
      </c>
    </row>
    <row r="6" ht="46.25" customHeight="1" s="14">
      <c r="A6" s="29" t="n">
        <v>46256</v>
      </c>
      <c r="B6" s="30" t="inlineStr">
        <is>
          <t>Sat</t>
        </is>
      </c>
      <c r="C6" s="30" t="n">
        <v>1</v>
      </c>
      <c r="D6" s="30" t="inlineStr">
        <is>
          <t>Botox, Honestly (Launch)</t>
        </is>
      </c>
      <c r="E6" s="30" t="inlineStr">
        <is>
          <t>Before/After</t>
        </is>
      </c>
      <c r="F6" s="24" t="inlineStr">
        <is>
          <t>Light</t>
        </is>
      </c>
      <c r="G6" s="30" t="inlineStr">
        <is>
          <t>IG + FB + TikTok photo + GBP</t>
        </is>
      </c>
      <c r="H6" s="30" t="inlineStr">
        <is>
          <t>Trust &amp; Proof</t>
        </is>
      </c>
      <c r="I6" s="30" t="inlineStr">
        <is>
          <t>Great Work Is Invisible | You were not supposed to notice.</t>
        </is>
      </c>
      <c r="J6" s="30"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K6" s="30" t="inlineStr">
        <is>
          <t>Message to book</t>
        </is>
      </c>
      <c r="L6" s="30" t="inlineStr">
        <is>
          <t>Set B</t>
        </is>
      </c>
      <c r="M6" s="30" t="inlineStr">
        <is>
          <t>Before and after card in editorial template. Crop to treatment area, no faces</t>
        </is>
      </c>
      <c r="N6" s="24" t="inlineStr">
        <is>
          <t>img_9908 (before), img_9912 (after)</t>
        </is>
      </c>
      <c r="O6" s="24" t="inlineStr">
        <is>
          <t>Not needed</t>
        </is>
      </c>
      <c r="P6" s="34" t="inlineStr">
        <is>
          <t>Open folder</t>
        </is>
      </c>
      <c r="Q6" s="33" t="inlineStr">
        <is>
          <t>View image (jpg)</t>
        </is>
      </c>
      <c r="R6" s="24">
        <f>IMAGE("https://raw.githubusercontent.com/RepoKing23/InstagramCarousel/claude/convert-images-jpg-5jeayb/content/2026-08-22-great-work-is-invisible/images/before-after-result.jpg")</f>
        <v/>
      </c>
      <c r="S6" s="30" t="inlineStr">
        <is>
          <t>Ready</t>
        </is>
      </c>
      <c r="T6" s="30" t="n"/>
      <c r="U6" s="30" t="n"/>
      <c r="V6" s="30" t="n"/>
      <c r="W6" s="30" t="n"/>
      <c r="X6" s="30" t="n"/>
      <c r="Y6" s="30" t="n"/>
      <c r="Z6" s="24" t="inlineStr">
        <is>
          <t>One syringe of lip filler, with her own lip shape kept exactly where it was. Natural results are the whole point of how we practise. Shared with client consent, individual results vary. Serving Oakville, Burlington, Milton and Mississauga.</t>
        </is>
      </c>
      <c r="AA6" s="24" t="inlineStr">
        <is>
          <t>Learn more &gt; Instagram</t>
        </is>
      </c>
      <c r="AB6" s="33" t="inlineStr">
        <is>
          <t>View GBP image (jpg)</t>
        </is>
      </c>
    </row>
    <row r="7" ht="57.45" customHeight="1" s="14">
      <c r="A7" s="27" t="n">
        <v>46258</v>
      </c>
      <c r="B7" s="28" t="inlineStr">
        <is>
          <t>Mon</t>
        </is>
      </c>
      <c r="C7" s="28" t="n">
        <v>2</v>
      </c>
      <c r="D7" s="28" t="inlineStr">
        <is>
          <t>Botox, Honestly (Launch)</t>
        </is>
      </c>
      <c r="E7" s="28" t="inlineStr">
        <is>
          <t>Carousel</t>
        </is>
      </c>
      <c r="F7" s="24" t="inlineStr">
        <is>
          <t>Light</t>
        </is>
      </c>
      <c r="G7" s="28" t="inlineStr">
        <is>
          <t>Instagram feed + GBP</t>
        </is>
      </c>
      <c r="H7" s="28" t="inlineStr">
        <is>
          <t>Education</t>
        </is>
      </c>
      <c r="I7" s="28" t="inlineStr">
        <is>
          <t>Your First Visit, Step by Step | Nervous about your first appointment? Here is exactly what happens.</t>
        </is>
      </c>
      <c r="J7" s="28"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K7" s="28" t="inlineStr">
        <is>
          <t>DM to book a consult</t>
        </is>
      </c>
      <c r="L7" s="28" t="inlineStr">
        <is>
          <t>Set A</t>
        </is>
      </c>
      <c r="M7" s="28" t="inlineStr">
        <is>
          <t>Design in editorial template + treatment room photos</t>
        </is>
      </c>
      <c r="N7" s="24" t="n"/>
      <c r="O7" s="24" t="inlineStr">
        <is>
          <t>https://github.com/RepoKing23/InstagramCarousel/tree/claude/convert-images-jpg-5jeayb/content/2026-08-24-your-first-visit-step-by</t>
        </is>
      </c>
      <c r="P7" s="32" t="inlineStr">
        <is>
          <t>Open folder</t>
        </is>
      </c>
      <c r="Q7" s="33" t="inlineStr">
        <is>
          <t>View 8 slides (jpg)</t>
        </is>
      </c>
      <c r="R7" s="24">
        <f>IMAGE("https://raw.githubusercontent.com/RepoKing23/InstagramCarousel/claude/convert-images-jpg-5jeayb/content/2026-08-24-your-first-visit-step-by/images/slide-1.jpg")</f>
        <v/>
      </c>
      <c r="S7" s="28" t="inlineStr">
        <is>
          <t>Ready</t>
        </is>
      </c>
      <c r="T7" s="28" t="n"/>
      <c r="U7" s="28" t="n"/>
      <c r="V7" s="28" t="n"/>
      <c r="W7" s="28" t="n"/>
      <c r="X7" s="28" t="n"/>
      <c r="Y7" s="28" t="n"/>
      <c r="Z7" s="24" t="inlineStr">
        <is>
          <t>Nervous about your first appointment? A real consultation, your face mapped in motion, then the areas and the price agreed before anything is opened. The treatment itself takes about ten minutes. Serving Oakville, Burlington, Milton and Mississauga.</t>
        </is>
      </c>
      <c r="AA7" s="24" t="inlineStr">
        <is>
          <t>Learn more &gt; Instagram</t>
        </is>
      </c>
      <c r="AB7" s="33" t="inlineStr">
        <is>
          <t>View GBP image (jpg)</t>
        </is>
      </c>
    </row>
    <row r="8" ht="57.45" customHeight="1" s="14">
      <c r="A8" s="29" t="n">
        <v>46259</v>
      </c>
      <c r="B8" s="30" t="inlineStr">
        <is>
          <t>Tue</t>
        </is>
      </c>
      <c r="C8" s="30" t="n">
        <v>2</v>
      </c>
      <c r="D8" s="30" t="inlineStr">
        <is>
          <t>Botox, Honestly (Launch)</t>
        </is>
      </c>
      <c r="E8" s="30" t="inlineStr">
        <is>
          <t>Single Image</t>
        </is>
      </c>
      <c r="F8" s="24" t="inlineStr">
        <is>
          <t>Dark</t>
        </is>
      </c>
      <c r="G8" s="30" t="inlineStr">
        <is>
          <t>IG + FB + TikTok photo + GBP</t>
        </is>
      </c>
      <c r="H8" s="30" t="inlineStr">
        <is>
          <t>Trust &amp; Proof</t>
        </is>
      </c>
      <c r="I8" s="30" t="inlineStr">
        <is>
          <t>Why I Do Not Post Prices | Every clinic gets this DM. Almost nobody answers it honestly.</t>
        </is>
      </c>
      <c r="J8" s="30"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K8" s="30" t="inlineStr">
        <is>
          <t>DM the word PRICE</t>
        </is>
      </c>
      <c r="L8" s="30" t="inlineStr">
        <is>
          <t>Set C</t>
        </is>
      </c>
      <c r="M8" s="30" t="inlineStr">
        <is>
          <t>Single image, dark variant. Type led, no photo</t>
        </is>
      </c>
      <c r="N8" s="24" t="n"/>
      <c r="O8" s="24" t="inlineStr">
        <is>
          <t>https://github.com/RepoKing23/InstagramCarousel/tree/claude/convert-images-jpg-5jeayb/content/2026-08-25-why-i-do-not-post</t>
        </is>
      </c>
      <c r="P8" s="34" t="inlineStr">
        <is>
          <t>Open folder</t>
        </is>
      </c>
      <c r="Q8" s="33" t="inlineStr">
        <is>
          <t>View image (jpg)</t>
        </is>
      </c>
      <c r="R8" s="24">
        <f>IMAGE("https://raw.githubusercontent.com/RepoKing23/InstagramCarousel/claude/convert-images-jpg-5jeayb/content/2026-08-25-why-i-do-not-post/images/post.jpg")</f>
        <v/>
      </c>
      <c r="S8" s="30" t="inlineStr">
        <is>
          <t>Ready</t>
        </is>
      </c>
      <c r="T8" s="30" t="n"/>
      <c r="U8" s="30" t="n"/>
      <c r="V8" s="30" t="n"/>
      <c r="W8" s="30" t="n"/>
      <c r="X8" s="30" t="n"/>
      <c r="Y8" s="30" t="n"/>
      <c r="Z8" s="24" t="inlineStr">
        <is>
          <t>Why we do not post a price list. Doses differ from face to face, so one flat price either overcharges you or under treats you. You get a written number at your consult, before anything is opened. Serving Oakville, Burlington, Milton and Mississauga.</t>
        </is>
      </c>
      <c r="AA8" s="24" t="inlineStr">
        <is>
          <t>Learn more &gt; Instagram</t>
        </is>
      </c>
      <c r="AB8" s="33" t="inlineStr">
        <is>
          <t>View GBP image (jpg)</t>
        </is>
      </c>
    </row>
    <row r="9" ht="57.45" customHeight="1" s="14">
      <c r="A9" s="27" t="n">
        <v>46261</v>
      </c>
      <c r="B9" s="28" t="inlineStr">
        <is>
          <t>Thu</t>
        </is>
      </c>
      <c r="C9" s="28" t="n">
        <v>2</v>
      </c>
      <c r="D9" s="28" t="inlineStr">
        <is>
          <t>Botox, Honestly (Launch)</t>
        </is>
      </c>
      <c r="E9" s="28" t="inlineStr">
        <is>
          <t>Carousel</t>
        </is>
      </c>
      <c r="F9" s="24" t="inlineStr">
        <is>
          <t>Photo</t>
        </is>
      </c>
      <c r="G9" s="28" t="inlineStr">
        <is>
          <t>Instagram feed + GBP</t>
        </is>
      </c>
      <c r="H9" s="28" t="inlineStr">
        <is>
          <t>Personality &amp; BTS</t>
        </is>
      </c>
      <c r="I9" s="28" t="inlineStr">
        <is>
          <t>Meet NP Cleo: The Face Behind the Glow | Real education. Real results. Real care.</t>
        </is>
      </c>
      <c r="J9" s="28"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K9" s="28" t="inlineStr">
        <is>
          <t>DM the word CONSULT</t>
        </is>
      </c>
      <c r="L9" s="28" t="inlineStr">
        <is>
          <t>Set D</t>
        </is>
      </c>
      <c r="M9" s="28" t="inlineStr">
        <is>
          <t>Portrait photos of Cleo (reuse cleo.png + new shots)</t>
        </is>
      </c>
      <c r="N9" s="24" t="n"/>
      <c r="O9" s="24" t="inlineStr">
        <is>
          <t>https://github.com/RepoKing23/InstagramCarousel/tree/claude/convert-images-jpg-5jeayb/content/2026-08-27-meet-np-cleo-the-face</t>
        </is>
      </c>
      <c r="P9" s="32" t="inlineStr">
        <is>
          <t>Open folder</t>
        </is>
      </c>
      <c r="Q9" s="33" t="inlineStr">
        <is>
          <t>View 5 slides (jpg)</t>
        </is>
      </c>
      <c r="R9" s="24">
        <f>IMAGE("https://raw.githubusercontent.com/RepoKing23/InstagramCarousel/claude/convert-images-jpg-5jeayb/content/2026-08-27-meet-np-cleo-the-face/images/slide-1.jpg")</f>
        <v/>
      </c>
      <c r="S9" s="28" t="inlineStr">
        <is>
          <t>Ready</t>
        </is>
      </c>
      <c r="T9" s="28" t="n"/>
      <c r="U9" s="28" t="n"/>
      <c r="V9" s="28" t="n"/>
      <c r="W9" s="28" t="n"/>
      <c r="X9" s="28" t="n"/>
      <c r="Y9" s="28" t="n"/>
      <c r="Z9" s="24" t="inlineStr">
        <is>
          <t>Meet NP Cleo. Nurse practitioner and injector, and the person who will tell you no when the honest answer is not yet. Every appointment is injected by Cleo, never delegated. Serving Oakville, Burlington, Milton and Mississauga.</t>
        </is>
      </c>
      <c r="AA9" s="24" t="inlineStr">
        <is>
          <t>Learn more &gt; Instagram</t>
        </is>
      </c>
      <c r="AB9" s="33" t="inlineStr">
        <is>
          <t>View GBP image (jpg)</t>
        </is>
      </c>
    </row>
    <row r="10" ht="46.25" customHeight="1" s="14">
      <c r="A10" s="29" t="n">
        <v>46262</v>
      </c>
      <c r="B10" s="30" t="inlineStr">
        <is>
          <t>Fri</t>
        </is>
      </c>
      <c r="C10" s="30" t="n">
        <v>2</v>
      </c>
      <c r="D10" s="30" t="inlineStr">
        <is>
          <t>Botox, Honestly (Launch)</t>
        </is>
      </c>
      <c r="E10" s="30" t="inlineStr">
        <is>
          <t>Single Image</t>
        </is>
      </c>
      <c r="F10" s="24" t="inlineStr">
        <is>
          <t>Dark</t>
        </is>
      </c>
      <c r="G10" s="30" t="inlineStr">
        <is>
          <t>IG + FB + TikTok photo + GBP</t>
        </is>
      </c>
      <c r="H10" s="30" t="inlineStr">
        <is>
          <t>Personality &amp; BTS</t>
        </is>
      </c>
      <c r="I10" s="30" t="inlineStr">
        <is>
          <t>Welcome to the Treatment Room | Where calm meets careful.</t>
        </is>
      </c>
      <c r="J10" s="30"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K10" s="30" t="inlineStr">
        <is>
          <t>Come see it</t>
        </is>
      </c>
      <c r="L10" s="30" t="inlineStr">
        <is>
          <t>Set D</t>
        </is>
      </c>
      <c r="M10" s="30" t="inlineStr">
        <is>
          <t>Single image, dark photo led. Uses botox-prep.png framed on the room</t>
        </is>
      </c>
      <c r="N10" s="24" t="n"/>
      <c r="O10" s="24" t="inlineStr">
        <is>
          <t>https://github.com/RepoKing23/InstagramCarousel/tree/claude/convert-images-jpg-5jeayb/content/2026-08-28-welcome-to-the-treatment-room</t>
        </is>
      </c>
      <c r="P10" s="34" t="inlineStr">
        <is>
          <t>Open folder</t>
        </is>
      </c>
      <c r="Q10" s="33" t="inlineStr">
        <is>
          <t>View image (jpg)</t>
        </is>
      </c>
      <c r="R10" s="24">
        <f>IMAGE("https://raw.githubusercontent.com/RepoKing23/InstagramCarousel/claude/convert-images-jpg-5jeayb/content/2026-08-28-welcome-to-the-treatment-room/images/post.jpg")</f>
        <v/>
      </c>
      <c r="S10" s="30" t="inlineStr">
        <is>
          <t>Ready</t>
        </is>
      </c>
      <c r="T10" s="30" t="n"/>
      <c r="U10" s="30" t="n"/>
      <c r="V10" s="30" t="n"/>
      <c r="W10" s="30" t="n"/>
      <c r="X10" s="30" t="n"/>
      <c r="Y10" s="30" t="n"/>
      <c r="Z10" s="24" t="inlineStr">
        <is>
          <t>One client in the treatment room at a time. Nobody rushes the person before you, so nobody rushes you. Questions welcome, and a plan agreed before anything happens. Serving Oakville, Burlington, Milton and Mississauga.</t>
        </is>
      </c>
      <c r="AA10" s="24" t="inlineStr">
        <is>
          <t>Learn more &gt; Instagram</t>
        </is>
      </c>
      <c r="AB10" s="33" t="inlineStr">
        <is>
          <t>View GBP image (jpg)</t>
        </is>
      </c>
    </row>
    <row r="11" ht="46.25" customHeight="1" s="14">
      <c r="A11" s="29" t="n">
        <v>46263</v>
      </c>
      <c r="B11" s="30" t="inlineStr">
        <is>
          <t>Sat</t>
        </is>
      </c>
      <c r="C11" s="30" t="n">
        <v>2</v>
      </c>
      <c r="D11" s="30" t="inlineStr">
        <is>
          <t>Botox, Honestly (Launch)</t>
        </is>
      </c>
      <c r="E11" s="30" t="inlineStr">
        <is>
          <t>Single Image</t>
        </is>
      </c>
      <c r="F11" s="24" t="inlineStr">
        <is>
          <t>Light</t>
        </is>
      </c>
      <c r="G11" s="30" t="inlineStr">
        <is>
          <t>IG + FB + TikTok photo + GBP</t>
        </is>
      </c>
      <c r="H11" s="30" t="inlineStr">
        <is>
          <t>Trust &amp; Proof</t>
        </is>
      </c>
      <c r="I11" s="30" t="inlineStr">
        <is>
          <t>This or That: Rested vs Frozen | If people ask what you had done, the dose was wrong.</t>
        </is>
      </c>
      <c r="J11" s="30"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K11" s="30" t="inlineStr">
        <is>
          <t>Which one do you want?</t>
        </is>
      </c>
      <c r="L11" s="30" t="inlineStr">
        <is>
          <t>Set C</t>
        </is>
      </c>
      <c r="M11" s="30" t="inlineStr">
        <is>
          <t>Two-panel comparison card in brand style</t>
        </is>
      </c>
      <c r="N11" s="24" t="n"/>
      <c r="O11" s="24" t="inlineStr">
        <is>
          <t>https://github.com/RepoKing23/InstagramCarousel/tree/claude/convert-images-jpg-5jeayb/content/2026-08-29-this-or-that-rested-vs</t>
        </is>
      </c>
      <c r="P11" s="34" t="inlineStr">
        <is>
          <t>Open folder</t>
        </is>
      </c>
      <c r="Q11" s="33" t="inlineStr">
        <is>
          <t>View image (jpg)</t>
        </is>
      </c>
      <c r="R11" s="24">
        <f>IMAGE("https://raw.githubusercontent.com/RepoKing23/InstagramCarousel/claude/convert-images-jpg-5jeayb/content/2026-08-29-this-or-that-rested-vs/images/post.jpg")</f>
        <v/>
      </c>
      <c r="S11" s="30" t="inlineStr">
        <is>
          <t>Ready</t>
        </is>
      </c>
      <c r="T11" s="30" t="n"/>
      <c r="U11" s="30" t="n"/>
      <c r="V11" s="30" t="n"/>
      <c r="W11" s="30" t="n"/>
      <c r="X11" s="30" t="n"/>
      <c r="Y11" s="30" t="n"/>
      <c r="Z11" s="24" t="inlineStr">
        <is>
          <t>Rested, not frozen. You should still frown, squint and smile. If people ask what you had done instead of whether you slept well, the dose was wrong. Serving Oakville, Burlington, Milton and Mississauga.</t>
        </is>
      </c>
      <c r="AA11" s="24" t="inlineStr">
        <is>
          <t>Learn more &gt; Instagram</t>
        </is>
      </c>
      <c r="AB11" s="33" t="inlineStr">
        <is>
          <t>View GBP image (jpg)</t>
        </is>
      </c>
    </row>
    <row r="12" ht="57.45" customHeight="1" s="14">
      <c r="A12" s="27" t="n">
        <v>46265</v>
      </c>
      <c r="B12" s="28" t="inlineStr">
        <is>
          <t>Mon</t>
        </is>
      </c>
      <c r="C12" s="28" t="n">
        <v>3</v>
      </c>
      <c r="D12" s="28" t="inlineStr">
        <is>
          <t>Botox, Honestly (Launch)</t>
        </is>
      </c>
      <c r="E12" s="28" t="inlineStr">
        <is>
          <t>Carousel</t>
        </is>
      </c>
      <c r="F12" s="24" t="inlineStr">
        <is>
          <t>Photo</t>
        </is>
      </c>
      <c r="G12" s="28" t="inlineStr">
        <is>
          <t>Instagram feed + GBP</t>
        </is>
      </c>
      <c r="H12" s="28" t="inlineStr">
        <is>
          <t>Education</t>
        </is>
      </c>
      <c r="I12" s="28" t="inlineStr">
        <is>
          <t>Preventative Botox: When to Actually Start | Your friend who never seems to age? This is why.</t>
        </is>
      </c>
      <c r="J12" s="28"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K12" s="28" t="inlineStr">
        <is>
          <t>DM the word START</t>
        </is>
      </c>
      <c r="L12" s="28" t="inlineStr">
        <is>
          <t>Set A</t>
        </is>
      </c>
      <c r="M12" s="28" t="inlineStr">
        <is>
          <t>Carousel, 7 slides. Photo cover using smile-portrait.png</t>
        </is>
      </c>
      <c r="N12" s="24" t="n"/>
      <c r="O12" s="24" t="inlineStr">
        <is>
          <t>https://github.com/RepoKing23/InstagramCarousel/tree/claude/convert-images-jpg-5jeayb/content/2026-08-31-preventative-botox-when-to-actually</t>
        </is>
      </c>
      <c r="P12" s="32" t="inlineStr">
        <is>
          <t>Open folder</t>
        </is>
      </c>
      <c r="Q12" s="33" t="inlineStr">
        <is>
          <t>View 7 slides (jpg)</t>
        </is>
      </c>
      <c r="R12" s="24">
        <f>IMAGE("https://raw.githubusercontent.com/RepoKing23/InstagramCarousel/claude/convert-images-jpg-5jeayb/content/2026-08-31-preventative-botox-when-to-actually/images/slide-1.jpg")</f>
        <v/>
      </c>
      <c r="S12" s="28" t="inlineStr">
        <is>
          <t>Ready</t>
        </is>
      </c>
      <c r="T12" s="28" t="n"/>
      <c r="U12" s="28" t="n"/>
      <c r="V12" s="28" t="n"/>
      <c r="W12" s="28" t="n"/>
      <c r="X12" s="28" t="n"/>
      <c r="Y12" s="28" t="n"/>
      <c r="Z12" s="24" t="inlineStr">
        <is>
          <t>When should you actually start preventative treatment? It is not about your age. Make your strongest expression, then relax completely. A line that stays is one that is setting in. Serving Oakville, Burlington, Milton and Mississauga.</t>
        </is>
      </c>
      <c r="AA12" s="24" t="inlineStr">
        <is>
          <t>Learn more &gt; Instagram</t>
        </is>
      </c>
      <c r="AB12" s="33" t="inlineStr">
        <is>
          <t>View GBP image (jpg)</t>
        </is>
      </c>
    </row>
    <row r="13" ht="57.45" customHeight="1" s="14">
      <c r="A13" s="29" t="n">
        <v>46266</v>
      </c>
      <c r="B13" s="30" t="inlineStr">
        <is>
          <t>Tue</t>
        </is>
      </c>
      <c r="C13" s="30" t="n">
        <v>3</v>
      </c>
      <c r="D13" s="30" t="inlineStr">
        <is>
          <t>Botox Education Month</t>
        </is>
      </c>
      <c r="E13" s="30" t="inlineStr">
        <is>
          <t>Single Image</t>
        </is>
      </c>
      <c r="F13" s="24" t="inlineStr">
        <is>
          <t>Dark</t>
        </is>
      </c>
      <c r="G13" s="30" t="inlineStr">
        <is>
          <t>IG + FB + TikTok photo + GBP</t>
        </is>
      </c>
      <c r="H13" s="30" t="inlineStr">
        <is>
          <t>Education</t>
        </is>
      </c>
      <c r="I13" s="30" t="inlineStr">
        <is>
          <t>Service Spotlight: Preventative Botox | Start before the lines do.</t>
        </is>
      </c>
      <c r="J13" s="30" t="inlineStr">
        <is>
          <t>The friend who never seems to age did not find a miracle cream. She started early and kept it subtle.
#botox #botoxeducation #botoxmyths #preventativebotox #antiwrinkleinjections #nurseinjector #medspa #naturalbotox #botoxbeforeandafter #aestheticnurse</t>
        </is>
      </c>
      <c r="K13" s="30" t="inlineStr">
        <is>
          <t>DM PREVENT to talk</t>
        </is>
      </c>
      <c r="L13" s="30" t="inlineStr">
        <is>
          <t>Set A</t>
        </is>
      </c>
      <c r="M13" s="30" t="inlineStr">
        <is>
          <t>Single image: young client or product photo + hook</t>
        </is>
      </c>
      <c r="N13" s="24" t="n"/>
      <c r="O13" s="24" t="inlineStr">
        <is>
          <t>https://github.com/RepoKing23/InstagramCarousel/tree/claude/convert-images-jpg-5jeayb/content/2026-09-01-service-spotlight-preventative-botox</t>
        </is>
      </c>
      <c r="P13" s="34" t="inlineStr">
        <is>
          <t>Open folder</t>
        </is>
      </c>
      <c r="Q13" s="24" t="inlineStr">
        <is>
          <t>Not designed yet</t>
        </is>
      </c>
      <c r="R13" s="24" t="n"/>
      <c r="S13" s="30" t="inlineStr">
        <is>
          <t>Idea</t>
        </is>
      </c>
      <c r="T13" s="30" t="n"/>
      <c r="U13" s="30" t="n"/>
      <c r="V13" s="30" t="n"/>
      <c r="W13" s="30" t="n"/>
      <c r="X13" s="30" t="n"/>
      <c r="Y13" s="30" t="n"/>
      <c r="Z13" s="24" t="n"/>
      <c r="AA13" s="24" t="n"/>
      <c r="AB13" s="24" t="inlineStr">
        <is>
          <t>Not designed yet</t>
        </is>
      </c>
    </row>
    <row r="14" ht="57.45" customHeight="1" s="14">
      <c r="A14" s="27" t="n">
        <v>46268</v>
      </c>
      <c r="B14" s="28" t="inlineStr">
        <is>
          <t>Thu</t>
        </is>
      </c>
      <c r="C14" s="28" t="n">
        <v>3</v>
      </c>
      <c r="D14" s="28" t="inlineStr">
        <is>
          <t>Botox Education Month</t>
        </is>
      </c>
      <c r="E14" s="28" t="inlineStr">
        <is>
          <t>Carousel</t>
        </is>
      </c>
      <c r="F14" s="24" t="inlineStr">
        <is>
          <t>Light</t>
        </is>
      </c>
      <c r="G14" s="28" t="inlineStr">
        <is>
          <t>Instagram feed + GBP</t>
        </is>
      </c>
      <c r="H14" s="28" t="inlineStr">
        <is>
          <t>Education</t>
        </is>
      </c>
      <c r="I14" s="28" t="inlineStr">
        <is>
          <t>What 20 Units Actually Looks Like | Unit math, finally explained.</t>
        </is>
      </c>
      <c r="J14" s="28"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K14" s="28" t="inlineStr">
        <is>
          <t>Save this for your consult</t>
        </is>
      </c>
      <c r="L14" s="28" t="inlineStr">
        <is>
          <t>Set A</t>
        </is>
      </c>
      <c r="M14" s="28" t="inlineStr">
        <is>
          <t>Design in editorial template + dosing diagram</t>
        </is>
      </c>
      <c r="N14" s="24" t="n"/>
      <c r="O14" s="24" t="inlineStr">
        <is>
          <t>https://github.com/RepoKing23/InstagramCarousel/tree/claude/convert-images-jpg-5jeayb/content/2026-09-03-what-20-units-actually-looks</t>
        </is>
      </c>
      <c r="P14" s="32" t="inlineStr">
        <is>
          <t>Open folder</t>
        </is>
      </c>
      <c r="Q14" s="24" t="inlineStr">
        <is>
          <t>Not designed yet</t>
        </is>
      </c>
      <c r="R14" s="24" t="n"/>
      <c r="S14" s="28" t="inlineStr">
        <is>
          <t>Idea</t>
        </is>
      </c>
      <c r="T14" s="28" t="n"/>
      <c r="U14" s="28" t="n"/>
      <c r="V14" s="28" t="n"/>
      <c r="W14" s="28" t="n"/>
      <c r="X14" s="28" t="n"/>
      <c r="Y14" s="28" t="n"/>
      <c r="Z14" s="24" t="n"/>
      <c r="AA14" s="24" t="n"/>
      <c r="AB14" s="24" t="inlineStr">
        <is>
          <t>Not designed yet</t>
        </is>
      </c>
    </row>
    <row r="15" ht="57.45" customHeight="1" s="14">
      <c r="A15" s="29" t="n">
        <v>46269</v>
      </c>
      <c r="B15" s="30" t="inlineStr">
        <is>
          <t>Fri</t>
        </is>
      </c>
      <c r="C15" s="30" t="n">
        <v>3</v>
      </c>
      <c r="D15" s="30" t="inlineStr">
        <is>
          <t>Botox Education Month</t>
        </is>
      </c>
      <c r="E15" s="30" t="inlineStr">
        <is>
          <t>Single Image</t>
        </is>
      </c>
      <c r="F15" s="24" t="inlineStr">
        <is>
          <t>Light</t>
        </is>
      </c>
      <c r="G15" s="30" t="inlineStr">
        <is>
          <t>IG + FB + TikTok photo + GBP</t>
        </is>
      </c>
      <c r="H15" s="30" t="inlineStr">
        <is>
          <t>Personality &amp; BTS</t>
        </is>
      </c>
      <c r="I15" s="30" t="inlineStr">
        <is>
          <t>Meet Your Injector | RN(EC). Botox obsessed. Brutally honest.</t>
        </is>
      </c>
      <c r="J15" s="30" t="inlineStr">
        <is>
          <t>Your face deserves a nurse practitioner who tells the truth about what you need and what you do not. Hi, I am Cleo. 💛
#npinjector #nursepractitioner #medspalife #luxurybeauty #aestheticnurse #skincareexpert #beautyclinic #selfcare #naturalresults #honestbeauty</t>
        </is>
      </c>
      <c r="K15" s="30" t="inlineStr">
        <is>
          <t>Say hi in the comments</t>
        </is>
      </c>
      <c r="L15" s="30" t="inlineStr">
        <is>
          <t>Set C</t>
        </is>
      </c>
      <c r="M15" s="30" t="inlineStr">
        <is>
          <t>Single image: Cleo portrait + credentials hook</t>
        </is>
      </c>
      <c r="N15" s="24" t="n"/>
      <c r="O15" s="24" t="inlineStr">
        <is>
          <t>https://github.com/RepoKing23/InstagramCarousel/tree/claude/convert-images-jpg-5jeayb/content/2026-09-04-meet-your-injector</t>
        </is>
      </c>
      <c r="P15" s="34" t="inlineStr">
        <is>
          <t>Open folder</t>
        </is>
      </c>
      <c r="Q15" s="24" t="inlineStr">
        <is>
          <t>Not designed yet</t>
        </is>
      </c>
      <c r="R15" s="24" t="n"/>
      <c r="S15" s="30" t="inlineStr">
        <is>
          <t>Idea</t>
        </is>
      </c>
      <c r="T15" s="30" t="n"/>
      <c r="U15" s="30" t="n"/>
      <c r="V15" s="30" t="n"/>
      <c r="W15" s="30" t="n"/>
      <c r="X15" s="30" t="n"/>
      <c r="Y15" s="30" t="n"/>
      <c r="Z15" s="24" t="n"/>
      <c r="AA15" s="24" t="n"/>
      <c r="AB15" s="24" t="inlineStr">
        <is>
          <t>Not designed yet</t>
        </is>
      </c>
    </row>
    <row r="16" ht="46.25" customHeight="1" s="14">
      <c r="A16" s="29" t="n">
        <v>46270</v>
      </c>
      <c r="B16" s="30" t="inlineStr">
        <is>
          <t>Sat</t>
        </is>
      </c>
      <c r="C16" s="30" t="n">
        <v>3</v>
      </c>
      <c r="D16" s="30" t="inlineStr">
        <is>
          <t>Botox Education Month</t>
        </is>
      </c>
      <c r="E16" s="30" t="inlineStr">
        <is>
          <t>Single Image</t>
        </is>
      </c>
      <c r="F16" s="24" t="inlineStr">
        <is>
          <t>Light</t>
        </is>
      </c>
      <c r="G16" s="30" t="inlineStr">
        <is>
          <t>IG + FB + TikTok photo + GBP</t>
        </is>
      </c>
      <c r="H16" s="30" t="inlineStr">
        <is>
          <t>Education</t>
        </is>
      </c>
      <c r="I16" s="30" t="inlineStr">
        <is>
          <t>Quote: Prevention Beats Erasing | Prevention beats erasing. Ask your friend who started early.</t>
        </is>
      </c>
      <c r="J16" s="30" t="inlineStr">
        <is>
          <t>Lines are easier to prevent than to erase. Save this reminder.
#npinjector #nursepractitioner #medspalife #luxurybeauty #aestheticnurse #skincareexpert #beautyclinic #selfcare #naturalresults #honestbeauty</t>
        </is>
      </c>
      <c r="K16" s="30" t="inlineStr">
        <is>
          <t>Save this</t>
        </is>
      </c>
      <c r="L16" s="30" t="inlineStr">
        <is>
          <t>Set C</t>
        </is>
      </c>
      <c r="M16" s="30" t="inlineStr">
        <is>
          <t>Quote card in brand style</t>
        </is>
      </c>
      <c r="N16" s="24" t="n"/>
      <c r="O16" s="24" t="inlineStr">
        <is>
          <t>https://github.com/RepoKing23/InstagramCarousel/tree/claude/convert-images-jpg-5jeayb/content/2026-09-05-quote-prevention-beats-erasing</t>
        </is>
      </c>
      <c r="P16" s="34" t="inlineStr">
        <is>
          <t>Open folder</t>
        </is>
      </c>
      <c r="Q16" s="24" t="inlineStr">
        <is>
          <t>Not designed yet</t>
        </is>
      </c>
      <c r="R16" s="24" t="n"/>
      <c r="S16" s="30" t="inlineStr">
        <is>
          <t>Idea</t>
        </is>
      </c>
      <c r="T16" s="30" t="n"/>
      <c r="U16" s="30" t="n"/>
      <c r="V16" s="30" t="n"/>
      <c r="W16" s="30" t="n"/>
      <c r="X16" s="30" t="n"/>
      <c r="Y16" s="30" t="n"/>
      <c r="Z16" s="24" t="n"/>
      <c r="AA16" s="24" t="n"/>
      <c r="AB16" s="24" t="inlineStr">
        <is>
          <t>Not designed yet</t>
        </is>
      </c>
    </row>
    <row r="17" ht="57.45" customHeight="1" s="14">
      <c r="A17" s="27" t="n">
        <v>46272</v>
      </c>
      <c r="B17" s="28" t="inlineStr">
        <is>
          <t>Mon</t>
        </is>
      </c>
      <c r="C17" s="28" t="n">
        <v>4</v>
      </c>
      <c r="D17" s="28" t="inlineStr">
        <is>
          <t>Botox Education Month</t>
        </is>
      </c>
      <c r="E17" s="28" t="inlineStr">
        <is>
          <t>Carousel</t>
        </is>
      </c>
      <c r="F17" s="24" t="inlineStr">
        <is>
          <t>Dark</t>
        </is>
      </c>
      <c r="G17" s="28" t="inlineStr">
        <is>
          <t>Instagram feed + GBP</t>
        </is>
      </c>
      <c r="H17" s="28" t="inlineStr">
        <is>
          <t>Education</t>
        </is>
      </c>
      <c r="I17" s="28" t="inlineStr">
        <is>
          <t>Botox vs Dysport: The Real Difference | Same family. Different personalities.</t>
        </is>
      </c>
      <c r="J17" s="28"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K17" s="28" t="inlineStr">
        <is>
          <t>Book a consult. Link in bio</t>
        </is>
      </c>
      <c r="L17" s="28" t="inlineStr">
        <is>
          <t>Set A</t>
        </is>
      </c>
      <c r="M17" s="28" t="inlineStr">
        <is>
          <t>Design in editorial template</t>
        </is>
      </c>
      <c r="N17" s="24" t="n"/>
      <c r="O17" s="24" t="inlineStr">
        <is>
          <t>https://github.com/RepoKing23/InstagramCarousel/tree/claude/convert-images-jpg-5jeayb/content/2026-09-07-botox-vs-dysport-the-real</t>
        </is>
      </c>
      <c r="P17" s="32" t="inlineStr">
        <is>
          <t>Open folder</t>
        </is>
      </c>
      <c r="Q17" s="24" t="inlineStr">
        <is>
          <t>Not designed yet</t>
        </is>
      </c>
      <c r="R17" s="24" t="n"/>
      <c r="S17" s="28" t="inlineStr">
        <is>
          <t>Idea</t>
        </is>
      </c>
      <c r="T17" s="28" t="n"/>
      <c r="U17" s="28" t="n"/>
      <c r="V17" s="28" t="n"/>
      <c r="W17" s="28" t="n"/>
      <c r="X17" s="28" t="n"/>
      <c r="Y17" s="28" t="n"/>
      <c r="Z17" s="24" t="n"/>
      <c r="AA17" s="24" t="n"/>
      <c r="AB17" s="24" t="inlineStr">
        <is>
          <t>Not designed yet</t>
        </is>
      </c>
    </row>
    <row r="18" ht="57.45" customHeight="1" s="14">
      <c r="A18" s="29" t="n">
        <v>46273</v>
      </c>
      <c r="B18" s="30" t="inlineStr">
        <is>
          <t>Tue</t>
        </is>
      </c>
      <c r="C18" s="30" t="n">
        <v>4</v>
      </c>
      <c r="D18" s="30" t="inlineStr">
        <is>
          <t>Botox Education Month</t>
        </is>
      </c>
      <c r="E18" s="30" t="inlineStr">
        <is>
          <t>Single Image</t>
        </is>
      </c>
      <c r="F18" s="24" t="inlineStr">
        <is>
          <t>Light</t>
        </is>
      </c>
      <c r="G18" s="30" t="inlineStr">
        <is>
          <t>IG + FB + TikTok photo + GBP</t>
        </is>
      </c>
      <c r="H18" s="30" t="inlineStr">
        <is>
          <t>Education</t>
        </is>
      </c>
      <c r="I18" s="30" t="inlineStr">
        <is>
          <t>Botox vs Dysport at a Glance | Same family. Different personalities.</t>
        </is>
      </c>
      <c r="J18" s="3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K18" s="30" t="inlineStr">
        <is>
          <t>Full breakdown on our feed</t>
        </is>
      </c>
      <c r="L18" s="30" t="inlineStr">
        <is>
          <t>Set A</t>
        </is>
      </c>
      <c r="M18" s="30" t="inlineStr">
        <is>
          <t>Single image: side-by-side comparison card</t>
        </is>
      </c>
      <c r="N18" s="24" t="n"/>
      <c r="O18" s="24" t="inlineStr">
        <is>
          <t>https://github.com/RepoKing23/InstagramCarousel/tree/claude/convert-images-jpg-5jeayb/content/2026-09-08-botox-vs-dysport-at-a</t>
        </is>
      </c>
      <c r="P18" s="34" t="inlineStr">
        <is>
          <t>Open folder</t>
        </is>
      </c>
      <c r="Q18" s="24" t="inlineStr">
        <is>
          <t>Not designed yet</t>
        </is>
      </c>
      <c r="R18" s="24" t="n"/>
      <c r="S18" s="30" t="inlineStr">
        <is>
          <t>Idea</t>
        </is>
      </c>
      <c r="T18" s="30" t="n"/>
      <c r="U18" s="30" t="n"/>
      <c r="V18" s="30" t="n"/>
      <c r="W18" s="30" t="n"/>
      <c r="X18" s="30" t="n"/>
      <c r="Y18" s="30" t="n"/>
      <c r="Z18" s="24" t="n"/>
      <c r="AA18" s="24" t="n"/>
      <c r="AB18" s="24" t="inlineStr">
        <is>
          <t>Not designed yet</t>
        </is>
      </c>
    </row>
    <row r="19" ht="57.45" customHeight="1" s="14">
      <c r="A19" s="27" t="n">
        <v>46275</v>
      </c>
      <c r="B19" s="28" t="inlineStr">
        <is>
          <t>Thu</t>
        </is>
      </c>
      <c r="C19" s="28" t="n">
        <v>4</v>
      </c>
      <c r="D19" s="28" t="inlineStr">
        <is>
          <t>Botox Education Month</t>
        </is>
      </c>
      <c r="E19" s="28" t="inlineStr">
        <is>
          <t>Carousel</t>
        </is>
      </c>
      <c r="F19" s="24" t="inlineStr">
        <is>
          <t>Light</t>
        </is>
      </c>
      <c r="G19" s="28" t="inlineStr">
        <is>
          <t>Instagram feed + GBP</t>
        </is>
      </c>
      <c r="H19" s="28" t="inlineStr">
        <is>
          <t>Education</t>
        </is>
      </c>
      <c r="I19" s="28" t="inlineStr">
        <is>
          <t>Botox Aftercare: The First 48 Hours | You got Botox. Now what?</t>
        </is>
      </c>
      <c r="J19" s="28"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K19" s="28" t="inlineStr">
        <is>
          <t>Save this guide</t>
        </is>
      </c>
      <c r="L19" s="28" t="inlineStr">
        <is>
          <t>Set A</t>
        </is>
      </c>
      <c r="M19" s="28" t="inlineStr">
        <is>
          <t>Design in editorial template</t>
        </is>
      </c>
      <c r="N19" s="24" t="n"/>
      <c r="O19" s="24" t="inlineStr">
        <is>
          <t>https://github.com/RepoKing23/InstagramCarousel/tree/claude/convert-images-jpg-5jeayb/content/2026-09-10-botox-aftercare-the-first-48</t>
        </is>
      </c>
      <c r="P19" s="32" t="inlineStr">
        <is>
          <t>Open folder</t>
        </is>
      </c>
      <c r="Q19" s="24" t="inlineStr">
        <is>
          <t>Not designed yet</t>
        </is>
      </c>
      <c r="R19" s="24" t="n"/>
      <c r="S19" s="28" t="inlineStr">
        <is>
          <t>Idea</t>
        </is>
      </c>
      <c r="T19" s="28" t="n"/>
      <c r="U19" s="28" t="n"/>
      <c r="V19" s="28" t="n"/>
      <c r="W19" s="28" t="n"/>
      <c r="X19" s="28" t="n"/>
      <c r="Y19" s="28" t="n"/>
      <c r="Z19" s="24" t="n"/>
      <c r="AA19" s="24" t="n"/>
      <c r="AB19" s="24" t="inlineStr">
        <is>
          <t>Not designed yet</t>
        </is>
      </c>
    </row>
    <row r="20" ht="57.45" customHeight="1" s="14">
      <c r="A20" s="29" t="n">
        <v>46276</v>
      </c>
      <c r="B20" s="30" t="inlineStr">
        <is>
          <t>Fri</t>
        </is>
      </c>
      <c r="C20" s="30" t="n">
        <v>4</v>
      </c>
      <c r="D20" s="30" t="inlineStr">
        <is>
          <t>Botox Education Month</t>
        </is>
      </c>
      <c r="E20" s="30" t="inlineStr">
        <is>
          <t>Single Image</t>
        </is>
      </c>
      <c r="F20" s="24" t="inlineStr">
        <is>
          <t>Light</t>
        </is>
      </c>
      <c r="G20" s="30" t="inlineStr">
        <is>
          <t>IG + FB + TikTok photo + GBP</t>
        </is>
      </c>
      <c r="H20" s="30" t="inlineStr">
        <is>
          <t>Trust &amp; Proof</t>
        </is>
      </c>
      <c r="I20" s="30" t="inlineStr">
        <is>
          <t>The Face Map | Every face gets a plan.</t>
        </is>
      </c>
      <c r="J20" s="30" t="inlineStr">
        <is>
          <t>Nothing touches your skin before I map your anatomy, your movement, and your goals. Planning is the treatment.
#npinjector #nursepractitioner #medspalife #luxurybeauty #aestheticnurse #skincareexpert #beautyclinic #selfcare #naturalresults #honestbeauty</t>
        </is>
      </c>
      <c r="K20" s="30" t="inlineStr">
        <is>
          <t>Book your mapping. Link in bio</t>
        </is>
      </c>
      <c r="L20" s="30" t="inlineStr">
        <is>
          <t>Set C</t>
        </is>
      </c>
      <c r="M20" s="30" t="inlineStr">
        <is>
          <t>Single image: assessment photo + hook</t>
        </is>
      </c>
      <c r="N20" s="24" t="n"/>
      <c r="O20" s="24" t="inlineStr">
        <is>
          <t>https://github.com/RepoKing23/InstagramCarousel/tree/claude/convert-images-jpg-5jeayb/content/2026-09-11-the-face-map</t>
        </is>
      </c>
      <c r="P20" s="34" t="inlineStr">
        <is>
          <t>Open folder</t>
        </is>
      </c>
      <c r="Q20" s="24" t="inlineStr">
        <is>
          <t>Not designed yet</t>
        </is>
      </c>
      <c r="R20" s="24" t="n"/>
      <c r="S20" s="30" t="inlineStr">
        <is>
          <t>Idea</t>
        </is>
      </c>
      <c r="T20" s="30" t="n"/>
      <c r="U20" s="30" t="n"/>
      <c r="V20" s="30" t="n"/>
      <c r="W20" s="30" t="n"/>
      <c r="X20" s="30" t="n"/>
      <c r="Y20" s="30" t="n"/>
      <c r="Z20" s="24" t="n"/>
      <c r="AA20" s="24" t="n"/>
      <c r="AB20" s="24" t="inlineStr">
        <is>
          <t>Not designed yet</t>
        </is>
      </c>
    </row>
    <row r="21" ht="57.45" customHeight="1" s="14">
      <c r="A21" s="29" t="n">
        <v>46277</v>
      </c>
      <c r="B21" s="30" t="inlineStr">
        <is>
          <t>Sat</t>
        </is>
      </c>
      <c r="C21" s="30" t="n">
        <v>4</v>
      </c>
      <c r="D21" s="30" t="inlineStr">
        <is>
          <t>Botox Education Month</t>
        </is>
      </c>
      <c r="E21" s="30" t="inlineStr">
        <is>
          <t>Single Image</t>
        </is>
      </c>
      <c r="F21" s="24" t="inlineStr">
        <is>
          <t>Dark</t>
        </is>
      </c>
      <c r="G21" s="30" t="inlineStr">
        <is>
          <t>IG + FB + TikTok photo + GBP</t>
        </is>
      </c>
      <c r="H21" s="30" t="inlineStr">
        <is>
          <t>Education</t>
        </is>
      </c>
      <c r="I21" s="30" t="inlineStr">
        <is>
          <t>FAQ: Does Botox Hurt? | Honest answer, no fluff.</t>
        </is>
      </c>
      <c r="J21" s="3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K21" s="30" t="inlineStr">
        <is>
          <t>More questions? DM me</t>
        </is>
      </c>
      <c r="L21" s="30" t="inlineStr">
        <is>
          <t>Set C</t>
        </is>
      </c>
      <c r="M21" s="30" t="inlineStr">
        <is>
          <t>FAQ card in brand style</t>
        </is>
      </c>
      <c r="N21" s="24" t="n"/>
      <c r="O21" s="24" t="inlineStr">
        <is>
          <t>https://github.com/RepoKing23/InstagramCarousel/tree/claude/convert-images-jpg-5jeayb/content/2026-09-12-faq-does-botox-hurt</t>
        </is>
      </c>
      <c r="P21" s="34" t="inlineStr">
        <is>
          <t>Open folder</t>
        </is>
      </c>
      <c r="Q21" s="24" t="inlineStr">
        <is>
          <t>Not designed yet</t>
        </is>
      </c>
      <c r="R21" s="24" t="n"/>
      <c r="S21" s="30" t="inlineStr">
        <is>
          <t>Idea</t>
        </is>
      </c>
      <c r="T21" s="30" t="n"/>
      <c r="U21" s="30" t="n"/>
      <c r="V21" s="30" t="n"/>
      <c r="W21" s="30" t="n"/>
      <c r="X21" s="30" t="n"/>
      <c r="Y21" s="30" t="n"/>
      <c r="Z21" s="24" t="n"/>
      <c r="AA21" s="24" t="n"/>
      <c r="AB21" s="24" t="inlineStr">
        <is>
          <t>Not designed yet</t>
        </is>
      </c>
    </row>
    <row r="22" ht="57.45" customHeight="1" s="14">
      <c r="A22" s="27" t="n">
        <v>46279</v>
      </c>
      <c r="B22" s="28" t="inlineStr">
        <is>
          <t>Mon</t>
        </is>
      </c>
      <c r="C22" s="28" t="n">
        <v>5</v>
      </c>
      <c r="D22" s="28" t="inlineStr">
        <is>
          <t>Botox Education Month</t>
        </is>
      </c>
      <c r="E22" s="28" t="inlineStr">
        <is>
          <t>Carousel</t>
        </is>
      </c>
      <c r="F22" s="24" t="inlineStr">
        <is>
          <t>Dark</t>
        </is>
      </c>
      <c r="G22" s="28" t="inlineStr">
        <is>
          <t>Instagram feed + GBP</t>
        </is>
      </c>
      <c r="H22" s="28" t="inlineStr">
        <is>
          <t>Trust &amp; Proof</t>
        </is>
      </c>
      <c r="I22" s="28" t="inlineStr">
        <is>
          <t>5 Things Botox Can't Do | Honest expectations, always.</t>
        </is>
      </c>
      <c r="J22" s="28"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K22" s="28" t="inlineStr">
        <is>
          <t>Comment your questions</t>
        </is>
      </c>
      <c r="L22" s="28" t="inlineStr">
        <is>
          <t>Set A</t>
        </is>
      </c>
      <c r="M22" s="28" t="inlineStr">
        <is>
          <t>Design in editorial template</t>
        </is>
      </c>
      <c r="N22" s="24" t="n"/>
      <c r="O22" s="24" t="inlineStr">
        <is>
          <t>https://github.com/RepoKing23/InstagramCarousel/tree/claude/convert-images-jpg-5jeayb/content/2026-09-14-5-things-botox-can-t</t>
        </is>
      </c>
      <c r="P22" s="32" t="inlineStr">
        <is>
          <t>Open folder</t>
        </is>
      </c>
      <c r="Q22" s="24" t="inlineStr">
        <is>
          <t>Not designed yet</t>
        </is>
      </c>
      <c r="R22" s="24" t="n"/>
      <c r="S22" s="28" t="inlineStr">
        <is>
          <t>Idea</t>
        </is>
      </c>
      <c r="T22" s="28" t="n"/>
      <c r="U22" s="28" t="n"/>
      <c r="V22" s="28" t="n"/>
      <c r="W22" s="28" t="n"/>
      <c r="X22" s="28" t="n"/>
      <c r="Y22" s="28" t="n"/>
      <c r="Z22" s="24" t="n"/>
      <c r="AA22" s="24" t="n"/>
      <c r="AB22" s="24" t="inlineStr">
        <is>
          <t>Not designed yet</t>
        </is>
      </c>
    </row>
    <row r="23" ht="57.45" customHeight="1" s="14">
      <c r="A23" s="29" t="n">
        <v>46280</v>
      </c>
      <c r="B23" s="30" t="inlineStr">
        <is>
          <t>Tue</t>
        </is>
      </c>
      <c r="C23" s="30" t="n">
        <v>5</v>
      </c>
      <c r="D23" s="30" t="inlineStr">
        <is>
          <t>Botox Education Month</t>
        </is>
      </c>
      <c r="E23" s="30" t="inlineStr">
        <is>
          <t>Single Image</t>
        </is>
      </c>
      <c r="F23" s="24" t="inlineStr">
        <is>
          <t>Light</t>
        </is>
      </c>
      <c r="G23" s="30" t="inlineStr">
        <is>
          <t>IG + FB + TikTok photo + GBP</t>
        </is>
      </c>
      <c r="H23" s="30" t="inlineStr">
        <is>
          <t>Education</t>
        </is>
      </c>
      <c r="I23" s="30" t="inlineStr">
        <is>
          <t>What Botox Can't Fix | Honest expectations, always.</t>
        </is>
      </c>
      <c r="J23" s="3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K23" s="30" t="inlineStr">
        <is>
          <t>Save this</t>
        </is>
      </c>
      <c r="L23" s="30" t="inlineStr">
        <is>
          <t>Set A</t>
        </is>
      </c>
      <c r="M23" s="30" t="inlineStr">
        <is>
          <t>Single image: myth-vs-reality card</t>
        </is>
      </c>
      <c r="N23" s="24" t="n"/>
      <c r="O23" s="24" t="inlineStr">
        <is>
          <t>https://github.com/RepoKing23/InstagramCarousel/tree/claude/convert-images-jpg-5jeayb/content/2026-09-15-what-botox-can-t-fix</t>
        </is>
      </c>
      <c r="P23" s="34" t="inlineStr">
        <is>
          <t>Open folder</t>
        </is>
      </c>
      <c r="Q23" s="24" t="inlineStr">
        <is>
          <t>Not designed yet</t>
        </is>
      </c>
      <c r="R23" s="24" t="n"/>
      <c r="S23" s="30" t="inlineStr">
        <is>
          <t>Idea</t>
        </is>
      </c>
      <c r="T23" s="30" t="n"/>
      <c r="U23" s="30" t="n"/>
      <c r="V23" s="30" t="n"/>
      <c r="W23" s="30" t="n"/>
      <c r="X23" s="30" t="n"/>
      <c r="Y23" s="30" t="n"/>
      <c r="Z23" s="24" t="n"/>
      <c r="AA23" s="24" t="n"/>
      <c r="AB23" s="24" t="inlineStr">
        <is>
          <t>Not designed yet</t>
        </is>
      </c>
    </row>
    <row r="24" ht="57.45" customHeight="1" s="14">
      <c r="A24" s="27" t="n">
        <v>46282</v>
      </c>
      <c r="B24" s="28" t="inlineStr">
        <is>
          <t>Thu</t>
        </is>
      </c>
      <c r="C24" s="28" t="n">
        <v>5</v>
      </c>
      <c r="D24" s="28" t="inlineStr">
        <is>
          <t>Botox Education Month</t>
        </is>
      </c>
      <c r="E24" s="28" t="inlineStr">
        <is>
          <t>Carousel</t>
        </is>
      </c>
      <c r="F24" s="24" t="inlineStr">
        <is>
          <t>Light</t>
        </is>
      </c>
      <c r="G24" s="28" t="inlineStr">
        <is>
          <t>Instagram feed + GBP</t>
        </is>
      </c>
      <c r="H24" s="28" t="inlineStr">
        <is>
          <t>Trust &amp; Proof</t>
        </is>
      </c>
      <c r="I24" s="28" t="inlineStr">
        <is>
          <t>Still You, Just Refreshed | You won't look done. You'll look rested.</t>
        </is>
      </c>
      <c r="J24" s="28"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K24" s="28" t="inlineStr">
        <is>
          <t>DM GLOW to start</t>
        </is>
      </c>
      <c r="L24" s="28" t="inlineStr">
        <is>
          <t>Set C</t>
        </is>
      </c>
      <c r="M24" s="28" t="inlineStr">
        <is>
          <t>Template exists (design/slides.html), needs photos</t>
        </is>
      </c>
      <c r="N24" s="24" t="n"/>
      <c r="O24" s="24" t="inlineStr">
        <is>
          <t>https://github.com/RepoKing23/InstagramCarousel/tree/claude/convert-images-jpg-5jeayb/content/2026-09-17-still-you-just-refreshed</t>
        </is>
      </c>
      <c r="P24" s="32" t="inlineStr">
        <is>
          <t>Open folder</t>
        </is>
      </c>
      <c r="Q24" s="24" t="inlineStr">
        <is>
          <t>Not designed yet</t>
        </is>
      </c>
      <c r="R24" s="24" t="n"/>
      <c r="S24" s="28" t="inlineStr">
        <is>
          <t>Idea</t>
        </is>
      </c>
      <c r="T24" s="28" t="n"/>
      <c r="U24" s="28" t="n"/>
      <c r="V24" s="28" t="n"/>
      <c r="W24" s="28" t="n"/>
      <c r="X24" s="28" t="n"/>
      <c r="Y24" s="28" t="n"/>
      <c r="Z24" s="24" t="n"/>
      <c r="AA24" s="24" t="n"/>
      <c r="AB24" s="24" t="inlineStr">
        <is>
          <t>Not designed yet</t>
        </is>
      </c>
    </row>
    <row r="25" ht="57.45" customHeight="1" s="14">
      <c r="A25" s="29" t="n">
        <v>46283</v>
      </c>
      <c r="B25" s="30" t="inlineStr">
        <is>
          <t>Fri</t>
        </is>
      </c>
      <c r="C25" s="30" t="n">
        <v>5</v>
      </c>
      <c r="D25" s="30" t="inlineStr">
        <is>
          <t>Botox Education Month</t>
        </is>
      </c>
      <c r="E25" s="30" t="inlineStr">
        <is>
          <t>Single Image</t>
        </is>
      </c>
      <c r="F25" s="24" t="inlineStr">
        <is>
          <t>Light</t>
        </is>
      </c>
      <c r="G25" s="30" t="inlineStr">
        <is>
          <t>IG + FB + TikTok photo + GBP</t>
        </is>
      </c>
      <c r="H25" s="30" t="inlineStr">
        <is>
          <t>Education</t>
        </is>
      </c>
      <c r="I25" s="30" t="inlineStr">
        <is>
          <t>Myth vs Truth: The Frozen Face | The classic fear, debunked.</t>
        </is>
      </c>
      <c r="J25" s="3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K25" s="30" t="inlineStr">
        <is>
          <t>Share with a friend</t>
        </is>
      </c>
      <c r="L25" s="30" t="inlineStr">
        <is>
          <t>Set A</t>
        </is>
      </c>
      <c r="M25" s="30" t="inlineStr">
        <is>
          <t>Single image: myth vs truth split card</t>
        </is>
      </c>
      <c r="N25" s="24" t="n"/>
      <c r="O25" s="24" t="inlineStr">
        <is>
          <t>https://github.com/RepoKing23/InstagramCarousel/tree/claude/convert-images-jpg-5jeayb/content/2026-09-18-myth-vs-truth-the-frozen</t>
        </is>
      </c>
      <c r="P25" s="34" t="inlineStr">
        <is>
          <t>Open folder</t>
        </is>
      </c>
      <c r="Q25" s="24" t="inlineStr">
        <is>
          <t>Not designed yet</t>
        </is>
      </c>
      <c r="R25" s="24" t="n"/>
      <c r="S25" s="30" t="inlineStr">
        <is>
          <t>Idea</t>
        </is>
      </c>
      <c r="T25" s="30" t="n"/>
      <c r="U25" s="30" t="n"/>
      <c r="V25" s="30" t="n"/>
      <c r="W25" s="30" t="n"/>
      <c r="X25" s="30" t="n"/>
      <c r="Y25" s="30" t="n"/>
      <c r="Z25" s="24" t="n"/>
      <c r="AA25" s="24" t="n"/>
      <c r="AB25" s="24" t="inlineStr">
        <is>
          <t>Not designed yet</t>
        </is>
      </c>
    </row>
    <row r="26" ht="57.45" customHeight="1" s="14">
      <c r="A26" s="29" t="n">
        <v>46284</v>
      </c>
      <c r="B26" s="30" t="inlineStr">
        <is>
          <t>Sat</t>
        </is>
      </c>
      <c r="C26" s="30" t="n">
        <v>5</v>
      </c>
      <c r="D26" s="30" t="inlineStr">
        <is>
          <t>Botox Education Month</t>
        </is>
      </c>
      <c r="E26" s="30" t="inlineStr">
        <is>
          <t>Single Image</t>
        </is>
      </c>
      <c r="F26" s="24" t="inlineStr">
        <is>
          <t>Dark</t>
        </is>
      </c>
      <c r="G26" s="30" t="inlineStr">
        <is>
          <t>IG + FB + TikTok photo + GBP</t>
        </is>
      </c>
      <c r="H26" s="30" t="inlineStr">
        <is>
          <t>Trust &amp; Proof</t>
        </is>
      </c>
      <c r="I26" s="30" t="inlineStr">
        <is>
          <t>Client Words: Natural Results | Nobody guessed. That was the whole point.</t>
        </is>
      </c>
      <c r="J26" s="30" t="inlineStr">
        <is>
          <t>Nobody could tell. They just kept saying I looked happy and rested. That is the whole goal. 💛 (Shared with permission.)
#npinjector #nursepractitioner #medspalife #luxurybeauty #aestheticnurse #skincareexpert #beautyclinic #selfcare #naturalresults #honestbeauty</t>
        </is>
      </c>
      <c r="K26" s="30" t="inlineStr">
        <is>
          <t>Your turn. Link in bio</t>
        </is>
      </c>
      <c r="L26" s="30" t="inlineStr">
        <is>
          <t>Set C</t>
        </is>
      </c>
      <c r="M26" s="30" t="inlineStr">
        <is>
          <t>Testimonial quote card (with consent)</t>
        </is>
      </c>
      <c r="N26" s="24" t="n"/>
      <c r="O26" s="24" t="inlineStr">
        <is>
          <t>https://github.com/RepoKing23/InstagramCarousel/tree/claude/convert-images-jpg-5jeayb/content/2026-09-19-client-words-natural-results</t>
        </is>
      </c>
      <c r="P26" s="34" t="inlineStr">
        <is>
          <t>Open folder</t>
        </is>
      </c>
      <c r="Q26" s="24" t="inlineStr">
        <is>
          <t>Not designed yet</t>
        </is>
      </c>
      <c r="R26" s="24" t="n"/>
      <c r="S26" s="30" t="inlineStr">
        <is>
          <t>Idea</t>
        </is>
      </c>
      <c r="T26" s="30" t="n"/>
      <c r="U26" s="30" t="n"/>
      <c r="V26" s="30" t="n"/>
      <c r="W26" s="30" t="n"/>
      <c r="X26" s="30" t="n"/>
      <c r="Y26" s="30" t="n"/>
      <c r="Z26" s="24" t="n"/>
      <c r="AA26" s="24" t="n"/>
      <c r="AB26" s="24" t="inlineStr">
        <is>
          <t>Not designed yet</t>
        </is>
      </c>
    </row>
    <row r="27" ht="57.45" customHeight="1" s="14">
      <c r="A27" s="27" t="n">
        <v>46286</v>
      </c>
      <c r="B27" s="28" t="inlineStr">
        <is>
          <t>Mon</t>
        </is>
      </c>
      <c r="C27" s="28" t="n">
        <v>6</v>
      </c>
      <c r="D27" s="28" t="inlineStr">
        <is>
          <t>Botox Education Month</t>
        </is>
      </c>
      <c r="E27" s="28" t="inlineStr">
        <is>
          <t>Carousel</t>
        </is>
      </c>
      <c r="F27" s="24" t="inlineStr">
        <is>
          <t>Light</t>
        </is>
      </c>
      <c r="G27" s="28" t="inlineStr">
        <is>
          <t>Instagram feed + GBP</t>
        </is>
      </c>
      <c r="H27" s="28" t="inlineStr">
        <is>
          <t>Education</t>
        </is>
      </c>
      <c r="I27" s="28" t="inlineStr">
        <is>
          <t>Botox or Filler? You Might Be Asking for the Wrong One | Lines or volume? They are not the same problem.</t>
        </is>
      </c>
      <c r="J27" s="28"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K27" s="28" t="inlineStr">
        <is>
          <t>DM CONSULT and I will help</t>
        </is>
      </c>
      <c r="L27" s="28" t="inlineStr">
        <is>
          <t>Set B</t>
        </is>
      </c>
      <c r="M27" s="28" t="inlineStr">
        <is>
          <t>Design in editorial template</t>
        </is>
      </c>
      <c r="N27" s="24" t="n"/>
      <c r="O27" s="24" t="inlineStr">
        <is>
          <t>https://github.com/RepoKing23/InstagramCarousel/tree/claude/convert-images-jpg-5jeayb/content/2026-09-21-botox-or-filler-you-might</t>
        </is>
      </c>
      <c r="P27" s="32" t="inlineStr">
        <is>
          <t>Open folder</t>
        </is>
      </c>
      <c r="Q27" s="24" t="inlineStr">
        <is>
          <t>Not designed yet</t>
        </is>
      </c>
      <c r="R27" s="24" t="n"/>
      <c r="S27" s="28" t="inlineStr">
        <is>
          <t>Idea</t>
        </is>
      </c>
      <c r="T27" s="28" t="n"/>
      <c r="U27" s="28" t="n"/>
      <c r="V27" s="28" t="n"/>
      <c r="W27" s="28" t="n"/>
      <c r="X27" s="28" t="n"/>
      <c r="Y27" s="28" t="n"/>
      <c r="Z27" s="24" t="n"/>
      <c r="AA27" s="24" t="n"/>
      <c r="AB27" s="24" t="inlineStr">
        <is>
          <t>Not designed yet</t>
        </is>
      </c>
    </row>
    <row r="28" ht="57.45" customHeight="1" s="14">
      <c r="A28" s="29" t="n">
        <v>46287</v>
      </c>
      <c r="B28" s="30" t="inlineStr">
        <is>
          <t>Tue</t>
        </is>
      </c>
      <c r="C28" s="30" t="n">
        <v>6</v>
      </c>
      <c r="D28" s="30" t="inlineStr">
        <is>
          <t>Botox Education Month</t>
        </is>
      </c>
      <c r="E28" s="30" t="inlineStr">
        <is>
          <t>Single Image</t>
        </is>
      </c>
      <c r="F28" s="24" t="inlineStr">
        <is>
          <t>Light</t>
        </is>
      </c>
      <c r="G28" s="30" t="inlineStr">
        <is>
          <t>IG + FB + TikTok photo + GBP</t>
        </is>
      </c>
      <c r="H28" s="30" t="inlineStr">
        <is>
          <t>Education</t>
        </is>
      </c>
      <c r="I28" s="30" t="inlineStr">
        <is>
          <t>Lines vs Volume | Which one is your concern?</t>
        </is>
      </c>
      <c r="J28" s="30" t="inlineStr">
        <is>
          <t>Smile in the mirror. Movement lines need Botox. Lost volume needs filler. The answer decides your plan.
#dermalfiller #lipfiller #cheekfiller #naturalfiller #facialbalancing #lipfillernatural #aestheticnurse #medspa #fillerjourney #lipgoals</t>
        </is>
      </c>
      <c r="K28" s="30" t="inlineStr">
        <is>
          <t>DM CONSULT for help</t>
        </is>
      </c>
      <c r="L28" s="30" t="inlineStr">
        <is>
          <t>Set B</t>
        </is>
      </c>
      <c r="M28" s="30" t="inlineStr">
        <is>
          <t>Single image: two-column explainer card</t>
        </is>
      </c>
      <c r="N28" s="24" t="n"/>
      <c r="O28" s="24" t="inlineStr">
        <is>
          <t>https://github.com/RepoKing23/InstagramCarousel/tree/claude/convert-images-jpg-5jeayb/content/2026-09-22-lines-vs-volume</t>
        </is>
      </c>
      <c r="P28" s="34" t="inlineStr">
        <is>
          <t>Open folder</t>
        </is>
      </c>
      <c r="Q28" s="24" t="inlineStr">
        <is>
          <t>Not designed yet</t>
        </is>
      </c>
      <c r="R28" s="24" t="n"/>
      <c r="S28" s="30" t="inlineStr">
        <is>
          <t>Idea</t>
        </is>
      </c>
      <c r="T28" s="30" t="n"/>
      <c r="U28" s="30" t="n"/>
      <c r="V28" s="30" t="n"/>
      <c r="W28" s="30" t="n"/>
      <c r="X28" s="30" t="n"/>
      <c r="Y28" s="30" t="n"/>
      <c r="Z28" s="24" t="n"/>
      <c r="AA28" s="24" t="n"/>
      <c r="AB28" s="24" t="inlineStr">
        <is>
          <t>Not designed yet</t>
        </is>
      </c>
    </row>
    <row r="29" ht="57.45" customHeight="1" s="14">
      <c r="A29" s="27" t="n">
        <v>46289</v>
      </c>
      <c r="B29" s="28" t="inlineStr">
        <is>
          <t>Thu</t>
        </is>
      </c>
      <c r="C29" s="28" t="n">
        <v>6</v>
      </c>
      <c r="D29" s="28" t="inlineStr">
        <is>
          <t>Botox Education Month</t>
        </is>
      </c>
      <c r="E29" s="28" t="inlineStr">
        <is>
          <t>Carousel</t>
        </is>
      </c>
      <c r="F29" s="24" t="inlineStr">
        <is>
          <t>Light</t>
        </is>
      </c>
      <c r="G29" s="28" t="inlineStr">
        <is>
          <t>Instagram feed + GBP</t>
        </is>
      </c>
      <c r="H29" s="28" t="inlineStr">
        <is>
          <t>Personality &amp; BTS</t>
        </is>
      </c>
      <c r="I29" s="28" t="inlineStr">
        <is>
          <t>Ask NP Cleo: Your Questions, Answered Honestly | You asked. I answered. No filter.</t>
        </is>
      </c>
      <c r="J29" s="28"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K29" s="28" t="inlineStr">
        <is>
          <t>Drop your question below</t>
        </is>
      </c>
      <c r="L29" s="28" t="inlineStr">
        <is>
          <t>Set C</t>
        </is>
      </c>
      <c r="M29" s="28" t="inlineStr">
        <is>
          <t>Design Q&amp;A layout from real DM questions</t>
        </is>
      </c>
      <c r="N29" s="24" t="n"/>
      <c r="O29" s="24" t="inlineStr">
        <is>
          <t>https://github.com/RepoKing23/InstagramCarousel/tree/claude/convert-images-jpg-5jeayb/content/2026-09-24-ask-np-cleo-your-questions</t>
        </is>
      </c>
      <c r="P29" s="32" t="inlineStr">
        <is>
          <t>Open folder</t>
        </is>
      </c>
      <c r="Q29" s="24" t="inlineStr">
        <is>
          <t>Not designed yet</t>
        </is>
      </c>
      <c r="R29" s="24" t="n"/>
      <c r="S29" s="28" t="inlineStr">
        <is>
          <t>Idea</t>
        </is>
      </c>
      <c r="T29" s="28" t="n"/>
      <c r="U29" s="28" t="n"/>
      <c r="V29" s="28" t="n"/>
      <c r="W29" s="28" t="n"/>
      <c r="X29" s="28" t="n"/>
      <c r="Y29" s="28" t="n"/>
      <c r="Z29" s="24" t="n"/>
      <c r="AA29" s="24" t="n"/>
      <c r="AB29" s="24" t="inlineStr">
        <is>
          <t>Not designed yet</t>
        </is>
      </c>
    </row>
    <row r="30" ht="57.45" customHeight="1" s="14">
      <c r="A30" s="29" t="n">
        <v>46290</v>
      </c>
      <c r="B30" s="30" t="inlineStr">
        <is>
          <t>Fri</t>
        </is>
      </c>
      <c r="C30" s="30" t="n">
        <v>6</v>
      </c>
      <c r="D30" s="30" t="inlineStr">
        <is>
          <t>Botox Education Month</t>
        </is>
      </c>
      <c r="E30" s="30" t="inlineStr">
        <is>
          <t>Single Image</t>
        </is>
      </c>
      <c r="F30" s="24" t="inlineStr">
        <is>
          <t>Dark</t>
        </is>
      </c>
      <c r="G30" s="30" t="inlineStr">
        <is>
          <t>IG + FB + TikTok photo + GBP</t>
        </is>
      </c>
      <c r="H30" s="30" t="inlineStr">
        <is>
          <t>Personality &amp; BTS</t>
        </is>
      </c>
      <c r="I30" s="30" t="inlineStr">
        <is>
          <t>Your DMs, Answered | The question everyone asks quietly.</t>
        </is>
      </c>
      <c r="J30" s="30" t="inlineStr">
        <is>
          <t>You asked: will people know I had work done? Honest answer: only if you want them to. Subtle is the standard here.
#npinjector #nursepractitioner #medspalife #luxurybeauty #aestheticnurse #skincareexpert #beautyclinic #selfcare #naturalresults #honestbeauty</t>
        </is>
      </c>
      <c r="K30" s="30" t="inlineStr">
        <is>
          <t>Send your question</t>
        </is>
      </c>
      <c r="L30" s="30" t="inlineStr">
        <is>
          <t>Set C</t>
        </is>
      </c>
      <c r="M30" s="30" t="inlineStr">
        <is>
          <t>Single image: Q&amp;A card in brand style</t>
        </is>
      </c>
      <c r="N30" s="24" t="n"/>
      <c r="O30" s="24" t="inlineStr">
        <is>
          <t>https://github.com/RepoKing23/InstagramCarousel/tree/claude/convert-images-jpg-5jeayb/content/2026-09-25-your-dms-answered</t>
        </is>
      </c>
      <c r="P30" s="34" t="inlineStr">
        <is>
          <t>Open folder</t>
        </is>
      </c>
      <c r="Q30" s="24" t="inlineStr">
        <is>
          <t>Not designed yet</t>
        </is>
      </c>
      <c r="R30" s="24" t="n"/>
      <c r="S30" s="30" t="inlineStr">
        <is>
          <t>Idea</t>
        </is>
      </c>
      <c r="T30" s="30" t="n"/>
      <c r="U30" s="30" t="n"/>
      <c r="V30" s="30" t="n"/>
      <c r="W30" s="30" t="n"/>
      <c r="X30" s="30" t="n"/>
      <c r="Y30" s="30" t="n"/>
      <c r="Z30" s="24" t="n"/>
      <c r="AA30" s="24" t="n"/>
      <c r="AB30" s="24" t="inlineStr">
        <is>
          <t>Not designed yet</t>
        </is>
      </c>
    </row>
    <row r="31" ht="57.45" customHeight="1" s="14">
      <c r="A31" s="29" t="n">
        <v>46291</v>
      </c>
      <c r="B31" s="30" t="inlineStr">
        <is>
          <t>Sat</t>
        </is>
      </c>
      <c r="C31" s="30" t="n">
        <v>6</v>
      </c>
      <c r="D31" s="30" t="inlineStr">
        <is>
          <t>Botox Education Month</t>
        </is>
      </c>
      <c r="E31" s="30" t="inlineStr">
        <is>
          <t>Single Image</t>
        </is>
      </c>
      <c r="F31" s="24" t="inlineStr">
        <is>
          <t>Dark</t>
        </is>
      </c>
      <c r="G31" s="30" t="inlineStr">
        <is>
          <t>IG + FB + TikTok photo + GBP</t>
        </is>
      </c>
      <c r="H31" s="30" t="inlineStr">
        <is>
          <t>Personality &amp; BTS</t>
        </is>
      </c>
      <c r="I31" s="30" t="inlineStr">
        <is>
          <t>Poll: What Should NP Cleo Cover Next? | You pick what I cover next month.</t>
        </is>
      </c>
      <c r="J31" s="30" t="inlineStr">
        <is>
          <t>October is filler month. What do you want the truth about first: lips, cheeks, or under eyes? Vote. 👇
#npinjector #nursepractitioner #medspalife #luxurybeauty #aestheticnurse #skincareexpert #beautyclinic #selfcare #naturalresults #honestbeauty</t>
        </is>
      </c>
      <c r="K31" s="30" t="inlineStr">
        <is>
          <t>Vote in comments</t>
        </is>
      </c>
      <c r="L31" s="30" t="inlineStr">
        <is>
          <t>Set C</t>
        </is>
      </c>
      <c r="M31" s="30" t="inlineStr">
        <is>
          <t>Poll card + matching story poll</t>
        </is>
      </c>
      <c r="N31" s="24" t="n"/>
      <c r="O31" s="24" t="inlineStr">
        <is>
          <t>https://github.com/RepoKing23/InstagramCarousel/tree/claude/convert-images-jpg-5jeayb/content/2026-09-26-poll-what-should-np-cleo</t>
        </is>
      </c>
      <c r="P31" s="34" t="inlineStr">
        <is>
          <t>Open folder</t>
        </is>
      </c>
      <c r="Q31" s="24" t="inlineStr">
        <is>
          <t>Not designed yet</t>
        </is>
      </c>
      <c r="R31" s="24" t="n"/>
      <c r="S31" s="30" t="inlineStr">
        <is>
          <t>Idea</t>
        </is>
      </c>
      <c r="T31" s="30" t="n"/>
      <c r="U31" s="30" t="n"/>
      <c r="V31" s="30" t="n"/>
      <c r="W31" s="30" t="n"/>
      <c r="X31" s="30" t="n"/>
      <c r="Y31" s="30" t="n"/>
      <c r="Z31" s="24" t="n"/>
      <c r="AA31" s="24" t="n"/>
      <c r="AB31" s="24" t="inlineStr">
        <is>
          <t>Not designed yet</t>
        </is>
      </c>
    </row>
    <row r="32" ht="57.45" customHeight="1" s="14">
      <c r="A32" s="27" t="n">
        <v>46293</v>
      </c>
      <c r="B32" s="28" t="inlineStr">
        <is>
          <t>Mon</t>
        </is>
      </c>
      <c r="C32" s="28" t="n">
        <v>7</v>
      </c>
      <c r="D32" s="28" t="inlineStr">
        <is>
          <t>Botox Education Month</t>
        </is>
      </c>
      <c r="E32" s="28" t="inlineStr">
        <is>
          <t>Carousel</t>
        </is>
      </c>
      <c r="F32" s="24" t="inlineStr">
        <is>
          <t>Light</t>
        </is>
      </c>
      <c r="G32" s="28" t="inlineStr">
        <is>
          <t>Instagram feed + GBP</t>
        </is>
      </c>
      <c r="H32" s="28" t="inlineStr">
        <is>
          <t>Education</t>
        </is>
      </c>
      <c r="I32" s="28" t="inlineStr">
        <is>
          <t>How Long Does Botox Really Last? | The honest timeline, month by month.</t>
        </is>
      </c>
      <c r="J32" s="28"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K32" s="28" t="inlineStr">
        <is>
          <t>Save this timeline</t>
        </is>
      </c>
      <c r="L32" s="28" t="inlineStr">
        <is>
          <t>Set A</t>
        </is>
      </c>
      <c r="M32" s="28" t="inlineStr">
        <is>
          <t>Design timeline layout in editorial template</t>
        </is>
      </c>
      <c r="N32" s="24" t="n"/>
      <c r="O32" s="24" t="inlineStr">
        <is>
          <t>https://github.com/RepoKing23/InstagramCarousel/tree/claude/convert-images-jpg-5jeayb/content/2026-09-28-how-long-does-botox-really</t>
        </is>
      </c>
      <c r="P32" s="32" t="inlineStr">
        <is>
          <t>Open folder</t>
        </is>
      </c>
      <c r="Q32" s="24" t="inlineStr">
        <is>
          <t>Not designed yet</t>
        </is>
      </c>
      <c r="R32" s="24" t="n"/>
      <c r="S32" s="28" t="inlineStr">
        <is>
          <t>Idea</t>
        </is>
      </c>
      <c r="T32" s="28" t="n"/>
      <c r="U32" s="28" t="n"/>
      <c r="V32" s="28" t="n"/>
      <c r="W32" s="28" t="n"/>
      <c r="X32" s="28" t="n"/>
      <c r="Y32" s="28" t="n"/>
      <c r="Z32" s="24" t="n"/>
      <c r="AA32" s="24" t="n"/>
      <c r="AB32" s="24" t="inlineStr">
        <is>
          <t>Not designed yet</t>
        </is>
      </c>
    </row>
    <row r="33" ht="57.45" customHeight="1" s="14">
      <c r="A33" s="29" t="n">
        <v>46294</v>
      </c>
      <c r="B33" s="30" t="inlineStr">
        <is>
          <t>Tue</t>
        </is>
      </c>
      <c r="C33" s="30" t="n">
        <v>7</v>
      </c>
      <c r="D33" s="30" t="inlineStr">
        <is>
          <t>Botox Education Month</t>
        </is>
      </c>
      <c r="E33" s="30" t="inlineStr">
        <is>
          <t>Single Image</t>
        </is>
      </c>
      <c r="F33" s="24" t="inlineStr">
        <is>
          <t>Light</t>
        </is>
      </c>
      <c r="G33" s="30" t="inlineStr">
        <is>
          <t>IG + FB + TikTok photo + GBP</t>
        </is>
      </c>
      <c r="H33" s="30" t="inlineStr">
        <is>
          <t>Education</t>
        </is>
      </c>
      <c r="I33" s="30" t="inlineStr">
        <is>
          <t>The 3-Month Botox Timeline | Week by week, what to expect.</t>
        </is>
      </c>
      <c r="J33" s="30" t="inlineStr">
        <is>
          <t>Day 3 it starts. Week 2 it settles. Month 3 it softens. Save this so you know exactly what is normal.
#botox #botoxeducation #botoxmyths #preventativebotox #antiwrinkleinjections #nurseinjector #medspa #naturalbotox #botoxbeforeandafter #aestheticnurse</t>
        </is>
      </c>
      <c r="K33" s="30" t="inlineStr">
        <is>
          <t>Save this timeline</t>
        </is>
      </c>
      <c r="L33" s="30" t="inlineStr">
        <is>
          <t>Set A</t>
        </is>
      </c>
      <c r="M33" s="30" t="inlineStr">
        <is>
          <t>Single image: timeline infographic card</t>
        </is>
      </c>
      <c r="N33" s="24" t="n"/>
      <c r="O33" s="24" t="inlineStr">
        <is>
          <t>https://github.com/RepoKing23/InstagramCarousel/tree/claude/convert-images-jpg-5jeayb/content/2026-09-29-the-3-month-botox-timeline</t>
        </is>
      </c>
      <c r="P33" s="34" t="inlineStr">
        <is>
          <t>Open folder</t>
        </is>
      </c>
      <c r="Q33" s="24" t="inlineStr">
        <is>
          <t>Not designed yet</t>
        </is>
      </c>
      <c r="R33" s="24" t="n"/>
      <c r="S33" s="30" t="inlineStr">
        <is>
          <t>Idea</t>
        </is>
      </c>
      <c r="T33" s="30" t="n"/>
      <c r="U33" s="30" t="n"/>
      <c r="V33" s="30" t="n"/>
      <c r="W33" s="30" t="n"/>
      <c r="X33" s="30" t="n"/>
      <c r="Y33" s="30" t="n"/>
      <c r="Z33" s="24" t="n"/>
      <c r="AA33" s="24" t="n"/>
      <c r="AB33" s="24" t="inlineStr">
        <is>
          <t>Not designed yet</t>
        </is>
      </c>
    </row>
    <row r="34" ht="57.45" customHeight="1" s="14">
      <c r="A34" s="27" t="n">
        <v>46296</v>
      </c>
      <c r="B34" s="28" t="inlineStr">
        <is>
          <t>Thu</t>
        </is>
      </c>
      <c r="C34" s="28" t="n">
        <v>7</v>
      </c>
      <c r="D34" s="28" t="inlineStr">
        <is>
          <t>Fillers, Naturally</t>
        </is>
      </c>
      <c r="E34" s="28" t="inlineStr">
        <is>
          <t>Carousel</t>
        </is>
      </c>
      <c r="F34" s="24" t="inlineStr">
        <is>
          <t>Light</t>
        </is>
      </c>
      <c r="G34" s="28" t="inlineStr">
        <is>
          <t>Instagram feed + GBP</t>
        </is>
      </c>
      <c r="H34" s="28" t="inlineStr">
        <is>
          <t>Trust &amp; Proof</t>
        </is>
      </c>
      <c r="I34" s="28" t="inlineStr">
        <is>
          <t>Why We Sometimes Say No | A provider who says yes to everyone is a red flag.</t>
        </is>
      </c>
      <c r="J34" s="28"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K34" s="28" t="inlineStr">
        <is>
          <t>Book an honest consult</t>
        </is>
      </c>
      <c r="L34" s="28" t="inlineStr">
        <is>
          <t>Set C</t>
        </is>
      </c>
      <c r="M34" s="28" t="inlineStr">
        <is>
          <t>Design in editorial template</t>
        </is>
      </c>
      <c r="N34" s="24" t="n"/>
      <c r="O34" s="24" t="inlineStr">
        <is>
          <t>https://github.com/RepoKing23/InstagramCarousel/tree/claude/convert-images-jpg-5jeayb/content/2026-10-01-why-we-sometimes-say-no</t>
        </is>
      </c>
      <c r="P34" s="32" t="inlineStr">
        <is>
          <t>Open folder</t>
        </is>
      </c>
      <c r="Q34" s="24" t="inlineStr">
        <is>
          <t>Not designed yet</t>
        </is>
      </c>
      <c r="R34" s="24" t="n"/>
      <c r="S34" s="28" t="inlineStr">
        <is>
          <t>Idea</t>
        </is>
      </c>
      <c r="T34" s="28" t="n"/>
      <c r="U34" s="28" t="n"/>
      <c r="V34" s="28" t="n"/>
      <c r="W34" s="28" t="n"/>
      <c r="X34" s="28" t="n"/>
      <c r="Y34" s="28" t="n"/>
      <c r="Z34" s="24" t="n"/>
      <c r="AA34" s="24" t="n"/>
      <c r="AB34" s="24" t="inlineStr">
        <is>
          <t>Not designed yet</t>
        </is>
      </c>
    </row>
    <row r="35" ht="57.45" customHeight="1" s="14">
      <c r="A35" s="29" t="n">
        <v>46297</v>
      </c>
      <c r="B35" s="30" t="inlineStr">
        <is>
          <t>Fri</t>
        </is>
      </c>
      <c r="C35" s="30" t="n">
        <v>7</v>
      </c>
      <c r="D35" s="30" t="inlineStr">
        <is>
          <t>Fillers, Naturally</t>
        </is>
      </c>
      <c r="E35" s="30" t="inlineStr">
        <is>
          <t>Single Image</t>
        </is>
      </c>
      <c r="F35" s="24" t="inlineStr">
        <is>
          <t>Dark</t>
        </is>
      </c>
      <c r="G35" s="30" t="inlineStr">
        <is>
          <t>IG + FB + TikTok photo + GBP</t>
        </is>
      </c>
      <c r="H35" s="30" t="inlineStr">
        <is>
          <t>Trust &amp; Proof</t>
        </is>
      </c>
      <c r="I35" s="30" t="inlineStr">
        <is>
          <t>What I Tell Every First-Timer | The pep talk before every first appointment.</t>
        </is>
      </c>
      <c r="J35" s="30" t="inlineStr">
        <is>
          <t>You do not need to know the treatment names. You just need to show up honest about your goals. I handle the rest. 💛
#npinjector #nursepractitioner #medspalife #luxurybeauty #aestheticnurse #skincareexpert #beautyclinic #selfcare #naturalresults #honestbeauty</t>
        </is>
      </c>
      <c r="K35" s="30" t="inlineStr">
        <is>
          <t>Book your first visit</t>
        </is>
      </c>
      <c r="L35" s="30" t="inlineStr">
        <is>
          <t>Set C</t>
        </is>
      </c>
      <c r="M35" s="30" t="inlineStr">
        <is>
          <t>Single image: Cleo photo + quote overlay</t>
        </is>
      </c>
      <c r="N35" s="24" t="n"/>
      <c r="O35" s="24" t="inlineStr">
        <is>
          <t>https://github.com/RepoKing23/InstagramCarousel/tree/claude/convert-images-jpg-5jeayb/content/2026-10-02-what-i-tell-every-first</t>
        </is>
      </c>
      <c r="P35" s="34" t="inlineStr">
        <is>
          <t>Open folder</t>
        </is>
      </c>
      <c r="Q35" s="24" t="inlineStr">
        <is>
          <t>Not designed yet</t>
        </is>
      </c>
      <c r="R35" s="24" t="n"/>
      <c r="S35" s="30" t="inlineStr">
        <is>
          <t>Idea</t>
        </is>
      </c>
      <c r="T35" s="30" t="n"/>
      <c r="U35" s="30" t="n"/>
      <c r="V35" s="30" t="n"/>
      <c r="W35" s="30" t="n"/>
      <c r="X35" s="30" t="n"/>
      <c r="Y35" s="30" t="n"/>
      <c r="Z35" s="24" t="n"/>
      <c r="AA35" s="24" t="n"/>
      <c r="AB35" s="24" t="inlineStr">
        <is>
          <t>Not designed yet</t>
        </is>
      </c>
    </row>
    <row r="36" ht="46.25" customHeight="1" s="14">
      <c r="A36" s="29" t="n">
        <v>46298</v>
      </c>
      <c r="B36" s="30" t="inlineStr">
        <is>
          <t>Sat</t>
        </is>
      </c>
      <c r="C36" s="30" t="n">
        <v>7</v>
      </c>
      <c r="D36" s="30" t="inlineStr">
        <is>
          <t>Fillers, Naturally</t>
        </is>
      </c>
      <c r="E36" s="30" t="inlineStr">
        <is>
          <t>Single Image</t>
        </is>
      </c>
      <c r="F36" s="24" t="inlineStr">
        <is>
          <t>Light</t>
        </is>
      </c>
      <c r="G36" s="30" t="inlineStr">
        <is>
          <t>IG + FB + TikTok photo + GBP</t>
        </is>
      </c>
      <c r="H36" s="30" t="inlineStr">
        <is>
          <t>Trust &amp; Proof</t>
        </is>
      </c>
      <c r="I36" s="30" t="inlineStr">
        <is>
          <t>Quote: No Is Protection | No is a full sentence, and sometimes it is the treatment plan.</t>
        </is>
      </c>
      <c r="J36" s="30" t="inlineStr">
        <is>
          <t>An honest provider will sometimes tell you no. That is protection, not rejection.
#npinjector #nursepractitioner #medspalife #luxurybeauty #aestheticnurse #skincareexpert #beautyclinic #selfcare #naturalresults #honestbeauty</t>
        </is>
      </c>
      <c r="K36" s="30" t="inlineStr">
        <is>
          <t>Share this</t>
        </is>
      </c>
      <c r="L36" s="30" t="inlineStr">
        <is>
          <t>Set C</t>
        </is>
      </c>
      <c r="M36" s="30" t="inlineStr">
        <is>
          <t>Quote card in brand style</t>
        </is>
      </c>
      <c r="N36" s="24" t="n"/>
      <c r="O36" s="24" t="inlineStr">
        <is>
          <t>https://github.com/RepoKing23/InstagramCarousel/tree/claude/convert-images-jpg-5jeayb/content/2026-10-03-quote-no-is-protection</t>
        </is>
      </c>
      <c r="P36" s="34" t="inlineStr">
        <is>
          <t>Open folder</t>
        </is>
      </c>
      <c r="Q36" s="24" t="inlineStr">
        <is>
          <t>Not designed yet</t>
        </is>
      </c>
      <c r="R36" s="24" t="n"/>
      <c r="S36" s="30" t="inlineStr">
        <is>
          <t>Idea</t>
        </is>
      </c>
      <c r="T36" s="30" t="n"/>
      <c r="U36" s="30" t="n"/>
      <c r="V36" s="30" t="n"/>
      <c r="W36" s="30" t="n"/>
      <c r="X36" s="30" t="n"/>
      <c r="Y36" s="30" t="n"/>
      <c r="Z36" s="24" t="n"/>
      <c r="AA36" s="24" t="n"/>
      <c r="AB36" s="24" t="inlineStr">
        <is>
          <t>Not designed yet</t>
        </is>
      </c>
    </row>
    <row r="37" ht="57.45" customHeight="1" s="14">
      <c r="A37" s="27" t="n">
        <v>46300</v>
      </c>
      <c r="B37" s="28" t="inlineStr">
        <is>
          <t>Mon</t>
        </is>
      </c>
      <c r="C37" s="28" t="n">
        <v>8</v>
      </c>
      <c r="D37" s="28" t="inlineStr">
        <is>
          <t>Fillers, Naturally</t>
        </is>
      </c>
      <c r="E37" s="28" t="inlineStr">
        <is>
          <t>Carousel</t>
        </is>
      </c>
      <c r="F37" s="24" t="inlineStr">
        <is>
          <t>Light</t>
        </is>
      </c>
      <c r="G37" s="28" t="inlineStr">
        <is>
          <t>Instagram feed + GBP</t>
        </is>
      </c>
      <c r="H37" s="28" t="inlineStr">
        <is>
          <t>Education</t>
        </is>
      </c>
      <c r="I37" s="28" t="inlineStr">
        <is>
          <t>Filler Won't Make You Look Fake. Bad Technique Does. | The fear is real. The cause is not what you think.</t>
        </is>
      </c>
      <c r="J37" s="28"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K37" s="28" t="inlineStr">
        <is>
          <t>DM FILLER for a consult</t>
        </is>
      </c>
      <c r="L37" s="28" t="inlineStr">
        <is>
          <t>Set B</t>
        </is>
      </c>
      <c r="M37" s="28" t="inlineStr">
        <is>
          <t>Design in editorial template. October filler month opener</t>
        </is>
      </c>
      <c r="N37" s="24" t="n"/>
      <c r="O37" s="24" t="inlineStr">
        <is>
          <t>https://github.com/RepoKing23/InstagramCarousel/tree/claude/convert-images-jpg-5jeayb/content/2026-10-05-filler-won-t-make-you</t>
        </is>
      </c>
      <c r="P37" s="32" t="inlineStr">
        <is>
          <t>Open folder</t>
        </is>
      </c>
      <c r="Q37" s="24" t="inlineStr">
        <is>
          <t>Not designed yet</t>
        </is>
      </c>
      <c r="R37" s="24" t="n"/>
      <c r="S37" s="28" t="inlineStr">
        <is>
          <t>Idea</t>
        </is>
      </c>
      <c r="T37" s="28" t="n"/>
      <c r="U37" s="28" t="n"/>
      <c r="V37" s="28" t="n"/>
      <c r="W37" s="28" t="n"/>
      <c r="X37" s="28" t="n"/>
      <c r="Y37" s="28" t="n"/>
      <c r="Z37" s="24" t="n"/>
      <c r="AA37" s="24" t="n"/>
      <c r="AB37" s="24" t="inlineStr">
        <is>
          <t>Not designed yet</t>
        </is>
      </c>
    </row>
    <row r="38" ht="57.45" customHeight="1" s="14">
      <c r="A38" s="29" t="n">
        <v>46301</v>
      </c>
      <c r="B38" s="30" t="inlineStr">
        <is>
          <t>Tue</t>
        </is>
      </c>
      <c r="C38" s="30" t="n">
        <v>8</v>
      </c>
      <c r="D38" s="30" t="inlineStr">
        <is>
          <t>Fillers, Naturally</t>
        </is>
      </c>
      <c r="E38" s="30" t="inlineStr">
        <is>
          <t>Single Image</t>
        </is>
      </c>
      <c r="F38" s="24" t="inlineStr">
        <is>
          <t>Dark</t>
        </is>
      </c>
      <c r="G38" s="30" t="inlineStr">
        <is>
          <t>IG + FB + TikTok photo + GBP</t>
        </is>
      </c>
      <c r="H38" s="30" t="inlineStr">
        <is>
          <t>Education</t>
        </is>
      </c>
      <c r="I38" s="30" t="inlineStr">
        <is>
          <t>Service Spotlight: Dermal Filler | Volume where you lost it. Nowhere else.</t>
        </is>
      </c>
      <c r="J38" s="30" t="inlineStr">
        <is>
          <t>Filler is not about changing your face. It is about restoring what time quietly took. October is filler month. 👀
#dermalfiller #lipfiller #cheekfiller #naturalfiller #facialbalancing #lipfillernatural #aestheticnurse #medspa #fillerjourney #lipgoals</t>
        </is>
      </c>
      <c r="K38" s="30" t="inlineStr">
        <is>
          <t>DM FILLER to start</t>
        </is>
      </c>
      <c r="L38" s="30" t="inlineStr">
        <is>
          <t>Set B</t>
        </is>
      </c>
      <c r="M38" s="30" t="inlineStr">
        <is>
          <t>Single image: filler product or treatment photo + hook</t>
        </is>
      </c>
      <c r="N38" s="24" t="n"/>
      <c r="O38" s="24" t="inlineStr">
        <is>
          <t>https://github.com/RepoKing23/InstagramCarousel/tree/claude/convert-images-jpg-5jeayb/content/2026-10-06-service-spotlight-dermal-filler</t>
        </is>
      </c>
      <c r="P38" s="34" t="inlineStr">
        <is>
          <t>Open folder</t>
        </is>
      </c>
      <c r="Q38" s="24" t="inlineStr">
        <is>
          <t>Not designed yet</t>
        </is>
      </c>
      <c r="R38" s="24" t="n"/>
      <c r="S38" s="30" t="inlineStr">
        <is>
          <t>Idea</t>
        </is>
      </c>
      <c r="T38" s="30" t="n"/>
      <c r="U38" s="30" t="n"/>
      <c r="V38" s="30" t="n"/>
      <c r="W38" s="30" t="n"/>
      <c r="X38" s="30" t="n"/>
      <c r="Y38" s="30" t="n"/>
      <c r="Z38" s="24" t="n"/>
      <c r="AA38" s="24" t="n"/>
      <c r="AB38" s="24" t="inlineStr">
        <is>
          <t>Not designed yet</t>
        </is>
      </c>
    </row>
    <row r="39" ht="57.45" customHeight="1" s="14">
      <c r="A39" s="27" t="n">
        <v>46303</v>
      </c>
      <c r="B39" s="28" t="inlineStr">
        <is>
          <t>Thu</t>
        </is>
      </c>
      <c r="C39" s="28" t="n">
        <v>8</v>
      </c>
      <c r="D39" s="28" t="inlineStr">
        <is>
          <t>Fillers, Naturally</t>
        </is>
      </c>
      <c r="E39" s="28" t="inlineStr">
        <is>
          <t>Carousel</t>
        </is>
      </c>
      <c r="F39" s="24" t="inlineStr">
        <is>
          <t>Photo</t>
        </is>
      </c>
      <c r="G39" s="28" t="inlineStr">
        <is>
          <t>Instagram feed + GBP</t>
        </is>
      </c>
      <c r="H39" s="28" t="inlineStr">
        <is>
          <t>Education</t>
        </is>
      </c>
      <c r="I39" s="28" t="inlineStr">
        <is>
          <t>Lip Filler: Natural vs Overdone | The difference is the injector.</t>
        </is>
      </c>
      <c r="J39" s="28"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K39" s="28" t="inlineStr">
        <is>
          <t>Save before you book anywhere</t>
        </is>
      </c>
      <c r="L39" s="28" t="inlineStr">
        <is>
          <t>Set B</t>
        </is>
      </c>
      <c r="M39" s="28" t="inlineStr">
        <is>
          <t>READY: before and after result card in this post's folder</t>
        </is>
      </c>
      <c r="N39" s="24" t="inlineStr">
        <is>
          <t>img_9908 (before), img_9912 (after)</t>
        </is>
      </c>
      <c r="O39" s="24" t="inlineStr">
        <is>
          <t>Not needed</t>
        </is>
      </c>
      <c r="P39" s="32" t="inlineStr">
        <is>
          <t>Open folder</t>
        </is>
      </c>
      <c r="Q39" s="33" t="inlineStr">
        <is>
          <t>View image (jpg)</t>
        </is>
      </c>
      <c r="R39" s="24">
        <f>IMAGE("https://raw.githubusercontent.com/RepoKing23/InstagramCarousel/claude/convert-images-jpg-5jeayb/content/2026-10-08-lip-filler-natural-vs-overdone/images/before-after-result.jpg")</f>
        <v/>
      </c>
      <c r="S39" s="28" t="inlineStr">
        <is>
          <t>Ready</t>
        </is>
      </c>
      <c r="T39" s="28" t="n"/>
      <c r="U39" s="28" t="n"/>
      <c r="V39" s="28" t="n"/>
      <c r="W39" s="28" t="n"/>
      <c r="X39" s="28" t="n"/>
      <c r="Y39" s="28" t="n"/>
      <c r="Z39" s="24" t="n"/>
      <c r="AA39" s="24" t="n"/>
      <c r="AB39" s="24" t="inlineStr">
        <is>
          <t>Not designed yet</t>
        </is>
      </c>
    </row>
    <row r="40" ht="46.25" customHeight="1" s="14">
      <c r="A40" s="29" t="n">
        <v>46304</v>
      </c>
      <c r="B40" s="30" t="inlineStr">
        <is>
          <t>Fri</t>
        </is>
      </c>
      <c r="C40" s="30" t="n">
        <v>8</v>
      </c>
      <c r="D40" s="30" t="inlineStr">
        <is>
          <t>Fillers, Naturally</t>
        </is>
      </c>
      <c r="E40" s="30" t="inlineStr">
        <is>
          <t>Single Image</t>
        </is>
      </c>
      <c r="F40" s="24" t="inlineStr">
        <is>
          <t>Dark</t>
        </is>
      </c>
      <c r="G40" s="30" t="inlineStr">
        <is>
          <t>IG + FB + TikTok photo + GBP</t>
        </is>
      </c>
      <c r="H40" s="30" t="inlineStr">
        <is>
          <t>Personality &amp; BTS</t>
        </is>
      </c>
      <c r="I40" s="30" t="inlineStr">
        <is>
          <t>Inside the Filler Appointment | Planned to the last drop.</t>
        </is>
      </c>
      <c r="J40" s="30" t="inlineStr">
        <is>
          <t>Cannulas, numbing, and a plan drawn before we start. This is what careful looks like.
#dermalfiller #lipfiller #cheekfiller #naturalfiller #facialbalancing #lipfillernatural #aestheticnurse #medspa #fillerjourney #lipgoals</t>
        </is>
      </c>
      <c r="K40" s="30" t="inlineStr">
        <is>
          <t>Follow for filler month</t>
        </is>
      </c>
      <c r="L40" s="30" t="inlineStr">
        <is>
          <t>Set B</t>
        </is>
      </c>
      <c r="M40" s="30" t="inlineStr">
        <is>
          <t>Single image: filler prep photo + hook</t>
        </is>
      </c>
      <c r="N40" s="24" t="n"/>
      <c r="O40" s="24" t="inlineStr">
        <is>
          <t>https://github.com/RepoKing23/InstagramCarousel/tree/claude/convert-images-jpg-5jeayb/content/2026-10-09-inside-the-filler-appointment</t>
        </is>
      </c>
      <c r="P40" s="34" t="inlineStr">
        <is>
          <t>Open folder</t>
        </is>
      </c>
      <c r="Q40" s="24" t="inlineStr">
        <is>
          <t>Not designed yet</t>
        </is>
      </c>
      <c r="R40" s="24" t="n"/>
      <c r="S40" s="30" t="inlineStr">
        <is>
          <t>Idea</t>
        </is>
      </c>
      <c r="T40" s="30" t="n"/>
      <c r="U40" s="30" t="n"/>
      <c r="V40" s="30" t="n"/>
      <c r="W40" s="30" t="n"/>
      <c r="X40" s="30" t="n"/>
      <c r="Y40" s="30" t="n"/>
      <c r="Z40" s="24" t="n"/>
      <c r="AA40" s="24" t="n"/>
      <c r="AB40" s="24" t="inlineStr">
        <is>
          <t>Not designed yet</t>
        </is>
      </c>
    </row>
    <row r="41" ht="46.25" customHeight="1" s="14">
      <c r="A41" s="29" t="n">
        <v>46305</v>
      </c>
      <c r="B41" s="30" t="inlineStr">
        <is>
          <t>Sat</t>
        </is>
      </c>
      <c r="C41" s="30" t="n">
        <v>8</v>
      </c>
      <c r="D41" s="30" t="inlineStr">
        <is>
          <t>Fillers, Naturally</t>
        </is>
      </c>
      <c r="E41" s="30" t="inlineStr">
        <is>
          <t>Before/After</t>
        </is>
      </c>
      <c r="F41" s="24" t="inlineStr">
        <is>
          <t>Photo</t>
        </is>
      </c>
      <c r="G41" s="30" t="inlineStr">
        <is>
          <t>IG + FB + TikTok photo + GBP</t>
        </is>
      </c>
      <c r="H41" s="30" t="inlineStr">
        <is>
          <t>Trust &amp; Proof</t>
        </is>
      </c>
      <c r="I41" s="30" t="inlineStr">
        <is>
          <t>Subtle Is the New Dramatic | The quote, proved.</t>
        </is>
      </c>
      <c r="J41" s="3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K41" s="30" t="inlineStr">
        <is>
          <t>Save this</t>
        </is>
      </c>
      <c r="L41" s="30" t="inlineStr">
        <is>
          <t>Set C</t>
        </is>
      </c>
      <c r="M41" s="30" t="inlineStr">
        <is>
          <t>Before and after card in editorial template. Crop to treatment area, no faces</t>
        </is>
      </c>
      <c r="N41" s="24" t="inlineStr">
        <is>
          <t>img_1119 (before), img_1123 (after)</t>
        </is>
      </c>
      <c r="O41" s="24" t="inlineStr">
        <is>
          <t>On file</t>
        </is>
      </c>
      <c r="P41" s="34" t="inlineStr">
        <is>
          <t>Open folder</t>
        </is>
      </c>
      <c r="Q41" s="33" t="inlineStr">
        <is>
          <t>View image (jpg)</t>
        </is>
      </c>
      <c r="R41" s="24">
        <f>IMAGE("https://raw.githubusercontent.com/RepoKing23/InstagramCarousel/claude/convert-images-jpg-5jeayb/content/2026-10-10-subtle-is-the-new-dramatic/images/before-after-result.jpg")</f>
        <v/>
      </c>
      <c r="S41" s="30" t="inlineStr">
        <is>
          <t>Ready</t>
        </is>
      </c>
      <c r="T41" s="30" t="n"/>
      <c r="U41" s="30" t="n"/>
      <c r="V41" s="30" t="n"/>
      <c r="W41" s="30" t="n"/>
      <c r="X41" s="30" t="n"/>
      <c r="Y41" s="30" t="n"/>
      <c r="Z41" s="24" t="n"/>
      <c r="AA41" s="24" t="n"/>
      <c r="AB41" s="24" t="inlineStr">
        <is>
          <t>Not designed yet</t>
        </is>
      </c>
    </row>
    <row r="42" ht="57.45" customHeight="1" s="14">
      <c r="A42" s="27" t="n">
        <v>46307</v>
      </c>
      <c r="B42" s="28" t="inlineStr">
        <is>
          <t>Mon</t>
        </is>
      </c>
      <c r="C42" s="28" t="n">
        <v>9</v>
      </c>
      <c r="D42" s="28" t="inlineStr">
        <is>
          <t>Fillers, Naturally</t>
        </is>
      </c>
      <c r="E42" s="28" t="inlineStr">
        <is>
          <t>Carousel</t>
        </is>
      </c>
      <c r="F42" s="24" t="inlineStr">
        <is>
          <t>Light</t>
        </is>
      </c>
      <c r="G42" s="28" t="inlineStr">
        <is>
          <t>Instagram feed + GBP</t>
        </is>
      </c>
      <c r="H42" s="28" t="inlineStr">
        <is>
          <t>Education</t>
        </is>
      </c>
      <c r="I42" s="28" t="inlineStr">
        <is>
          <t>Cheek Filler: The Secret Nobody Talks About | The treatment behind the best natural glow-ups.</t>
        </is>
      </c>
      <c r="J42" s="28"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K42" s="28" t="inlineStr">
        <is>
          <t>DM CHEEKS to learn more</t>
        </is>
      </c>
      <c r="L42" s="28" t="inlineStr">
        <is>
          <t>Set B</t>
        </is>
      </c>
      <c r="M42" s="28" t="inlineStr">
        <is>
          <t>Design in editorial template</t>
        </is>
      </c>
      <c r="N42" s="24" t="n"/>
      <c r="O42" s="24" t="inlineStr">
        <is>
          <t>https://github.com/RepoKing23/InstagramCarousel/tree/claude/convert-images-jpg-5jeayb/content/2026-10-12-cheek-filler-the-secret-nobody</t>
        </is>
      </c>
      <c r="P42" s="32" t="inlineStr">
        <is>
          <t>Open folder</t>
        </is>
      </c>
      <c r="Q42" s="24" t="inlineStr">
        <is>
          <t>Not designed yet</t>
        </is>
      </c>
      <c r="R42" s="24" t="n"/>
      <c r="S42" s="28" t="inlineStr">
        <is>
          <t>Idea</t>
        </is>
      </c>
      <c r="T42" s="28" t="n"/>
      <c r="U42" s="28" t="n"/>
      <c r="V42" s="28" t="n"/>
      <c r="W42" s="28" t="n"/>
      <c r="X42" s="28" t="n"/>
      <c r="Y42" s="28" t="n"/>
      <c r="Z42" s="24" t="n"/>
      <c r="AA42" s="24" t="n"/>
      <c r="AB42" s="24" t="inlineStr">
        <is>
          <t>Not designed yet</t>
        </is>
      </c>
    </row>
    <row r="43" ht="57.45" customHeight="1" s="14">
      <c r="A43" s="29" t="n">
        <v>46308</v>
      </c>
      <c r="B43" s="30" t="inlineStr">
        <is>
          <t>Tue</t>
        </is>
      </c>
      <c r="C43" s="30" t="n">
        <v>9</v>
      </c>
      <c r="D43" s="30" t="inlineStr">
        <is>
          <t>Fillers, Naturally</t>
        </is>
      </c>
      <c r="E43" s="30" t="inlineStr">
        <is>
          <t>Single Image</t>
        </is>
      </c>
      <c r="F43" s="24" t="inlineStr">
        <is>
          <t>Light</t>
        </is>
      </c>
      <c r="G43" s="30" t="inlineStr">
        <is>
          <t>IG + FB + TikTok photo + GBP</t>
        </is>
      </c>
      <c r="H43" s="30" t="inlineStr">
        <is>
          <t>Education</t>
        </is>
      </c>
      <c r="I43" s="30" t="inlineStr">
        <is>
          <t>Service Spotlight: Cheek Filler | The lift nobody talks about.</t>
        </is>
      </c>
      <c r="J43" s="30" t="inlineStr">
        <is>
          <t>Lifted, refreshed, never puffy. Cheek filler is quietly behind the most natural glow-ups you have seen.
#dermalfiller #lipfiller #cheekfiller #naturalfiller #facialbalancing #lipfillernatural #aestheticnurse #medspa #fillerjourney #lipgoals</t>
        </is>
      </c>
      <c r="K43" s="30" t="inlineStr">
        <is>
          <t>DM CHEEKS to learn more</t>
        </is>
      </c>
      <c r="L43" s="30" t="inlineStr">
        <is>
          <t>Set B</t>
        </is>
      </c>
      <c r="M43" s="30" t="inlineStr">
        <is>
          <t>Single image: cheek treatment photo + hook</t>
        </is>
      </c>
      <c r="N43" s="24" t="n"/>
      <c r="O43" s="24" t="inlineStr">
        <is>
          <t>https://github.com/RepoKing23/InstagramCarousel/tree/claude/convert-images-jpg-5jeayb/content/2026-10-13-service-spotlight-cheek-filler</t>
        </is>
      </c>
      <c r="P43" s="34" t="inlineStr">
        <is>
          <t>Open folder</t>
        </is>
      </c>
      <c r="Q43" s="24" t="inlineStr">
        <is>
          <t>Not designed yet</t>
        </is>
      </c>
      <c r="R43" s="24" t="n"/>
      <c r="S43" s="30" t="inlineStr">
        <is>
          <t>Idea</t>
        </is>
      </c>
      <c r="T43" s="30" t="n"/>
      <c r="U43" s="30" t="n"/>
      <c r="V43" s="30" t="n"/>
      <c r="W43" s="30" t="n"/>
      <c r="X43" s="30" t="n"/>
      <c r="Y43" s="30" t="n"/>
      <c r="Z43" s="24" t="n"/>
      <c r="AA43" s="24" t="n"/>
      <c r="AB43" s="24" t="inlineStr">
        <is>
          <t>Not designed yet</t>
        </is>
      </c>
    </row>
    <row r="44" ht="57.45" customHeight="1" s="14">
      <c r="A44" s="27" t="n">
        <v>46310</v>
      </c>
      <c r="B44" s="28" t="inlineStr">
        <is>
          <t>Thu</t>
        </is>
      </c>
      <c r="C44" s="28" t="n">
        <v>9</v>
      </c>
      <c r="D44" s="28" t="inlineStr">
        <is>
          <t>Fillers, Naturally</t>
        </is>
      </c>
      <c r="E44" s="28" t="inlineStr">
        <is>
          <t>Carousel</t>
        </is>
      </c>
      <c r="F44" s="24" t="inlineStr">
        <is>
          <t>Photo</t>
        </is>
      </c>
      <c r="G44" s="28" t="inlineStr">
        <is>
          <t>Instagram feed + GBP</t>
        </is>
      </c>
      <c r="H44" s="28" t="inlineStr">
        <is>
          <t>Trust &amp; Proof</t>
        </is>
      </c>
      <c r="I44" s="28" t="inlineStr">
        <is>
          <t>Real Lips. Real Results. | Four clients. One syringe each.</t>
        </is>
      </c>
      <c r="J44" s="28"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K44" s="28" t="inlineStr">
        <is>
          <t>DM LIPS to book yours</t>
        </is>
      </c>
      <c r="L44" s="28" t="inlineStr">
        <is>
          <t>Set B</t>
        </is>
      </c>
      <c r="M44" s="28" t="inlineStr">
        <is>
          <t>Carousel: cover + 5 before and after slides + CTA. Crop to treatment area, no faces</t>
        </is>
      </c>
      <c r="N44" s="24" t="inlineStr">
        <is>
          <t>Pairs: 9908/9912, 0221/0233, 0962/0998, 1119/1123, 9848/9850</t>
        </is>
      </c>
      <c r="O44" s="24" t="inlineStr">
        <is>
          <t>On file</t>
        </is>
      </c>
      <c r="P44" s="32" t="inlineStr">
        <is>
          <t>Open folder</t>
        </is>
      </c>
      <c r="Q44" s="33" t="inlineStr">
        <is>
          <t>View 7 slides (jpg)</t>
        </is>
      </c>
      <c r="R44" s="24">
        <f>IMAGE("https://raw.githubusercontent.com/RepoKing23/InstagramCarousel/claude/convert-images-jpg-5jeayb/content/2026-10-15-real-lips-real-results/images/slide-1.jpg")</f>
        <v/>
      </c>
      <c r="S44" s="28" t="inlineStr">
        <is>
          <t>Ready</t>
        </is>
      </c>
      <c r="T44" s="28" t="n"/>
      <c r="U44" s="28" t="n"/>
      <c r="V44" s="28" t="n"/>
      <c r="W44" s="28" t="n"/>
      <c r="X44" s="28" t="n"/>
      <c r="Y44" s="28" t="n"/>
      <c r="Z44" s="24" t="n"/>
      <c r="AA44" s="24" t="n"/>
      <c r="AB44" s="24" t="inlineStr">
        <is>
          <t>Not designed yet</t>
        </is>
      </c>
    </row>
    <row r="45" ht="57.45" customHeight="1" s="14">
      <c r="A45" s="29" t="n">
        <v>46311</v>
      </c>
      <c r="B45" s="30" t="inlineStr">
        <is>
          <t>Fri</t>
        </is>
      </c>
      <c r="C45" s="30" t="n">
        <v>9</v>
      </c>
      <c r="D45" s="30" t="inlineStr">
        <is>
          <t>Fillers, Naturally</t>
        </is>
      </c>
      <c r="E45" s="30" t="inlineStr">
        <is>
          <t>Single Image</t>
        </is>
      </c>
      <c r="F45" s="24" t="inlineStr">
        <is>
          <t>Dark</t>
        </is>
      </c>
      <c r="G45" s="30" t="inlineStr">
        <is>
          <t>IG + FB + TikTok photo + GBP</t>
        </is>
      </c>
      <c r="H45" s="30" t="inlineStr">
        <is>
          <t>Education</t>
        </is>
      </c>
      <c r="I45" s="30" t="inlineStr">
        <is>
          <t>Facial Balancing 101 | One plan beats three syringes.</t>
        </is>
      </c>
      <c r="J45" s="30" t="inlineStr">
        <is>
          <t>One syringe in the right place beats three in the wrong ones. Balance first, volume second. Always.
#dermalfiller #lipfiller #cheekfiller #naturalfiller #facialbalancing #lipfillernatural #aestheticnurse #medspa #fillerjourney #lipgoals</t>
        </is>
      </c>
      <c r="K45" s="30" t="inlineStr">
        <is>
          <t>Book a balancing consult</t>
        </is>
      </c>
      <c r="L45" s="30" t="inlineStr">
        <is>
          <t>Set B</t>
        </is>
      </c>
      <c r="M45" s="30" t="inlineStr">
        <is>
          <t>Single image: face-map diagram card</t>
        </is>
      </c>
      <c r="N45" s="24" t="n"/>
      <c r="O45" s="24" t="inlineStr">
        <is>
          <t>https://github.com/RepoKing23/InstagramCarousel/tree/claude/convert-images-jpg-5jeayb/content/2026-10-16-facial-balancing-101</t>
        </is>
      </c>
      <c r="P45" s="34" t="inlineStr">
        <is>
          <t>Open folder</t>
        </is>
      </c>
      <c r="Q45" s="24" t="inlineStr">
        <is>
          <t>Not designed yet</t>
        </is>
      </c>
      <c r="R45" s="24" t="n"/>
      <c r="S45" s="30" t="inlineStr">
        <is>
          <t>Idea</t>
        </is>
      </c>
      <c r="T45" s="30" t="n"/>
      <c r="U45" s="30" t="n"/>
      <c r="V45" s="30" t="n"/>
      <c r="W45" s="30" t="n"/>
      <c r="X45" s="30" t="n"/>
      <c r="Y45" s="30" t="n"/>
      <c r="Z45" s="24" t="n"/>
      <c r="AA45" s="24" t="n"/>
      <c r="AB45" s="24" t="inlineStr">
        <is>
          <t>Not designed yet</t>
        </is>
      </c>
    </row>
    <row r="46" ht="57.45" customHeight="1" s="14">
      <c r="A46" s="29" t="n">
        <v>46312</v>
      </c>
      <c r="B46" s="30" t="inlineStr">
        <is>
          <t>Sat</t>
        </is>
      </c>
      <c r="C46" s="30" t="n">
        <v>9</v>
      </c>
      <c r="D46" s="30" t="inlineStr">
        <is>
          <t>Fillers, Naturally</t>
        </is>
      </c>
      <c r="E46" s="30" t="inlineStr">
        <is>
          <t>Single Image</t>
        </is>
      </c>
      <c r="F46" s="24" t="inlineStr">
        <is>
          <t>Light</t>
        </is>
      </c>
      <c r="G46" s="30" t="inlineStr">
        <is>
          <t>IG + FB + TikTok photo + GBP</t>
        </is>
      </c>
      <c r="H46" s="30" t="inlineStr">
        <is>
          <t>Education</t>
        </is>
      </c>
      <c r="I46" s="30" t="inlineStr">
        <is>
          <t>FAQ: How Much Filler Do I Need? | The honest answer.</t>
        </is>
      </c>
      <c r="J46" s="30" t="inlineStr">
        <is>
          <t>Less than Instagram makes you think. Most natural results start with one syringe or less. Here is why.
#npinjector #nursepractitioner #medspalife #luxurybeauty #aestheticnurse #skincareexpert #beautyclinic #selfcare #naturalresults #honestbeauty</t>
        </is>
      </c>
      <c r="K46" s="30" t="inlineStr">
        <is>
          <t>More FAQs? DM me</t>
        </is>
      </c>
      <c r="L46" s="30" t="inlineStr">
        <is>
          <t>Set C</t>
        </is>
      </c>
      <c r="M46" s="30" t="inlineStr">
        <is>
          <t>FAQ card in brand style</t>
        </is>
      </c>
      <c r="N46" s="24" t="n"/>
      <c r="O46" s="24" t="inlineStr">
        <is>
          <t>https://github.com/RepoKing23/InstagramCarousel/tree/claude/convert-images-jpg-5jeayb/content/2026-10-17-faq-how-much-filler-do</t>
        </is>
      </c>
      <c r="P46" s="34" t="inlineStr">
        <is>
          <t>Open folder</t>
        </is>
      </c>
      <c r="Q46" s="24" t="inlineStr">
        <is>
          <t>Not designed yet</t>
        </is>
      </c>
      <c r="R46" s="24" t="n"/>
      <c r="S46" s="30" t="inlineStr">
        <is>
          <t>Idea</t>
        </is>
      </c>
      <c r="T46" s="30" t="n"/>
      <c r="U46" s="30" t="n"/>
      <c r="V46" s="30" t="n"/>
      <c r="W46" s="30" t="n"/>
      <c r="X46" s="30" t="n"/>
      <c r="Y46" s="30" t="n"/>
      <c r="Z46" s="24" t="n"/>
      <c r="AA46" s="24" t="n"/>
      <c r="AB46" s="24" t="inlineStr">
        <is>
          <t>Not designed yet</t>
        </is>
      </c>
    </row>
    <row r="47" ht="57.45" customHeight="1" s="14">
      <c r="A47" s="27" t="n">
        <v>46314</v>
      </c>
      <c r="B47" s="28" t="inlineStr">
        <is>
          <t>Mon</t>
        </is>
      </c>
      <c r="C47" s="28" t="n">
        <v>10</v>
      </c>
      <c r="D47" s="28" t="inlineStr">
        <is>
          <t>Fillers, Naturally</t>
        </is>
      </c>
      <c r="E47" s="28" t="inlineStr">
        <is>
          <t>Carousel</t>
        </is>
      </c>
      <c r="F47" s="24" t="inlineStr">
        <is>
          <t>Light</t>
        </is>
      </c>
      <c r="G47" s="28" t="inlineStr">
        <is>
          <t>Instagram feed + GBP</t>
        </is>
      </c>
      <c r="H47" s="28" t="inlineStr">
        <is>
          <t>Education</t>
        </is>
      </c>
      <c r="I47" s="28" t="inlineStr">
        <is>
          <t>Filler Dissolves. Here Is the Real Timeline. | What they do not tell you about longevity.</t>
        </is>
      </c>
      <c r="J47" s="28"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K47" s="28" t="inlineStr">
        <is>
          <t>Book your plan. Link in bio</t>
        </is>
      </c>
      <c r="L47" s="28" t="inlineStr">
        <is>
          <t>Set B</t>
        </is>
      </c>
      <c r="M47" s="28" t="inlineStr">
        <is>
          <t>Design timeline layout</t>
        </is>
      </c>
      <c r="N47" s="24" t="n"/>
      <c r="O47" s="24" t="inlineStr">
        <is>
          <t>https://github.com/RepoKing23/InstagramCarousel/tree/claude/convert-images-jpg-5jeayb/content/2026-10-19-filler-dissolves-here-is-the</t>
        </is>
      </c>
      <c r="P47" s="32" t="inlineStr">
        <is>
          <t>Open folder</t>
        </is>
      </c>
      <c r="Q47" s="24" t="inlineStr">
        <is>
          <t>Not designed yet</t>
        </is>
      </c>
      <c r="R47" s="24" t="n"/>
      <c r="S47" s="28" t="inlineStr">
        <is>
          <t>Idea</t>
        </is>
      </c>
      <c r="T47" s="28" t="n"/>
      <c r="U47" s="28" t="n"/>
      <c r="V47" s="28" t="n"/>
      <c r="W47" s="28" t="n"/>
      <c r="X47" s="28" t="n"/>
      <c r="Y47" s="28" t="n"/>
      <c r="Z47" s="24" t="n"/>
      <c r="AA47" s="24" t="n"/>
      <c r="AB47" s="24" t="inlineStr">
        <is>
          <t>Not designed yet</t>
        </is>
      </c>
    </row>
    <row r="48" ht="57.45" customHeight="1" s="14">
      <c r="A48" s="29" t="n">
        <v>46315</v>
      </c>
      <c r="B48" s="30" t="inlineStr">
        <is>
          <t>Tue</t>
        </is>
      </c>
      <c r="C48" s="30" t="n">
        <v>10</v>
      </c>
      <c r="D48" s="30" t="inlineStr">
        <is>
          <t>Fillers, Naturally</t>
        </is>
      </c>
      <c r="E48" s="30" t="inlineStr">
        <is>
          <t>Single Image</t>
        </is>
      </c>
      <c r="F48" s="24" t="inlineStr">
        <is>
          <t>Dark</t>
        </is>
      </c>
      <c r="G48" s="30" t="inlineStr">
        <is>
          <t>IG + FB + TikTok photo + GBP</t>
        </is>
      </c>
      <c r="H48" s="30" t="inlineStr">
        <is>
          <t>Education</t>
        </is>
      </c>
      <c r="I48" s="30" t="inlineStr">
        <is>
          <t>The Filler Timeline | What happens as it fades.</t>
        </is>
      </c>
      <c r="J48" s="30" t="inlineStr">
        <is>
          <t>Filler does not vanish overnight and you will not deflate. It softens slowly, on a schedule you can plan around.
#dermalfiller #lipfiller #cheekfiller #naturalfiller #facialbalancing #lipfillernatural #aestheticnurse #medspa #fillerjourney #lipgoals</t>
        </is>
      </c>
      <c r="K48" s="30" t="inlineStr">
        <is>
          <t>Save this</t>
        </is>
      </c>
      <c r="L48" s="30" t="inlineStr">
        <is>
          <t>Set B</t>
        </is>
      </c>
      <c r="M48" s="30" t="inlineStr">
        <is>
          <t>Single image: timeline infographic card</t>
        </is>
      </c>
      <c r="N48" s="24" t="n"/>
      <c r="O48" s="24" t="inlineStr">
        <is>
          <t>https://github.com/RepoKing23/InstagramCarousel/tree/claude/convert-images-jpg-5jeayb/content/2026-10-20-the-filler-timeline</t>
        </is>
      </c>
      <c r="P48" s="34" t="inlineStr">
        <is>
          <t>Open folder</t>
        </is>
      </c>
      <c r="Q48" s="24" t="inlineStr">
        <is>
          <t>Not designed yet</t>
        </is>
      </c>
      <c r="R48" s="24" t="n"/>
      <c r="S48" s="30" t="inlineStr">
        <is>
          <t>Idea</t>
        </is>
      </c>
      <c r="T48" s="30" t="n"/>
      <c r="U48" s="30" t="n"/>
      <c r="V48" s="30" t="n"/>
      <c r="W48" s="30" t="n"/>
      <c r="X48" s="30" t="n"/>
      <c r="Y48" s="30" t="n"/>
      <c r="Z48" s="24" t="n"/>
      <c r="AA48" s="24" t="n"/>
      <c r="AB48" s="24" t="inlineStr">
        <is>
          <t>Not designed yet</t>
        </is>
      </c>
    </row>
    <row r="49" ht="57.45" customHeight="1" s="14">
      <c r="A49" s="27" t="n">
        <v>46317</v>
      </c>
      <c r="B49" s="28" t="inlineStr">
        <is>
          <t>Thu</t>
        </is>
      </c>
      <c r="C49" s="28" t="n">
        <v>10</v>
      </c>
      <c r="D49" s="28" t="inlineStr">
        <is>
          <t>Fillers, Naturally</t>
        </is>
      </c>
      <c r="E49" s="28" t="inlineStr">
        <is>
          <t>Carousel</t>
        </is>
      </c>
      <c r="F49" s="24" t="inlineStr">
        <is>
          <t>Photo</t>
        </is>
      </c>
      <c r="G49" s="28" t="inlineStr">
        <is>
          <t>Instagram feed + GBP</t>
        </is>
      </c>
      <c r="H49" s="28" t="inlineStr">
        <is>
          <t>Education</t>
        </is>
      </c>
      <c r="I49" s="28" t="inlineStr">
        <is>
          <t>Lip Filler Aftercare: Your First Week | Swelling is normal. Panic is optional.</t>
        </is>
      </c>
      <c r="J49" s="28"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K49" s="28" t="inlineStr">
        <is>
          <t>Save this guide</t>
        </is>
      </c>
      <c r="L49" s="28" t="inlineStr">
        <is>
          <t>Set B</t>
        </is>
      </c>
      <c r="M49" s="28" t="inlineStr">
        <is>
          <t>Carousel: day by day. Day zero card built from the img_9848 / img_9850 pair. Crop to treatment area, no faces</t>
        </is>
      </c>
      <c r="N49" s="24" t="inlineStr">
        <is>
          <t>img_9848 (before) + img_9850 (right after); img_7715, whatsapp composite</t>
        </is>
      </c>
      <c r="O49" s="24" t="inlineStr">
        <is>
          <t>On file</t>
        </is>
      </c>
      <c r="P49" s="32" t="inlineStr">
        <is>
          <t>Open folder</t>
        </is>
      </c>
      <c r="Q49" s="33" t="inlineStr">
        <is>
          <t>View image (jpg)</t>
        </is>
      </c>
      <c r="R49" s="24">
        <f>IMAGE("https://raw.githubusercontent.com/RepoKing23/InstagramCarousel/claude/convert-images-jpg-5jeayb/content/2026-10-22-lip-filler-aftercare-your-first/images/day-zero-before-after.jpg")</f>
        <v/>
      </c>
      <c r="S49" s="28" t="inlineStr">
        <is>
          <t>Design</t>
        </is>
      </c>
      <c r="T49" s="28" t="n"/>
      <c r="U49" s="28" t="n"/>
      <c r="V49" s="28" t="n"/>
      <c r="W49" s="28" t="n"/>
      <c r="X49" s="28" t="n"/>
      <c r="Y49" s="28" t="n"/>
      <c r="Z49" s="24" t="n"/>
      <c r="AA49" s="24" t="n"/>
      <c r="AB49" s="24" t="inlineStr">
        <is>
          <t>Not designed yet</t>
        </is>
      </c>
    </row>
    <row r="50" ht="57.45" customHeight="1" s="14">
      <c r="A50" s="29" t="n">
        <v>46318</v>
      </c>
      <c r="B50" s="30" t="inlineStr">
        <is>
          <t>Fri</t>
        </is>
      </c>
      <c r="C50" s="30" t="n">
        <v>10</v>
      </c>
      <c r="D50" s="30" t="inlineStr">
        <is>
          <t>Fillers, Naturally</t>
        </is>
      </c>
      <c r="E50" s="30" t="inlineStr">
        <is>
          <t>Single Image</t>
        </is>
      </c>
      <c r="F50" s="24" t="inlineStr">
        <is>
          <t>Dark</t>
        </is>
      </c>
      <c r="G50" s="30" t="inlineStr">
        <is>
          <t>IG + FB + TikTok photo + GBP</t>
        </is>
      </c>
      <c r="H50" s="30" t="inlineStr">
        <is>
          <t>Education</t>
        </is>
      </c>
      <c r="I50" s="30" t="inlineStr">
        <is>
          <t>Aftercare Essentials | Save this for after your appointment.</t>
        </is>
      </c>
      <c r="J50" s="30" t="inlineStr">
        <is>
          <t>Ice, no gym for 24 hours, sleep on your back, and message me with anything. That is it. Save this.
#dermalfiller #lipfiller #cheekfiller #naturalfiller #facialbalancing #lipfillernatural #aestheticnurse #medspa #fillerjourney #lipgoals</t>
        </is>
      </c>
      <c r="K50" s="30" t="inlineStr">
        <is>
          <t>Save + share</t>
        </is>
      </c>
      <c r="L50" s="30" t="inlineStr">
        <is>
          <t>Set B</t>
        </is>
      </c>
      <c r="M50" s="30" t="inlineStr">
        <is>
          <t>Single image: 4-point checklist card</t>
        </is>
      </c>
      <c r="N50" s="24" t="n"/>
      <c r="O50" s="24" t="inlineStr">
        <is>
          <t>https://github.com/RepoKing23/InstagramCarousel/tree/claude/convert-images-jpg-5jeayb/content/2026-10-23-aftercare-essentials</t>
        </is>
      </c>
      <c r="P50" s="34" t="inlineStr">
        <is>
          <t>Open folder</t>
        </is>
      </c>
      <c r="Q50" s="24" t="inlineStr">
        <is>
          <t>Not designed yet</t>
        </is>
      </c>
      <c r="R50" s="24" t="n"/>
      <c r="S50" s="30" t="inlineStr">
        <is>
          <t>Idea</t>
        </is>
      </c>
      <c r="T50" s="30" t="n"/>
      <c r="U50" s="30" t="n"/>
      <c r="V50" s="30" t="n"/>
      <c r="W50" s="30" t="n"/>
      <c r="X50" s="30" t="n"/>
      <c r="Y50" s="30" t="n"/>
      <c r="Z50" s="24" t="n"/>
      <c r="AA50" s="24" t="n"/>
      <c r="AB50" s="24" t="inlineStr">
        <is>
          <t>Not designed yet</t>
        </is>
      </c>
    </row>
    <row r="51" ht="57.45" customHeight="1" s="14">
      <c r="A51" s="29" t="n">
        <v>46319</v>
      </c>
      <c r="B51" s="30" t="inlineStr">
        <is>
          <t>Sat</t>
        </is>
      </c>
      <c r="C51" s="30" t="n">
        <v>10</v>
      </c>
      <c r="D51" s="30" t="inlineStr">
        <is>
          <t>Fillers, Naturally</t>
        </is>
      </c>
      <c r="E51" s="30" t="inlineStr">
        <is>
          <t>Before/After</t>
        </is>
      </c>
      <c r="F51" s="24" t="inlineStr">
        <is>
          <t>Photo</t>
        </is>
      </c>
      <c r="G51" s="30" t="inlineStr">
        <is>
          <t>IG + FB + TikTok photo + GBP</t>
        </is>
      </c>
      <c r="H51" s="30" t="inlineStr">
        <is>
          <t>Trust &amp; Proof</t>
        </is>
      </c>
      <c r="I51" s="30" t="inlineStr">
        <is>
          <t>Client Words: The Lip Glow-Up | Her words, her result.</t>
        </is>
      </c>
      <c r="J51" s="3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K51" s="30" t="inlineStr">
        <is>
          <t>Your turn. DM FILLER</t>
        </is>
      </c>
      <c r="L51" s="30" t="inlineStr">
        <is>
          <t>Set C</t>
        </is>
      </c>
      <c r="M51" s="30" t="inlineStr">
        <is>
          <t>Testimonial quote over before and after card. Crop to treatment area, no faces</t>
        </is>
      </c>
      <c r="N51" s="24" t="inlineStr">
        <is>
          <t>img_0962 (before), img_0998 (after)</t>
        </is>
      </c>
      <c r="O51" s="24" t="inlineStr">
        <is>
          <t>On file</t>
        </is>
      </c>
      <c r="P51" s="34" t="inlineStr">
        <is>
          <t>Open folder</t>
        </is>
      </c>
      <c r="Q51" s="33" t="inlineStr">
        <is>
          <t>View image (jpg)</t>
        </is>
      </c>
      <c r="R51" s="24">
        <f>IMAGE("https://raw.githubusercontent.com/RepoKing23/InstagramCarousel/claude/convert-images-jpg-5jeayb/content/2026-10-24-client-words-the-lip-glow/images/before-after-result.jpg")</f>
        <v/>
      </c>
      <c r="S51" s="30" t="inlineStr">
        <is>
          <t>Ready</t>
        </is>
      </c>
      <c r="T51" s="30" t="n"/>
      <c r="U51" s="30" t="n"/>
      <c r="V51" s="30" t="n"/>
      <c r="W51" s="30" t="n"/>
      <c r="X51" s="30" t="n"/>
      <c r="Y51" s="30" t="n"/>
      <c r="Z51" s="24" t="n"/>
      <c r="AA51" s="24" t="n"/>
      <c r="AB51" s="24" t="inlineStr">
        <is>
          <t>Not designed yet</t>
        </is>
      </c>
    </row>
    <row r="52" ht="57.45" customHeight="1" s="14">
      <c r="A52" s="27" t="n">
        <v>46321</v>
      </c>
      <c r="B52" s="28" t="inlineStr">
        <is>
          <t>Mon</t>
        </is>
      </c>
      <c r="C52" s="28" t="n">
        <v>11</v>
      </c>
      <c r="D52" s="28" t="inlineStr">
        <is>
          <t>Fillers, Naturally</t>
        </is>
      </c>
      <c r="E52" s="28" t="inlineStr">
        <is>
          <t>Carousel</t>
        </is>
      </c>
      <c r="F52" s="24" t="inlineStr">
        <is>
          <t>Light</t>
        </is>
      </c>
      <c r="G52" s="28" t="inlineStr">
        <is>
          <t>Instagram feed + GBP</t>
        </is>
      </c>
      <c r="H52" s="28" t="inlineStr">
        <is>
          <t>Education</t>
        </is>
      </c>
      <c r="I52" s="28" t="inlineStr">
        <is>
          <t>5 Filler Lies You Still Believe | The sequel you asked for.</t>
        </is>
      </c>
      <c r="J52" s="28"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K52" s="28" t="inlineStr">
        <is>
          <t>Share with a friend</t>
        </is>
      </c>
      <c r="L52" s="28" t="inlineStr">
        <is>
          <t>Set B</t>
        </is>
      </c>
      <c r="M52" s="28" t="inlineStr">
        <is>
          <t>Design in editorial template. Sequel to Botox lies</t>
        </is>
      </c>
      <c r="N52" s="24" t="n"/>
      <c r="O52" s="24" t="inlineStr">
        <is>
          <t>https://github.com/RepoKing23/InstagramCarousel/tree/claude/convert-images-jpg-5jeayb/content/2026-10-26-5-filler-lies-you-still</t>
        </is>
      </c>
      <c r="P52" s="32" t="inlineStr">
        <is>
          <t>Open folder</t>
        </is>
      </c>
      <c r="Q52" s="24" t="inlineStr">
        <is>
          <t>Not designed yet</t>
        </is>
      </c>
      <c r="R52" s="24" t="n"/>
      <c r="S52" s="28" t="inlineStr">
        <is>
          <t>Idea</t>
        </is>
      </c>
      <c r="T52" s="28" t="n"/>
      <c r="U52" s="28" t="n"/>
      <c r="V52" s="28" t="n"/>
      <c r="W52" s="28" t="n"/>
      <c r="X52" s="28" t="n"/>
      <c r="Y52" s="28" t="n"/>
      <c r="Z52" s="24" t="n"/>
      <c r="AA52" s="24" t="n"/>
      <c r="AB52" s="24" t="inlineStr">
        <is>
          <t>Not designed yet</t>
        </is>
      </c>
    </row>
    <row r="53" ht="57.45" customHeight="1" s="14">
      <c r="A53" s="29" t="n">
        <v>46322</v>
      </c>
      <c r="B53" s="30" t="inlineStr">
        <is>
          <t>Tue</t>
        </is>
      </c>
      <c r="C53" s="30" t="n">
        <v>11</v>
      </c>
      <c r="D53" s="30" t="inlineStr">
        <is>
          <t>Fillers, Naturally</t>
        </is>
      </c>
      <c r="E53" s="30" t="inlineStr">
        <is>
          <t>Single Image</t>
        </is>
      </c>
      <c r="F53" s="24" t="inlineStr">
        <is>
          <t>Dark</t>
        </is>
      </c>
      <c r="G53" s="30" t="inlineStr">
        <is>
          <t>IG + FB + TikTok photo + GBP</t>
        </is>
      </c>
      <c r="H53" s="30" t="inlineStr">
        <is>
          <t>Education</t>
        </is>
      </c>
      <c r="I53" s="30" t="inlineStr">
        <is>
          <t>Myth vs Truth: Filler Edition | The one everyone believes.</t>
        </is>
      </c>
      <c r="J53" s="30" t="inlineStr">
        <is>
          <t>MYTH: filler stretches your lips forever. TRUTH: treated well, your lips return to baseline as filler softens.
#dermalfiller #lipfiller #cheekfiller #naturalfiller #facialbalancing #lipfillernatural #aestheticnurse #medspa #fillerjourney #lipgoals</t>
        </is>
      </c>
      <c r="K53" s="30" t="inlineStr">
        <is>
          <t>Full carousel on our feed</t>
        </is>
      </c>
      <c r="L53" s="30" t="inlineStr">
        <is>
          <t>Set B</t>
        </is>
      </c>
      <c r="M53" s="30" t="inlineStr">
        <is>
          <t>Single image: myth vs truth split card</t>
        </is>
      </c>
      <c r="N53" s="24" t="n"/>
      <c r="O53" s="24" t="inlineStr">
        <is>
          <t>https://github.com/RepoKing23/InstagramCarousel/tree/claude/convert-images-jpg-5jeayb/content/2026-10-27-myth-vs-truth-filler-edition</t>
        </is>
      </c>
      <c r="P53" s="34" t="inlineStr">
        <is>
          <t>Open folder</t>
        </is>
      </c>
      <c r="Q53" s="24" t="inlineStr">
        <is>
          <t>Not designed yet</t>
        </is>
      </c>
      <c r="R53" s="24" t="n"/>
      <c r="S53" s="30" t="inlineStr">
        <is>
          <t>Idea</t>
        </is>
      </c>
      <c r="T53" s="30" t="n"/>
      <c r="U53" s="30" t="n"/>
      <c r="V53" s="30" t="n"/>
      <c r="W53" s="30" t="n"/>
      <c r="X53" s="30" t="n"/>
      <c r="Y53" s="30" t="n"/>
      <c r="Z53" s="24" t="n"/>
      <c r="AA53" s="24" t="n"/>
      <c r="AB53" s="24" t="inlineStr">
        <is>
          <t>Not designed yet</t>
        </is>
      </c>
    </row>
    <row r="54" ht="57.45" customHeight="1" s="14">
      <c r="A54" s="27" t="n">
        <v>46324</v>
      </c>
      <c r="B54" s="28" t="inlineStr">
        <is>
          <t>Thu</t>
        </is>
      </c>
      <c r="C54" s="28" t="n">
        <v>11</v>
      </c>
      <c r="D54" s="28" t="inlineStr">
        <is>
          <t>Fillers, Naturally</t>
        </is>
      </c>
      <c r="E54" s="28" t="inlineStr">
        <is>
          <t>Carousel</t>
        </is>
      </c>
      <c r="F54" s="24" t="inlineStr">
        <is>
          <t>Light</t>
        </is>
      </c>
      <c r="G54" s="28" t="inlineStr">
        <is>
          <t>Instagram feed + GBP</t>
        </is>
      </c>
      <c r="H54" s="28" t="inlineStr">
        <is>
          <t>Trust &amp; Proof</t>
        </is>
      </c>
      <c r="I54" s="28" t="inlineStr">
        <is>
          <t>Facial Balancing: Why We Treat Faces, Not Lines | Chasing lines is old school.</t>
        </is>
      </c>
      <c r="J54" s="28"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K54" s="28" t="inlineStr">
        <is>
          <t>DM BALANCE for a consult</t>
        </is>
      </c>
      <c r="L54" s="28" t="inlineStr">
        <is>
          <t>Set B</t>
        </is>
      </c>
      <c r="M54" s="28" t="inlineStr">
        <is>
          <t>Design in editorial template</t>
        </is>
      </c>
      <c r="N54" s="24" t="n"/>
      <c r="O54" s="24" t="inlineStr">
        <is>
          <t>https://github.com/RepoKing23/InstagramCarousel/tree/claude/convert-images-jpg-5jeayb/content/2026-10-29-facial-balancing-why-we-treat</t>
        </is>
      </c>
      <c r="P54" s="32" t="inlineStr">
        <is>
          <t>Open folder</t>
        </is>
      </c>
      <c r="Q54" s="24" t="inlineStr">
        <is>
          <t>Not designed yet</t>
        </is>
      </c>
      <c r="R54" s="24" t="n"/>
      <c r="S54" s="28" t="inlineStr">
        <is>
          <t>Idea</t>
        </is>
      </c>
      <c r="T54" s="28" t="n"/>
      <c r="U54" s="28" t="n"/>
      <c r="V54" s="28" t="n"/>
      <c r="W54" s="28" t="n"/>
      <c r="X54" s="28" t="n"/>
      <c r="Y54" s="28" t="n"/>
      <c r="Z54" s="24" t="n"/>
      <c r="AA54" s="24" t="n"/>
      <c r="AB54" s="24" t="inlineStr">
        <is>
          <t>Not designed yet</t>
        </is>
      </c>
    </row>
    <row r="55" ht="57.45" customHeight="1" s="14">
      <c r="A55" s="29" t="n">
        <v>46325</v>
      </c>
      <c r="B55" s="30" t="inlineStr">
        <is>
          <t>Fri</t>
        </is>
      </c>
      <c r="C55" s="30" t="n">
        <v>11</v>
      </c>
      <c r="D55" s="30" t="inlineStr">
        <is>
          <t>Fillers, Naturally</t>
        </is>
      </c>
      <c r="E55" s="30" t="inlineStr">
        <is>
          <t>Before/After</t>
        </is>
      </c>
      <c r="F55" s="24" t="inlineStr">
        <is>
          <t>Photo</t>
        </is>
      </c>
      <c r="G55" s="30" t="inlineStr">
        <is>
          <t>IG + FB + TikTok photo + GBP</t>
        </is>
      </c>
      <c r="H55" s="30" t="inlineStr">
        <is>
          <t>Trust &amp; Proof</t>
        </is>
      </c>
      <c r="I55" s="30" t="inlineStr">
        <is>
          <t>One Syringe. Balanced Lips. | Faces, not lines.</t>
        </is>
      </c>
      <c r="J55" s="3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K55" s="30" t="inlineStr">
        <is>
          <t>Book a consult. Link in bio</t>
        </is>
      </c>
      <c r="L55" s="30" t="inlineStr">
        <is>
          <t>Set B</t>
        </is>
      </c>
      <c r="M55" s="30" t="inlineStr">
        <is>
          <t>Before and after card in editorial template. Crop to treatment area, no faces</t>
        </is>
      </c>
      <c r="N55" s="24" t="inlineStr">
        <is>
          <t>img_0221 (before), img_0233 (after)</t>
        </is>
      </c>
      <c r="O55" s="24" t="inlineStr">
        <is>
          <t>On file</t>
        </is>
      </c>
      <c r="P55" s="34" t="inlineStr">
        <is>
          <t>Open folder</t>
        </is>
      </c>
      <c r="Q55" s="33" t="inlineStr">
        <is>
          <t>View image (jpg)</t>
        </is>
      </c>
      <c r="R55" s="24">
        <f>IMAGE("https://raw.githubusercontent.com/RepoKing23/InstagramCarousel/claude/convert-images-jpg-5jeayb/content/2026-10-30-one-syringe-balanced-lips/images/before-after-result.jpg")</f>
        <v/>
      </c>
      <c r="S55" s="30" t="inlineStr">
        <is>
          <t>Ready</t>
        </is>
      </c>
      <c r="T55" s="30" t="n"/>
      <c r="U55" s="30" t="n"/>
      <c r="V55" s="30" t="n"/>
      <c r="W55" s="30" t="n"/>
      <c r="X55" s="30" t="n"/>
      <c r="Y55" s="30" t="n"/>
      <c r="Z55" s="24" t="n"/>
      <c r="AA55" s="24" t="n"/>
      <c r="AB55" s="24" t="inlineStr">
        <is>
          <t>Not designed yet</t>
        </is>
      </c>
    </row>
    <row r="56" ht="57.45" customHeight="1" s="14">
      <c r="A56" s="29" t="n">
        <v>46326</v>
      </c>
      <c r="B56" s="30" t="inlineStr">
        <is>
          <t>Sat</t>
        </is>
      </c>
      <c r="C56" s="30" t="n">
        <v>11</v>
      </c>
      <c r="D56" s="30" t="inlineStr">
        <is>
          <t>Fillers, Naturally</t>
        </is>
      </c>
      <c r="E56" s="30" t="inlineStr">
        <is>
          <t>Single Image</t>
        </is>
      </c>
      <c r="F56" s="24" t="inlineStr">
        <is>
          <t>Light</t>
        </is>
      </c>
      <c r="G56" s="30" t="inlineStr">
        <is>
          <t>IG + FB + TikTok photo + GBP</t>
        </is>
      </c>
      <c r="H56" s="30" t="inlineStr">
        <is>
          <t>Personality &amp; BTS</t>
        </is>
      </c>
      <c r="I56" s="30" t="inlineStr">
        <is>
          <t>Ask Anything: Filler Edition | Ask me the filler question you have been sitting on.</t>
        </is>
      </c>
      <c r="J56" s="30" t="inlineStr">
        <is>
          <t>Filler month is almost over. Drop every remaining question below and I will answer all of them. No judgment. 👇
#npinjector #nursepractitioner #medspalife #luxurybeauty #aestheticnurse #skincareexpert #beautyclinic #selfcare #naturalresults #honestbeauty</t>
        </is>
      </c>
      <c r="K56" s="30" t="inlineStr">
        <is>
          <t>Comment your question</t>
        </is>
      </c>
      <c r="L56" s="30" t="inlineStr">
        <is>
          <t>Set C</t>
        </is>
      </c>
      <c r="M56" s="30" t="inlineStr">
        <is>
          <t>Engagement card in brand style</t>
        </is>
      </c>
      <c r="N56" s="24" t="n"/>
      <c r="O56" s="24" t="inlineStr">
        <is>
          <t>https://github.com/RepoKing23/InstagramCarousel/tree/claude/convert-images-jpg-5jeayb/content/2026-10-31-ask-anything-filler-edition</t>
        </is>
      </c>
      <c r="P56" s="34" t="inlineStr">
        <is>
          <t>Open folder</t>
        </is>
      </c>
      <c r="Q56" s="24" t="inlineStr">
        <is>
          <t>Not designed yet</t>
        </is>
      </c>
      <c r="R56" s="24" t="n"/>
      <c r="S56" s="30" t="inlineStr">
        <is>
          <t>Idea</t>
        </is>
      </c>
      <c r="T56" s="30" t="n"/>
      <c r="U56" s="30" t="n"/>
      <c r="V56" s="30" t="n"/>
      <c r="W56" s="30" t="n"/>
      <c r="X56" s="30" t="n"/>
      <c r="Y56" s="30" t="n"/>
      <c r="Z56" s="24" t="n"/>
      <c r="AA56" s="24" t="n"/>
      <c r="AB56" s="24" t="inlineStr">
        <is>
          <t>Not designed yet</t>
        </is>
      </c>
    </row>
    <row r="57" ht="57.45" customHeight="1" s="14">
      <c r="A57" s="27" t="n">
        <v>46328</v>
      </c>
      <c r="B57" s="28" t="inlineStr">
        <is>
          <t>Mon</t>
        </is>
      </c>
      <c r="C57" s="28" t="n">
        <v>12</v>
      </c>
      <c r="D57" s="28" t="inlineStr">
        <is>
          <t>Rested by the Holidays</t>
        </is>
      </c>
      <c r="E57" s="28" t="inlineStr">
        <is>
          <t>Carousel</t>
        </is>
      </c>
      <c r="F57" s="24" t="inlineStr">
        <is>
          <t>Dark</t>
        </is>
      </c>
      <c r="G57" s="28" t="inlineStr">
        <is>
          <t>Instagram feed + GBP</t>
        </is>
      </c>
      <c r="H57" s="28" t="inlineStr">
        <is>
          <t>Promo &amp; CTA</t>
        </is>
      </c>
      <c r="I57" s="28" t="inlineStr">
        <is>
          <t>Rested by the Holidays: Your Treatment Timeline | Party season is closer than you think.</t>
        </is>
      </c>
      <c r="J57" s="28"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K57" s="28" t="inlineStr">
        <is>
          <t>Book now. Link in bio</t>
        </is>
      </c>
      <c r="L57" s="28" t="inlineStr">
        <is>
          <t>Set E</t>
        </is>
      </c>
      <c r="M57" s="28" t="inlineStr">
        <is>
          <t>Design holiday timeline layout</t>
        </is>
      </c>
      <c r="N57" s="24" t="n"/>
      <c r="O57" s="24" t="inlineStr">
        <is>
          <t>https://github.com/RepoKing23/InstagramCarousel/tree/claude/convert-images-jpg-5jeayb/content/2026-11-02-rested-by-the-holidays-your</t>
        </is>
      </c>
      <c r="P57" s="32" t="inlineStr">
        <is>
          <t>Open folder</t>
        </is>
      </c>
      <c r="Q57" s="24" t="inlineStr">
        <is>
          <t>Not designed yet</t>
        </is>
      </c>
      <c r="R57" s="24" t="n"/>
      <c r="S57" s="28" t="inlineStr">
        <is>
          <t>Idea</t>
        </is>
      </c>
      <c r="T57" s="28" t="n"/>
      <c r="U57" s="28" t="n"/>
      <c r="V57" s="28" t="n"/>
      <c r="W57" s="28" t="n"/>
      <c r="X57" s="28" t="n"/>
      <c r="Y57" s="28" t="n"/>
      <c r="Z57" s="24" t="n"/>
      <c r="AA57" s="24" t="n"/>
      <c r="AB57" s="24" t="inlineStr">
        <is>
          <t>Not designed yet</t>
        </is>
      </c>
    </row>
    <row r="58" ht="57.45" customHeight="1" s="14">
      <c r="A58" s="29" t="n">
        <v>46329</v>
      </c>
      <c r="B58" s="30" t="inlineStr">
        <is>
          <t>Tue</t>
        </is>
      </c>
      <c r="C58" s="30" t="n">
        <v>12</v>
      </c>
      <c r="D58" s="30" t="inlineStr">
        <is>
          <t>Rested by the Holidays</t>
        </is>
      </c>
      <c r="E58" s="30" t="inlineStr">
        <is>
          <t>Single Image</t>
        </is>
      </c>
      <c r="F58" s="24" t="inlineStr">
        <is>
          <t>Dark</t>
        </is>
      </c>
      <c r="G58" s="30" t="inlineStr">
        <is>
          <t>IG + FB + TikTok photo + GBP</t>
        </is>
      </c>
      <c r="H58" s="30" t="inlineStr">
        <is>
          <t>Promo &amp; CTA</t>
        </is>
      </c>
      <c r="I58" s="30" t="inlineStr">
        <is>
          <t>Holiday Countdown: Book by These Dates | Work backwards from party season.</t>
        </is>
      </c>
      <c r="J58" s="30" t="inlineStr">
        <is>
          <t>Botox needs 2 weeks. Filler needs 4. If you want to glow in the December photos, these are your deadlines. 🗓️
#holidayglow #treatyourself #giftcertificate #bookyourappointment #medspaspecial #glowupseason #selfcaregift #luxuryselfcare #holidayready #giftideas</t>
        </is>
      </c>
      <c r="K58" s="30" t="inlineStr">
        <is>
          <t>Book now. Link in bio</t>
        </is>
      </c>
      <c r="L58" s="30" t="inlineStr">
        <is>
          <t>Set E</t>
        </is>
      </c>
      <c r="M58" s="30" t="inlineStr">
        <is>
          <t>Single image: countdown-dates card</t>
        </is>
      </c>
      <c r="N58" s="24" t="n"/>
      <c r="O58" s="24" t="inlineStr">
        <is>
          <t>https://github.com/RepoKing23/InstagramCarousel/tree/claude/convert-images-jpg-5jeayb/content/2026-11-03-holiday-countdown-book-by-these</t>
        </is>
      </c>
      <c r="P58" s="34" t="inlineStr">
        <is>
          <t>Open folder</t>
        </is>
      </c>
      <c r="Q58" s="24" t="inlineStr">
        <is>
          <t>Not designed yet</t>
        </is>
      </c>
      <c r="R58" s="24" t="n"/>
      <c r="S58" s="30" t="inlineStr">
        <is>
          <t>Idea</t>
        </is>
      </c>
      <c r="T58" s="30" t="n"/>
      <c r="U58" s="30" t="n"/>
      <c r="V58" s="30" t="n"/>
      <c r="W58" s="30" t="n"/>
      <c r="X58" s="30" t="n"/>
      <c r="Y58" s="30" t="n"/>
      <c r="Z58" s="24" t="n"/>
      <c r="AA58" s="24" t="n"/>
      <c r="AB58" s="24" t="inlineStr">
        <is>
          <t>Not designed yet</t>
        </is>
      </c>
    </row>
    <row r="59" ht="57.45" customHeight="1" s="14">
      <c r="A59" s="27" t="n">
        <v>46331</v>
      </c>
      <c r="B59" s="28" t="inlineStr">
        <is>
          <t>Thu</t>
        </is>
      </c>
      <c r="C59" s="28" t="n">
        <v>12</v>
      </c>
      <c r="D59" s="28" t="inlineStr">
        <is>
          <t>Rested by the Holidays</t>
        </is>
      </c>
      <c r="E59" s="28" t="inlineStr">
        <is>
          <t>Carousel</t>
        </is>
      </c>
      <c r="F59" s="24" t="inlineStr">
        <is>
          <t>Light</t>
        </is>
      </c>
      <c r="G59" s="28" t="inlineStr">
        <is>
          <t>Instagram feed + GBP</t>
        </is>
      </c>
      <c r="H59" s="28" t="inlineStr">
        <is>
          <t>Promo &amp; CTA</t>
        </is>
      </c>
      <c r="I59" s="28" t="inlineStr">
        <is>
          <t>Party Season Prep: What to Book and When | Your holiday glow, planned backwards.</t>
        </is>
      </c>
      <c r="J59" s="28"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K59" s="28" t="inlineStr">
        <is>
          <t>DM HOLIDAY to book</t>
        </is>
      </c>
      <c r="L59" s="28" t="inlineStr">
        <is>
          <t>Set E</t>
        </is>
      </c>
      <c r="M59" s="28" t="inlineStr">
        <is>
          <t>Design in editorial template</t>
        </is>
      </c>
      <c r="N59" s="24" t="n"/>
      <c r="O59" s="24" t="inlineStr">
        <is>
          <t>https://github.com/RepoKing23/InstagramCarousel/tree/claude/convert-images-jpg-5jeayb/content/2026-11-05-party-season-prep-what-to</t>
        </is>
      </c>
      <c r="P59" s="32" t="inlineStr">
        <is>
          <t>Open folder</t>
        </is>
      </c>
      <c r="Q59" s="24" t="inlineStr">
        <is>
          <t>Not designed yet</t>
        </is>
      </c>
      <c r="R59" s="24" t="n"/>
      <c r="S59" s="28" t="inlineStr">
        <is>
          <t>Idea</t>
        </is>
      </c>
      <c r="T59" s="28" t="n"/>
      <c r="U59" s="28" t="n"/>
      <c r="V59" s="28" t="n"/>
      <c r="W59" s="28" t="n"/>
      <c r="X59" s="28" t="n"/>
      <c r="Y59" s="28" t="n"/>
      <c r="Z59" s="24" t="n"/>
      <c r="AA59" s="24" t="n"/>
      <c r="AB59" s="24" t="inlineStr">
        <is>
          <t>Not designed yet</t>
        </is>
      </c>
    </row>
    <row r="60" ht="57.45" customHeight="1" s="14">
      <c r="A60" s="29" t="n">
        <v>46332</v>
      </c>
      <c r="B60" s="30" t="inlineStr">
        <is>
          <t>Fri</t>
        </is>
      </c>
      <c r="C60" s="30" t="n">
        <v>12</v>
      </c>
      <c r="D60" s="30" t="inlineStr">
        <is>
          <t>Rested by the Holidays</t>
        </is>
      </c>
      <c r="E60" s="30" t="inlineStr">
        <is>
          <t>Carousel</t>
        </is>
      </c>
      <c r="F60" s="24" t="inlineStr">
        <is>
          <t>Photo</t>
        </is>
      </c>
      <c r="G60" s="30" t="inlineStr">
        <is>
          <t>Instagram feed + GBP</t>
        </is>
      </c>
      <c r="H60" s="30" t="inlineStr">
        <is>
          <t>Trust &amp; Proof</t>
        </is>
      </c>
      <c r="I60" s="30" t="inlineStr">
        <is>
          <t>One Result, Every Angle | No flattering angle. Every angle.</t>
        </is>
      </c>
      <c r="J60" s="3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K60" s="30" t="inlineStr">
        <is>
          <t>DM LIPS to book</t>
        </is>
      </c>
      <c r="L60" s="30" t="inlineStr">
        <is>
          <t>Set B</t>
        </is>
      </c>
      <c r="M60" s="30" t="inlineStr">
        <is>
          <t>Carousel: 6 angles of one healed result. Crop to treatment area, no faces</t>
        </is>
      </c>
      <c r="N60" s="24" t="inlineStr">
        <is>
          <t>img_4775, 4777, 4778, 4780, 4781, 4782</t>
        </is>
      </c>
      <c r="O60" s="24" t="inlineStr">
        <is>
          <t>On file</t>
        </is>
      </c>
      <c r="P60" s="34" t="inlineStr">
        <is>
          <t>Open folder</t>
        </is>
      </c>
      <c r="Q60" s="33" t="inlineStr">
        <is>
          <t>View 7 slides (jpg)</t>
        </is>
      </c>
      <c r="R60" s="24">
        <f>IMAGE("https://raw.githubusercontent.com/RepoKing23/InstagramCarousel/claude/convert-images-jpg-5jeayb/content/2026-11-06-one-result-every-angle/images/slide-1.jpg")</f>
        <v/>
      </c>
      <c r="S60" s="30" t="inlineStr">
        <is>
          <t>Ready</t>
        </is>
      </c>
      <c r="T60" s="30" t="n"/>
      <c r="U60" s="30" t="n"/>
      <c r="V60" s="30" t="n"/>
      <c r="W60" s="30" t="n"/>
      <c r="X60" s="30" t="n"/>
      <c r="Y60" s="30" t="n"/>
      <c r="Z60" s="24" t="n"/>
      <c r="AA60" s="24" t="n"/>
      <c r="AB60" s="24" t="inlineStr">
        <is>
          <t>Not designed yet</t>
        </is>
      </c>
    </row>
    <row r="61" ht="57.45" customHeight="1" s="14">
      <c r="A61" s="29" t="n">
        <v>46333</v>
      </c>
      <c r="B61" s="30" t="inlineStr">
        <is>
          <t>Sat</t>
        </is>
      </c>
      <c r="C61" s="30" t="n">
        <v>12</v>
      </c>
      <c r="D61" s="30" t="inlineStr">
        <is>
          <t>Rested by the Holidays</t>
        </is>
      </c>
      <c r="E61" s="30" t="inlineStr">
        <is>
          <t>Single Image</t>
        </is>
      </c>
      <c r="F61" s="24" t="inlineStr">
        <is>
          <t>Light</t>
        </is>
      </c>
      <c r="G61" s="30" t="inlineStr">
        <is>
          <t>IG + FB + TikTok photo + GBP</t>
        </is>
      </c>
      <c r="H61" s="30" t="inlineStr">
        <is>
          <t>Promo &amp; CTA</t>
        </is>
      </c>
      <c r="I61" s="30" t="inlineStr">
        <is>
          <t>Quote: Book the Appointment | Seasonal self-care push.</t>
        </is>
      </c>
      <c r="J61" s="30" t="inlineStr">
        <is>
          <t>You cannot pour from an empty cup. Book the appointment. Take the hour. You have earned it. 💛
#holidayglow #treatyourself #giftcertificate #bookyourappointment #medspaspecial #glowupseason #selfcaregift #luxuryselfcare #holidayready #giftideas</t>
        </is>
      </c>
      <c r="K61" s="30" t="inlineStr">
        <is>
          <t>Link in bio</t>
        </is>
      </c>
      <c r="L61" s="30" t="inlineStr">
        <is>
          <t>Set E</t>
        </is>
      </c>
      <c r="M61" s="30" t="inlineStr">
        <is>
          <t>Quote card in brand style</t>
        </is>
      </c>
      <c r="N61" s="24" t="n"/>
      <c r="O61" s="24" t="inlineStr">
        <is>
          <t>https://github.com/RepoKing23/InstagramCarousel/tree/claude/convert-images-jpg-5jeayb/content/2026-11-07-quote-book-the-appointment</t>
        </is>
      </c>
      <c r="P61" s="34" t="inlineStr">
        <is>
          <t>Open folder</t>
        </is>
      </c>
      <c r="Q61" s="24" t="inlineStr">
        <is>
          <t>Not designed yet</t>
        </is>
      </c>
      <c r="R61" s="24" t="n"/>
      <c r="S61" s="30" t="inlineStr">
        <is>
          <t>Idea</t>
        </is>
      </c>
      <c r="T61" s="30" t="n"/>
      <c r="U61" s="30" t="n"/>
      <c r="V61" s="30" t="n"/>
      <c r="W61" s="30" t="n"/>
      <c r="X61" s="30" t="n"/>
      <c r="Y61" s="30" t="n"/>
      <c r="Z61" s="24" t="n"/>
      <c r="AA61" s="24" t="n"/>
      <c r="AB61" s="24" t="inlineStr">
        <is>
          <t>Not designed yet</t>
        </is>
      </c>
    </row>
    <row r="62" ht="57.45" customHeight="1" s="14">
      <c r="A62" s="27" t="n">
        <v>46335</v>
      </c>
      <c r="B62" s="28" t="inlineStr">
        <is>
          <t>Mon</t>
        </is>
      </c>
      <c r="C62" s="28" t="n">
        <v>13</v>
      </c>
      <c r="D62" s="28" t="inlineStr">
        <is>
          <t>Rested by the Holidays</t>
        </is>
      </c>
      <c r="E62" s="28" t="inlineStr">
        <is>
          <t>Carousel</t>
        </is>
      </c>
      <c r="F62" s="24" t="inlineStr">
        <is>
          <t>Dark</t>
        </is>
      </c>
      <c r="G62" s="28" t="inlineStr">
        <is>
          <t>Instagram feed + GBP</t>
        </is>
      </c>
      <c r="H62" s="28" t="inlineStr">
        <is>
          <t>Promo &amp; CTA</t>
        </is>
      </c>
      <c r="I62" s="28" t="inlineStr">
        <is>
          <t>The Gift of Glow: Gift Certificates Are Here | The present nobody returns.</t>
        </is>
      </c>
      <c r="J62" s="28"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K62" s="28" t="inlineStr">
        <is>
          <t>DM GIFT to order</t>
        </is>
      </c>
      <c r="L62" s="28" t="inlineStr">
        <is>
          <t>Set E</t>
        </is>
      </c>
      <c r="M62" s="28" t="inlineStr">
        <is>
          <t>Design gift certificate reveal layout</t>
        </is>
      </c>
      <c r="N62" s="24" t="n"/>
      <c r="O62" s="24" t="inlineStr">
        <is>
          <t>https://github.com/RepoKing23/InstagramCarousel/tree/claude/convert-images-jpg-5jeayb/content/2026-11-09-the-gift-of-glow-gift</t>
        </is>
      </c>
      <c r="P62" s="32" t="inlineStr">
        <is>
          <t>Open folder</t>
        </is>
      </c>
      <c r="Q62" s="24" t="inlineStr">
        <is>
          <t>Not designed yet</t>
        </is>
      </c>
      <c r="R62" s="24" t="n"/>
      <c r="S62" s="28" t="inlineStr">
        <is>
          <t>Idea</t>
        </is>
      </c>
      <c r="T62" s="28" t="n"/>
      <c r="U62" s="28" t="n"/>
      <c r="V62" s="28" t="n"/>
      <c r="W62" s="28" t="n"/>
      <c r="X62" s="28" t="n"/>
      <c r="Y62" s="28" t="n"/>
      <c r="Z62" s="24" t="n"/>
      <c r="AA62" s="24" t="n"/>
      <c r="AB62" s="24" t="inlineStr">
        <is>
          <t>Not designed yet</t>
        </is>
      </c>
    </row>
    <row r="63" ht="57.45" customHeight="1" s="14">
      <c r="A63" s="29" t="n">
        <v>46336</v>
      </c>
      <c r="B63" s="30" t="inlineStr">
        <is>
          <t>Tue</t>
        </is>
      </c>
      <c r="C63" s="30" t="n">
        <v>13</v>
      </c>
      <c r="D63" s="30" t="inlineStr">
        <is>
          <t>Rested by the Holidays</t>
        </is>
      </c>
      <c r="E63" s="30" t="inlineStr">
        <is>
          <t>Single Image</t>
        </is>
      </c>
      <c r="F63" s="24" t="inlineStr">
        <is>
          <t>Light</t>
        </is>
      </c>
      <c r="G63" s="30" t="inlineStr">
        <is>
          <t>IG + FB + TikTok photo + GBP</t>
        </is>
      </c>
      <c r="H63" s="30" t="inlineStr">
        <is>
          <t>Promo &amp; CTA</t>
        </is>
      </c>
      <c r="I63" s="30" t="inlineStr">
        <is>
          <t>Gift Certificates Are Here | The present nobody returns.</t>
        </is>
      </c>
      <c r="J63" s="30" t="inlineStr">
        <is>
          <t>In any amount, wrapped and beautiful. Give the people you love something they actually want. 🎁
#holidayglow #treatyourself #giftcertificate #bookyourappointment #medspaspecial #glowupseason #selfcaregift #luxuryselfcare #holidayready #giftideas</t>
        </is>
      </c>
      <c r="K63" s="30" t="inlineStr">
        <is>
          <t>DM GIFT to order</t>
        </is>
      </c>
      <c r="L63" s="30" t="inlineStr">
        <is>
          <t>Set E</t>
        </is>
      </c>
      <c r="M63" s="30" t="inlineStr">
        <is>
          <t>Single image: gift certificate photo + hook</t>
        </is>
      </c>
      <c r="N63" s="24" t="n"/>
      <c r="O63" s="24" t="inlineStr">
        <is>
          <t>https://github.com/RepoKing23/InstagramCarousel/tree/claude/convert-images-jpg-5jeayb/content/2026-11-10-gift-certificates-are-here</t>
        </is>
      </c>
      <c r="P63" s="34" t="inlineStr">
        <is>
          <t>Open folder</t>
        </is>
      </c>
      <c r="Q63" s="24" t="inlineStr">
        <is>
          <t>Not designed yet</t>
        </is>
      </c>
      <c r="R63" s="24" t="n"/>
      <c r="S63" s="30" t="inlineStr">
        <is>
          <t>Idea</t>
        </is>
      </c>
      <c r="T63" s="30" t="n"/>
      <c r="U63" s="30" t="n"/>
      <c r="V63" s="30" t="n"/>
      <c r="W63" s="30" t="n"/>
      <c r="X63" s="30" t="n"/>
      <c r="Y63" s="30" t="n"/>
      <c r="Z63" s="24" t="n"/>
      <c r="AA63" s="24" t="n"/>
      <c r="AB63" s="24" t="inlineStr">
        <is>
          <t>Not designed yet</t>
        </is>
      </c>
    </row>
    <row r="64" ht="57.45" customHeight="1" s="14">
      <c r="A64" s="27" t="n">
        <v>46338</v>
      </c>
      <c r="B64" s="28" t="inlineStr">
        <is>
          <t>Thu</t>
        </is>
      </c>
      <c r="C64" s="28" t="n">
        <v>13</v>
      </c>
      <c r="D64" s="28" t="inlineStr">
        <is>
          <t>Rested by the Holidays</t>
        </is>
      </c>
      <c r="E64" s="28" t="inlineStr">
        <is>
          <t>Carousel</t>
        </is>
      </c>
      <c r="F64" s="24" t="inlineStr">
        <is>
          <t>Light</t>
        </is>
      </c>
      <c r="G64" s="28" t="inlineStr">
        <is>
          <t>Instagram feed + GBP</t>
        </is>
      </c>
      <c r="H64" s="28" t="inlineStr">
        <is>
          <t>Trust &amp; Proof</t>
        </is>
      </c>
      <c r="I64" s="28" t="inlineStr">
        <is>
          <t>3 Months of Honest Answers: The Recap | Real education. Real results. Thank you.</t>
        </is>
      </c>
      <c r="J64" s="28"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K64" s="28" t="inlineStr">
        <is>
          <t>Follow for what is next</t>
        </is>
      </c>
      <c r="L64" s="28" t="inlineStr">
        <is>
          <t>Set C</t>
        </is>
      </c>
      <c r="M64" s="28" t="inlineStr">
        <is>
          <t>Compile top slides from past carousels</t>
        </is>
      </c>
      <c r="N64" s="24" t="n"/>
      <c r="O64" s="24" t="inlineStr">
        <is>
          <t>https://github.com/RepoKing23/InstagramCarousel/tree/claude/convert-images-jpg-5jeayb/content/2026-11-12-3-months-of-honest-answers</t>
        </is>
      </c>
      <c r="P64" s="32" t="inlineStr">
        <is>
          <t>Open folder</t>
        </is>
      </c>
      <c r="Q64" s="24" t="inlineStr">
        <is>
          <t>Not designed yet</t>
        </is>
      </c>
      <c r="R64" s="24" t="n"/>
      <c r="S64" s="28" t="inlineStr">
        <is>
          <t>Idea</t>
        </is>
      </c>
      <c r="T64" s="28" t="n"/>
      <c r="U64" s="28" t="n"/>
      <c r="V64" s="28" t="n"/>
      <c r="W64" s="28" t="n"/>
      <c r="X64" s="28" t="n"/>
      <c r="Y64" s="28" t="n"/>
      <c r="Z64" s="24" t="n"/>
      <c r="AA64" s="24" t="n"/>
      <c r="AB64" s="24" t="inlineStr">
        <is>
          <t>Not designed yet</t>
        </is>
      </c>
    </row>
    <row r="65" ht="57.45" customHeight="1" s="14">
      <c r="A65" s="29" t="n">
        <v>46339</v>
      </c>
      <c r="B65" s="30" t="inlineStr">
        <is>
          <t>Fri</t>
        </is>
      </c>
      <c r="C65" s="30" t="n">
        <v>13</v>
      </c>
      <c r="D65" s="30" t="inlineStr">
        <is>
          <t>Rested by the Holidays</t>
        </is>
      </c>
      <c r="E65" s="30" t="inlineStr">
        <is>
          <t>Single Image</t>
        </is>
      </c>
      <c r="F65" s="24" t="inlineStr">
        <is>
          <t>Light</t>
        </is>
      </c>
      <c r="G65" s="30" t="inlineStr">
        <is>
          <t>IG + FB + TikTok photo + GBP</t>
        </is>
      </c>
      <c r="H65" s="30" t="inlineStr">
        <is>
          <t>Personality &amp; BTS</t>
        </is>
      </c>
      <c r="I65" s="30" t="inlineStr">
        <is>
          <t>Thank You: 3 Months of Honest Aesthetics | Three months of honest answers. Thank you for every one.</t>
        </is>
      </c>
      <c r="J65" s="3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K65" s="30" t="inlineStr">
        <is>
          <t>Follow for what is next</t>
        </is>
      </c>
      <c r="L65" s="30" t="inlineStr">
        <is>
          <t>Set C</t>
        </is>
      </c>
      <c r="M65" s="30" t="inlineStr">
        <is>
          <t>Single image: team or Cleo photo + thank you overlay</t>
        </is>
      </c>
      <c r="N65" s="24" t="n"/>
      <c r="O65" s="24" t="inlineStr">
        <is>
          <t>https://github.com/RepoKing23/InstagramCarousel/tree/claude/convert-images-jpg-5jeayb/content/2026-11-13-thank-you-3-months-of</t>
        </is>
      </c>
      <c r="P65" s="34" t="inlineStr">
        <is>
          <t>Open folder</t>
        </is>
      </c>
      <c r="Q65" s="24" t="inlineStr">
        <is>
          <t>Not designed yet</t>
        </is>
      </c>
      <c r="R65" s="24" t="n"/>
      <c r="S65" s="30" t="inlineStr">
        <is>
          <t>Idea</t>
        </is>
      </c>
      <c r="T65" s="30" t="n"/>
      <c r="U65" s="30" t="n"/>
      <c r="V65" s="30" t="n"/>
      <c r="W65" s="30" t="n"/>
      <c r="X65" s="30" t="n"/>
      <c r="Y65" s="30" t="n"/>
      <c r="Z65" s="24" t="n"/>
      <c r="AA65" s="24" t="n"/>
      <c r="AB65" s="24" t="inlineStr">
        <is>
          <t>Not designed yet</t>
        </is>
      </c>
    </row>
    <row r="66" ht="57.45" customHeight="1" s="14">
      <c r="A66" s="29" t="n">
        <v>46340</v>
      </c>
      <c r="B66" s="30" t="inlineStr">
        <is>
          <t>Sat</t>
        </is>
      </c>
      <c r="C66" s="30" t="n">
        <v>13</v>
      </c>
      <c r="D66" s="30" t="inlineStr">
        <is>
          <t>Rested by the Holidays</t>
        </is>
      </c>
      <c r="E66" s="30" t="inlineStr">
        <is>
          <t>Single Image</t>
        </is>
      </c>
      <c r="F66" s="24" t="inlineStr">
        <is>
          <t>Dark</t>
        </is>
      </c>
      <c r="G66" s="30" t="inlineStr">
        <is>
          <t>IG + FB + TikTok photo + GBP</t>
        </is>
      </c>
      <c r="H66" s="30" t="inlineStr">
        <is>
          <t>Promo &amp; CTA</t>
        </is>
      </c>
      <c r="I66" s="30" t="inlineStr">
        <is>
          <t>Tag Someone Who Deserves a Glow-Up Gift | Engagement + promo close.</t>
        </is>
      </c>
      <c r="J66" s="30" t="inlineStr">
        <is>
          <t>Know someone who never treats themselves? Tag them below. We will take care of the rest. 🎁
#holidayglow #treatyourself #giftcertificate #bookyourappointment #medspaspecial #glowupseason #selfcaregift #luxuryselfcare #holidayready #giftideas</t>
        </is>
      </c>
      <c r="K66" s="30" t="inlineStr">
        <is>
          <t>Tag a friend</t>
        </is>
      </c>
      <c r="L66" s="30" t="inlineStr">
        <is>
          <t>Set E</t>
        </is>
      </c>
      <c r="M66" s="30" t="inlineStr">
        <is>
          <t>Engagement card in brand style</t>
        </is>
      </c>
      <c r="N66" s="24" t="n"/>
      <c r="O66" s="24" t="inlineStr">
        <is>
          <t>https://github.com/RepoKing23/InstagramCarousel/tree/claude/convert-images-jpg-5jeayb/content/2026-11-14-tag-someone-who-deserves-a</t>
        </is>
      </c>
      <c r="P66" s="34" t="inlineStr">
        <is>
          <t>Open folder</t>
        </is>
      </c>
      <c r="Q66" s="24" t="inlineStr">
        <is>
          <t>Not designed yet</t>
        </is>
      </c>
      <c r="R66" s="24" t="n"/>
      <c r="S66" s="30" t="inlineStr">
        <is>
          <t>Idea</t>
        </is>
      </c>
      <c r="T66" s="30" t="n"/>
      <c r="U66" s="30" t="n"/>
      <c r="V66" s="30" t="n"/>
      <c r="W66" s="30" t="n"/>
      <c r="X66" s="30" t="n"/>
      <c r="Y66" s="30" t="n"/>
      <c r="Z66" s="24" t="n"/>
      <c r="AA66" s="24" t="n"/>
      <c r="AB66" s="24" t="inlineStr">
        <is>
          <t>Not designed yet</t>
        </is>
      </c>
    </row>
  </sheetData>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AA2" r:id="rId4"/>
    <hyperlink xmlns:r="http://schemas.openxmlformats.org/officeDocument/2006/relationships" ref="AB2" r:id="rId5"/>
    <hyperlink xmlns:r="http://schemas.openxmlformats.org/officeDocument/2006/relationships" ref="O3" r:id="rId6"/>
    <hyperlink xmlns:r="http://schemas.openxmlformats.org/officeDocument/2006/relationships" ref="P3" r:id="rId7"/>
    <hyperlink xmlns:r="http://schemas.openxmlformats.org/officeDocument/2006/relationships" ref="Q3" r:id="rId8"/>
    <hyperlink xmlns:r="http://schemas.openxmlformats.org/officeDocument/2006/relationships" ref="AA3" r:id="rId9"/>
    <hyperlink xmlns:r="http://schemas.openxmlformats.org/officeDocument/2006/relationships" ref="AB3" r:id="rId10"/>
    <hyperlink xmlns:r="http://schemas.openxmlformats.org/officeDocument/2006/relationships" ref="O4" r:id="rId11"/>
    <hyperlink xmlns:r="http://schemas.openxmlformats.org/officeDocument/2006/relationships" ref="P4" r:id="rId12"/>
    <hyperlink xmlns:r="http://schemas.openxmlformats.org/officeDocument/2006/relationships" ref="Q4" r:id="rId13"/>
    <hyperlink xmlns:r="http://schemas.openxmlformats.org/officeDocument/2006/relationships" ref="AA4" r:id="rId14"/>
    <hyperlink xmlns:r="http://schemas.openxmlformats.org/officeDocument/2006/relationships" ref="AB4" r:id="rId15"/>
    <hyperlink xmlns:r="http://schemas.openxmlformats.org/officeDocument/2006/relationships" ref="O5" r:id="rId16"/>
    <hyperlink xmlns:r="http://schemas.openxmlformats.org/officeDocument/2006/relationships" ref="P5" r:id="rId17"/>
    <hyperlink xmlns:r="http://schemas.openxmlformats.org/officeDocument/2006/relationships" ref="Q5" r:id="rId18"/>
    <hyperlink xmlns:r="http://schemas.openxmlformats.org/officeDocument/2006/relationships" ref="AA5" r:id="rId19"/>
    <hyperlink xmlns:r="http://schemas.openxmlformats.org/officeDocument/2006/relationships" ref="AB5" r:id="rId20"/>
    <hyperlink xmlns:r="http://schemas.openxmlformats.org/officeDocument/2006/relationships" ref="O6" r:id="rId21"/>
    <hyperlink xmlns:r="http://schemas.openxmlformats.org/officeDocument/2006/relationships" ref="P6" r:id="rId22"/>
    <hyperlink xmlns:r="http://schemas.openxmlformats.org/officeDocument/2006/relationships" ref="Q6" r:id="rId23"/>
    <hyperlink xmlns:r="http://schemas.openxmlformats.org/officeDocument/2006/relationships" ref="AA6" r:id="rId24"/>
    <hyperlink xmlns:r="http://schemas.openxmlformats.org/officeDocument/2006/relationships" ref="AB6" r:id="rId25"/>
    <hyperlink xmlns:r="http://schemas.openxmlformats.org/officeDocument/2006/relationships" ref="O7" r:id="rId26"/>
    <hyperlink xmlns:r="http://schemas.openxmlformats.org/officeDocument/2006/relationships" ref="P7" r:id="rId27"/>
    <hyperlink xmlns:r="http://schemas.openxmlformats.org/officeDocument/2006/relationships" ref="Q7" r:id="rId28"/>
    <hyperlink xmlns:r="http://schemas.openxmlformats.org/officeDocument/2006/relationships" ref="AA7" r:id="rId29"/>
    <hyperlink xmlns:r="http://schemas.openxmlformats.org/officeDocument/2006/relationships" ref="AB7" r:id="rId30"/>
    <hyperlink xmlns:r="http://schemas.openxmlformats.org/officeDocument/2006/relationships" ref="O8" r:id="rId31"/>
    <hyperlink xmlns:r="http://schemas.openxmlformats.org/officeDocument/2006/relationships" ref="P8" r:id="rId32"/>
    <hyperlink xmlns:r="http://schemas.openxmlformats.org/officeDocument/2006/relationships" ref="Q8" r:id="rId33"/>
    <hyperlink xmlns:r="http://schemas.openxmlformats.org/officeDocument/2006/relationships" ref="AA8" r:id="rId34"/>
    <hyperlink xmlns:r="http://schemas.openxmlformats.org/officeDocument/2006/relationships" ref="AB8" r:id="rId35"/>
    <hyperlink xmlns:r="http://schemas.openxmlformats.org/officeDocument/2006/relationships" ref="O9" r:id="rId36"/>
    <hyperlink xmlns:r="http://schemas.openxmlformats.org/officeDocument/2006/relationships" ref="P9" r:id="rId37"/>
    <hyperlink xmlns:r="http://schemas.openxmlformats.org/officeDocument/2006/relationships" ref="Q9" r:id="rId38"/>
    <hyperlink xmlns:r="http://schemas.openxmlformats.org/officeDocument/2006/relationships" ref="AA9" r:id="rId39"/>
    <hyperlink xmlns:r="http://schemas.openxmlformats.org/officeDocument/2006/relationships" ref="AB9" r:id="rId40"/>
    <hyperlink xmlns:r="http://schemas.openxmlformats.org/officeDocument/2006/relationships" ref="O10" r:id="rId41"/>
    <hyperlink xmlns:r="http://schemas.openxmlformats.org/officeDocument/2006/relationships" ref="P10" r:id="rId42"/>
    <hyperlink xmlns:r="http://schemas.openxmlformats.org/officeDocument/2006/relationships" ref="Q10" r:id="rId43"/>
    <hyperlink xmlns:r="http://schemas.openxmlformats.org/officeDocument/2006/relationships" ref="AA10" r:id="rId44"/>
    <hyperlink xmlns:r="http://schemas.openxmlformats.org/officeDocument/2006/relationships" ref="AB10" r:id="rId45"/>
    <hyperlink xmlns:r="http://schemas.openxmlformats.org/officeDocument/2006/relationships" ref="O11" r:id="rId46"/>
    <hyperlink xmlns:r="http://schemas.openxmlformats.org/officeDocument/2006/relationships" ref="P11" r:id="rId47"/>
    <hyperlink xmlns:r="http://schemas.openxmlformats.org/officeDocument/2006/relationships" ref="Q11" r:id="rId48"/>
    <hyperlink xmlns:r="http://schemas.openxmlformats.org/officeDocument/2006/relationships" ref="AA11" r:id="rId49"/>
    <hyperlink xmlns:r="http://schemas.openxmlformats.org/officeDocument/2006/relationships" ref="AB11" r:id="rId50"/>
    <hyperlink xmlns:r="http://schemas.openxmlformats.org/officeDocument/2006/relationships" ref="O12" r:id="rId51"/>
    <hyperlink xmlns:r="http://schemas.openxmlformats.org/officeDocument/2006/relationships" ref="P12" r:id="rId52"/>
    <hyperlink xmlns:r="http://schemas.openxmlformats.org/officeDocument/2006/relationships" ref="Q12" r:id="rId53"/>
    <hyperlink xmlns:r="http://schemas.openxmlformats.org/officeDocument/2006/relationships" ref="AA12" r:id="rId54"/>
    <hyperlink xmlns:r="http://schemas.openxmlformats.org/officeDocument/2006/relationships" ref="AB12" r:id="rId55"/>
    <hyperlink xmlns:r="http://schemas.openxmlformats.org/officeDocument/2006/relationships" ref="O13" r:id="rId56"/>
    <hyperlink xmlns:r="http://schemas.openxmlformats.org/officeDocument/2006/relationships" ref="O14" r:id="rId57"/>
    <hyperlink xmlns:r="http://schemas.openxmlformats.org/officeDocument/2006/relationships" ref="O15" r:id="rId58"/>
    <hyperlink xmlns:r="http://schemas.openxmlformats.org/officeDocument/2006/relationships" ref="O16" r:id="rId59"/>
    <hyperlink xmlns:r="http://schemas.openxmlformats.org/officeDocument/2006/relationships" ref="O17" r:id="rId60"/>
    <hyperlink xmlns:r="http://schemas.openxmlformats.org/officeDocument/2006/relationships" ref="O18" r:id="rId61"/>
    <hyperlink xmlns:r="http://schemas.openxmlformats.org/officeDocument/2006/relationships" ref="O19" r:id="rId62"/>
    <hyperlink xmlns:r="http://schemas.openxmlformats.org/officeDocument/2006/relationships" ref="O20" r:id="rId63"/>
    <hyperlink xmlns:r="http://schemas.openxmlformats.org/officeDocument/2006/relationships" ref="O21" r:id="rId64"/>
    <hyperlink xmlns:r="http://schemas.openxmlformats.org/officeDocument/2006/relationships" ref="O22" r:id="rId65"/>
    <hyperlink xmlns:r="http://schemas.openxmlformats.org/officeDocument/2006/relationships" ref="O23" r:id="rId66"/>
    <hyperlink xmlns:r="http://schemas.openxmlformats.org/officeDocument/2006/relationships" ref="O24" r:id="rId67"/>
    <hyperlink xmlns:r="http://schemas.openxmlformats.org/officeDocument/2006/relationships" ref="O25" r:id="rId68"/>
    <hyperlink xmlns:r="http://schemas.openxmlformats.org/officeDocument/2006/relationships" ref="O26" r:id="rId69"/>
    <hyperlink xmlns:r="http://schemas.openxmlformats.org/officeDocument/2006/relationships" ref="O27" r:id="rId70"/>
    <hyperlink xmlns:r="http://schemas.openxmlformats.org/officeDocument/2006/relationships" ref="O28" r:id="rId71"/>
    <hyperlink xmlns:r="http://schemas.openxmlformats.org/officeDocument/2006/relationships" ref="O29" r:id="rId72"/>
    <hyperlink xmlns:r="http://schemas.openxmlformats.org/officeDocument/2006/relationships" ref="O30" r:id="rId73"/>
    <hyperlink xmlns:r="http://schemas.openxmlformats.org/officeDocument/2006/relationships" ref="O31" r:id="rId74"/>
    <hyperlink xmlns:r="http://schemas.openxmlformats.org/officeDocument/2006/relationships" ref="O32" r:id="rId75"/>
    <hyperlink xmlns:r="http://schemas.openxmlformats.org/officeDocument/2006/relationships" ref="O33" r:id="rId76"/>
    <hyperlink xmlns:r="http://schemas.openxmlformats.org/officeDocument/2006/relationships" ref="O34" r:id="rId77"/>
    <hyperlink xmlns:r="http://schemas.openxmlformats.org/officeDocument/2006/relationships" ref="O35" r:id="rId78"/>
    <hyperlink xmlns:r="http://schemas.openxmlformats.org/officeDocument/2006/relationships" ref="O36" r:id="rId79"/>
    <hyperlink xmlns:r="http://schemas.openxmlformats.org/officeDocument/2006/relationships" ref="O37" r:id="rId80"/>
    <hyperlink xmlns:r="http://schemas.openxmlformats.org/officeDocument/2006/relationships" ref="O38" r:id="rId81"/>
    <hyperlink xmlns:r="http://schemas.openxmlformats.org/officeDocument/2006/relationships" ref="O39" r:id="rId82"/>
    <hyperlink xmlns:r="http://schemas.openxmlformats.org/officeDocument/2006/relationships" ref="P39" r:id="rId83"/>
    <hyperlink xmlns:r="http://schemas.openxmlformats.org/officeDocument/2006/relationships" ref="Q39" r:id="rId84"/>
    <hyperlink xmlns:r="http://schemas.openxmlformats.org/officeDocument/2006/relationships" ref="O40" r:id="rId85"/>
    <hyperlink xmlns:r="http://schemas.openxmlformats.org/officeDocument/2006/relationships" ref="O41" r:id="rId86"/>
    <hyperlink xmlns:r="http://schemas.openxmlformats.org/officeDocument/2006/relationships" ref="P41" r:id="rId87"/>
    <hyperlink xmlns:r="http://schemas.openxmlformats.org/officeDocument/2006/relationships" ref="Q41" r:id="rId88"/>
    <hyperlink xmlns:r="http://schemas.openxmlformats.org/officeDocument/2006/relationships" ref="O42" r:id="rId89"/>
    <hyperlink xmlns:r="http://schemas.openxmlformats.org/officeDocument/2006/relationships" ref="O43" r:id="rId90"/>
    <hyperlink xmlns:r="http://schemas.openxmlformats.org/officeDocument/2006/relationships" ref="O44" r:id="rId91"/>
    <hyperlink xmlns:r="http://schemas.openxmlformats.org/officeDocument/2006/relationships" ref="P44" r:id="rId92"/>
    <hyperlink xmlns:r="http://schemas.openxmlformats.org/officeDocument/2006/relationships" ref="Q44" r:id="rId93"/>
    <hyperlink xmlns:r="http://schemas.openxmlformats.org/officeDocument/2006/relationships" ref="O45" r:id="rId94"/>
    <hyperlink xmlns:r="http://schemas.openxmlformats.org/officeDocument/2006/relationships" ref="O46" r:id="rId95"/>
    <hyperlink xmlns:r="http://schemas.openxmlformats.org/officeDocument/2006/relationships" ref="O47" r:id="rId96"/>
    <hyperlink xmlns:r="http://schemas.openxmlformats.org/officeDocument/2006/relationships" ref="O48" r:id="rId97"/>
    <hyperlink xmlns:r="http://schemas.openxmlformats.org/officeDocument/2006/relationships" ref="O49" r:id="rId98"/>
    <hyperlink xmlns:r="http://schemas.openxmlformats.org/officeDocument/2006/relationships" ref="P49" r:id="rId99"/>
    <hyperlink xmlns:r="http://schemas.openxmlformats.org/officeDocument/2006/relationships" ref="Q49" r:id="rId100"/>
    <hyperlink xmlns:r="http://schemas.openxmlformats.org/officeDocument/2006/relationships" ref="O50" r:id="rId101"/>
    <hyperlink xmlns:r="http://schemas.openxmlformats.org/officeDocument/2006/relationships" ref="O51" r:id="rId102"/>
    <hyperlink xmlns:r="http://schemas.openxmlformats.org/officeDocument/2006/relationships" ref="P51" r:id="rId103"/>
    <hyperlink xmlns:r="http://schemas.openxmlformats.org/officeDocument/2006/relationships" ref="Q51" r:id="rId104"/>
    <hyperlink xmlns:r="http://schemas.openxmlformats.org/officeDocument/2006/relationships" ref="O52" r:id="rId105"/>
    <hyperlink xmlns:r="http://schemas.openxmlformats.org/officeDocument/2006/relationships" ref="O53" r:id="rId106"/>
    <hyperlink xmlns:r="http://schemas.openxmlformats.org/officeDocument/2006/relationships" ref="O54" r:id="rId107"/>
    <hyperlink xmlns:r="http://schemas.openxmlformats.org/officeDocument/2006/relationships" ref="O55" r:id="rId108"/>
    <hyperlink xmlns:r="http://schemas.openxmlformats.org/officeDocument/2006/relationships" ref="P55" r:id="rId109"/>
    <hyperlink xmlns:r="http://schemas.openxmlformats.org/officeDocument/2006/relationships" ref="Q55" r:id="rId110"/>
    <hyperlink xmlns:r="http://schemas.openxmlformats.org/officeDocument/2006/relationships" ref="O56" r:id="rId111"/>
    <hyperlink xmlns:r="http://schemas.openxmlformats.org/officeDocument/2006/relationships" ref="O57" r:id="rId112"/>
    <hyperlink xmlns:r="http://schemas.openxmlformats.org/officeDocument/2006/relationships" ref="O58" r:id="rId113"/>
    <hyperlink xmlns:r="http://schemas.openxmlformats.org/officeDocument/2006/relationships" ref="O59" r:id="rId114"/>
    <hyperlink xmlns:r="http://schemas.openxmlformats.org/officeDocument/2006/relationships" ref="O60" r:id="rId115"/>
    <hyperlink xmlns:r="http://schemas.openxmlformats.org/officeDocument/2006/relationships" ref="P60" r:id="rId116"/>
    <hyperlink xmlns:r="http://schemas.openxmlformats.org/officeDocument/2006/relationships" ref="Q60" r:id="rId117"/>
    <hyperlink xmlns:r="http://schemas.openxmlformats.org/officeDocument/2006/relationships" ref="O61" r:id="rId118"/>
    <hyperlink xmlns:r="http://schemas.openxmlformats.org/officeDocument/2006/relationships" ref="O62" r:id="rId119"/>
    <hyperlink xmlns:r="http://schemas.openxmlformats.org/officeDocument/2006/relationships" ref="O63" r:id="rId120"/>
    <hyperlink xmlns:r="http://schemas.openxmlformats.org/officeDocument/2006/relationships" ref="O64" r:id="rId121"/>
    <hyperlink xmlns:r="http://schemas.openxmlformats.org/officeDocument/2006/relationships" ref="O65" r:id="rId122"/>
    <hyperlink xmlns:r="http://schemas.openxmlformats.org/officeDocument/2006/relationships" ref="O66" r:id="rId1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6" customWidth="1" style="13" min="1" max="1"/>
    <col width="26" customWidth="1" style="13" min="2" max="2"/>
    <col width="40" customWidth="1" style="13" min="3" max="3"/>
    <col width="60" customWidth="1" style="13" min="4" max="4"/>
    <col width="46" customWidth="1" style="13" min="5" max="5"/>
  </cols>
  <sheetData>
    <row r="1" ht="15" customHeight="1" s="14">
      <c r="A1" s="25" t="inlineStr">
        <is>
          <t>Period</t>
        </is>
      </c>
      <c r="B1" s="25" t="inlineStr">
        <is>
          <t>Theme</t>
        </is>
      </c>
      <c r="C1" s="25" t="inlineStr">
        <is>
          <t>Goal</t>
        </is>
      </c>
      <c r="D1" s="25" t="inlineStr">
        <is>
          <t>Carousel Topics</t>
        </is>
      </c>
      <c r="E1" s="25" t="inlineStr">
        <is>
          <t>Reel / Syndication Focus</t>
        </is>
      </c>
    </row>
    <row r="2" ht="23.85" customHeight="1" s="14">
      <c r="A2" s="30" t="inlineStr">
        <is>
          <t>August 17-31</t>
        </is>
      </c>
      <c r="B2" s="30" t="inlineStr">
        <is>
          <t>Botox, Honestly (Launch)</t>
        </is>
      </c>
      <c r="C2" s="30" t="inlineStr">
        <is>
          <t>Launch the educational brand voice and post the finished Botox myths carousel</t>
        </is>
      </c>
      <c r="D2" s="30" t="inlineStr">
        <is>
          <t>5 Botox Lies (ready) / 5 Red Flags / First Visit / Meet NP Cleo</t>
        </is>
      </c>
      <c r="E2" s="30" t="inlineStr">
        <is>
          <t>Service spotlight cards, BTS prep photo, brand quote cards</t>
        </is>
      </c>
    </row>
    <row r="3" ht="23.85" customHeight="1" s="14">
      <c r="A3" s="30" t="inlineStr">
        <is>
          <t>September</t>
        </is>
      </c>
      <c r="B3" s="30" t="inlineStr">
        <is>
          <t>Botox Education Month</t>
        </is>
      </c>
      <c r="C3" s="30" t="inlineStr">
        <is>
          <t>Own every Botox question a first-timer Googles</t>
        </is>
      </c>
      <c r="D3" s="30" t="inlineStr">
        <is>
          <t>Preventative / 20 Units / Botox vs Dysport / Aftercare / What Botox Can't Do / Natural Promise / Botox or Filler / Ask Cleo / How Long It Lasts / Why We Say No</t>
        </is>
      </c>
      <c r="E3" s="30" t="inlineStr">
        <is>
          <t>Hook image cards: explainers, myth vs truth, FAQ, BTS photos</t>
        </is>
      </c>
    </row>
    <row r="4" ht="23.85" customHeight="1" s="14">
      <c r="A4" s="30" t="inlineStr">
        <is>
          <t>October</t>
        </is>
      </c>
      <c r="B4" s="30" t="inlineStr">
        <is>
          <t>Fillers, Naturally</t>
        </is>
      </c>
      <c r="C4" s="30" t="inlineStr">
        <is>
          <t>Convert filler fear into filler bookings with honesty-first education</t>
        </is>
      </c>
      <c r="D4" s="30" t="inlineStr">
        <is>
          <t>Not Fake / Lips Natural vs Overdone / Cheek Filler / Candidacy Checklist / Dissolve Timeline / Lip Aftercare / 5 Filler Lies / Facial Balancing</t>
        </is>
      </c>
      <c r="E4" s="30" t="inlineStr">
        <is>
          <t>Service spotlight cards, testimonials, FAQ and checklist cards</t>
        </is>
      </c>
    </row>
    <row r="5" ht="23.85" customHeight="1" s="14">
      <c r="A5" s="30" t="inlineStr">
        <is>
          <t>November 1-15</t>
        </is>
      </c>
      <c r="B5" s="30" t="inlineStr">
        <is>
          <t>Rested by the Holidays</t>
        </is>
      </c>
      <c r="C5" s="30" t="inlineStr">
        <is>
          <t>Create urgency: book now to glow for party season + launch gift certificates</t>
        </is>
      </c>
      <c r="D5" s="30" t="inlineStr">
        <is>
          <t>Holiday Timeline / Party Season Prep / Gift of Glow / 3-Month Recap</t>
        </is>
      </c>
      <c r="E5" s="30" t="inlineStr">
        <is>
          <t>Countdown cards, holiday BTS photo, gift reveal, tag-a-friend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0" customWidth="1" style="13" min="1" max="1"/>
    <col width="14" customWidth="1" style="13" min="2" max="2"/>
    <col width="55" customWidth="1" style="13" min="3" max="3"/>
    <col width="45" customWidth="1" style="13" min="4" max="4"/>
    <col width="20" customWidth="1" style="13" min="5" max="5"/>
  </cols>
  <sheetData>
    <row r="1" ht="15" customHeight="1" s="14">
      <c r="A1" s="25" t="inlineStr">
        <is>
          <t>Pillar</t>
        </is>
      </c>
      <c r="B1" s="25" t="inlineStr">
        <is>
          <t>Share of Posts</t>
        </is>
      </c>
      <c r="C1" s="25" t="inlineStr">
        <is>
          <t>What It Is</t>
        </is>
      </c>
      <c r="D1" s="25" t="inlineStr">
        <is>
          <t>Formats</t>
        </is>
      </c>
      <c r="E1" s="25" t="inlineStr">
        <is>
          <t>Success Metric</t>
        </is>
      </c>
    </row>
    <row r="2" ht="15" customHeight="1" s="14">
      <c r="A2" s="30" t="inlineStr">
        <is>
          <t>Education</t>
        </is>
      </c>
      <c r="B2" s="30" t="inlineStr">
        <is>
          <t>40%</t>
        </is>
      </c>
      <c r="C2" s="30" t="inlineStr">
        <is>
          <t>Teach one thing per post: myths, comparisons, timelines, aftercare, candidacy</t>
        </is>
      </c>
      <c r="D2" s="30" t="inlineStr">
        <is>
          <t>Carousels, explainer image cards, FAQ cards</t>
        </is>
      </c>
      <c r="E2" s="30" t="inlineStr">
        <is>
          <t>Saves and shares</t>
        </is>
      </c>
    </row>
    <row r="3" ht="15" customHeight="1" s="14">
      <c r="A3" s="30" t="inlineStr">
        <is>
          <t>Trust &amp; Proof</t>
        </is>
      </c>
      <c r="B3" s="30" t="inlineStr">
        <is>
          <t>25%</t>
        </is>
      </c>
      <c r="C3" s="30" t="inlineStr">
        <is>
          <t>Show honesty and results: testimonials, natural-results promise, why we say no</t>
        </is>
      </c>
      <c r="D3" s="30" t="inlineStr">
        <is>
          <t>Quote cards, testimonial posts, philosophy carousels</t>
        </is>
      </c>
      <c r="E3" s="30" t="inlineStr">
        <is>
          <t>DMs and consults</t>
        </is>
      </c>
    </row>
    <row r="4" ht="15" customHeight="1" s="14">
      <c r="A4" s="30" t="inlineStr">
        <is>
          <t>Personality &amp; BTS</t>
        </is>
      </c>
      <c r="B4" s="30" t="inlineStr">
        <is>
          <t>20%</t>
        </is>
      </c>
      <c r="C4" s="30" t="inlineStr">
        <is>
          <t>Humanize NP Cleo: day in the life, room tours, Q&amp;A, prep clips</t>
        </is>
      </c>
      <c r="D4" s="30" t="inlineStr">
        <is>
          <t>BTS photo posts, Q&amp;A cards, polls</t>
        </is>
      </c>
      <c r="E4" s="30" t="inlineStr">
        <is>
          <t>Comments and follows</t>
        </is>
      </c>
    </row>
    <row r="5" ht="15" customHeight="1" s="14">
      <c r="A5" s="30" t="inlineStr">
        <is>
          <t>Promo &amp; CTA</t>
        </is>
      </c>
      <c r="B5" s="30" t="inlineStr">
        <is>
          <t>15%</t>
        </is>
      </c>
      <c r="C5" s="30" t="inlineStr">
        <is>
          <t>Direct booking pushes: seasonal timelines, gift certificates, offers</t>
        </is>
      </c>
      <c r="D5" s="30" t="inlineStr">
        <is>
          <t>Countdown cards, promo carousels, engagement + tag posts</t>
        </is>
      </c>
      <c r="E5" s="30" t="inlineStr">
        <is>
          <t>Bookings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8" customWidth="1" style="13" min="1" max="1"/>
    <col width="20" customWidth="1" style="13" min="2" max="2"/>
    <col width="110" customWidth="1" style="13" min="3" max="3"/>
  </cols>
  <sheetData>
    <row r="1" ht="15" customHeight="1" s="14">
      <c r="A1" s="25" t="inlineStr">
        <is>
          <t>Set</t>
        </is>
      </c>
      <c r="B1" s="25" t="inlineStr">
        <is>
          <t>Name</t>
        </is>
      </c>
      <c r="C1" s="25" t="inlineStr">
        <is>
          <t>Hashtags (copy-paste)</t>
        </is>
      </c>
    </row>
    <row r="2" ht="15" customHeight="1" s="14">
      <c r="A2" s="31" t="inlineStr">
        <is>
          <t>Set A</t>
        </is>
      </c>
      <c r="B2" s="31" t="inlineStr">
        <is>
          <t>Botox / Neuromodulator</t>
        </is>
      </c>
      <c r="C2" s="31" t="inlineStr">
        <is>
          <t>#botoxoakville #oakvillemedspa #burlingtonbotox #miltonmedspa #mississaugainjector #haltonregion #preventativebotox #botoxcanada #nursepractitionerinjector #naturalresults #luxurybeautybycleor #npcleo</t>
        </is>
      </c>
    </row>
    <row r="3" ht="15" customHeight="1" s="14">
      <c r="A3" s="31" t="inlineStr">
        <is>
          <t>Set B</t>
        </is>
      </c>
      <c r="B3" s="31" t="inlineStr">
        <is>
          <t>Filler</t>
        </is>
      </c>
      <c r="C3" s="31" t="inlineStr">
        <is>
          <t>#lipfilleroakville #fillersoakville #oakvillemedspa #burlingtonfiller #miltonlipfiller #mississaugamedspa #dermalfillers #naturallips #facialbalancing #aestheticnurse #luxurybeautybycleor #npcleo</t>
        </is>
      </c>
    </row>
    <row r="4" ht="15" customHeight="1" s="14">
      <c r="A4" s="31" t="inlineStr">
        <is>
          <t>Set C</t>
        </is>
      </c>
      <c r="B4" s="31" t="inlineStr">
        <is>
          <t>Trust &amp; Proof</t>
        </is>
      </c>
      <c r="C4" s="31" t="inlineStr">
        <is>
          <t>#oakvillemedspa #burlingtonmedspa #miltonontario #mississaugabeauty #haltonregion #honestinjector #naturalresults #aestheticnurse #nursepractitioner #medspacanada #luxurybeautybycleor #npcleo</t>
        </is>
      </c>
    </row>
    <row r="5" ht="15" customHeight="1" s="14">
      <c r="A5" s="31" t="inlineStr">
        <is>
          <t>Set D</t>
        </is>
      </c>
      <c r="B5" s="31" t="inlineStr">
        <is>
          <t>Personality &amp; BTS</t>
        </is>
      </c>
      <c r="C5" s="31" t="inlineStr">
        <is>
          <t>#oakville #oakvillebusiness #burlingtonontario #miltonontario #mississauga #haltonregion #womeninbusiness #nursepractitioner #aestheticnurse #medspalife #luxurybeautybycleor #npcleo</t>
        </is>
      </c>
    </row>
    <row r="6" ht="15" customHeight="1" s="14">
      <c r="A6" s="31" t="inlineStr">
        <is>
          <t>Set E</t>
        </is>
      </c>
      <c r="B6" s="31" t="inlineStr">
        <is>
          <t>Promo &amp; CTA</t>
        </is>
      </c>
      <c r="C6" s="31" t="inlineStr">
        <is>
          <t>#oakvillemedspa #burlingtonontario #miltonontario #mississaugabeauty #haltonregion #treatyourself #selfcare #giftcertificate #medspaspecial #bookyourappointment #luxurybeautybycleor #npcleo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46" customWidth="1" style="14" min="1" max="1"/>
    <col width="8" customWidth="1" style="14" min="2" max="2"/>
    <col width="16" customWidth="1" style="14" min="3" max="3"/>
    <col width="7" customWidth="1" style="14" min="4" max="4"/>
    <col width="12" customWidth="1" style="14" min="5" max="5"/>
    <col width="26" customWidth="1" style="14" min="6" max="6"/>
    <col width="52" customWidth="1" style="14" min="7" max="7"/>
  </cols>
  <sheetData>
    <row r="1">
      <c r="A1" s="26" t="inlineStr">
        <is>
          <t>File</t>
        </is>
      </c>
      <c r="B1" s="26" t="inlineStr">
        <is>
          <t>Client</t>
        </is>
      </c>
      <c r="C1" s="26" t="inlineStr">
        <is>
          <t>Type</t>
        </is>
      </c>
      <c r="D1" s="26" t="inlineStr">
        <is>
          <t>Pair</t>
        </is>
      </c>
      <c r="E1" s="26" t="inlineStr">
        <is>
          <t>Consent</t>
        </is>
      </c>
      <c r="F1" s="26" t="inlineStr">
        <is>
          <t>Used In</t>
        </is>
      </c>
      <c r="G1" s="26" t="inlineStr">
        <is>
          <t>Client Notes</t>
        </is>
      </c>
    </row>
    <row r="2">
      <c r="A2" s="24" t="inlineStr">
        <is>
          <t>img_9908.jpg</t>
        </is>
      </c>
      <c r="B2" s="24" t="inlineStr">
        <is>
          <t>E</t>
        </is>
      </c>
      <c r="C2" s="24" t="inlineStr">
        <is>
          <t>Before</t>
        </is>
      </c>
      <c r="D2" s="24" t="inlineStr">
        <is>
          <t>E</t>
        </is>
      </c>
      <c r="E2" s="24" t="inlineStr">
        <is>
          <t>Not needed</t>
        </is>
      </c>
      <c r="F2" s="24" t="inlineStr">
        <is>
          <t>Oct 8, Oct 15</t>
        </is>
      </c>
      <c r="G2" s="24" t="inlineStr">
        <is>
          <t>Fair skin, lower face only. Cleanest pair in the library</t>
        </is>
      </c>
    </row>
    <row r="3">
      <c r="A3" s="24" t="inlineStr">
        <is>
          <t>img_9912.jpg</t>
        </is>
      </c>
      <c r="B3" s="24" t="inlineStr">
        <is>
          <t>E</t>
        </is>
      </c>
      <c r="C3" s="24" t="inlineStr">
        <is>
          <t>After</t>
        </is>
      </c>
      <c r="D3" s="24" t="inlineStr">
        <is>
          <t>E</t>
        </is>
      </c>
      <c r="E3" s="24" t="inlineStr">
        <is>
          <t>Not needed</t>
        </is>
      </c>
      <c r="F3" s="24" t="inlineStr">
        <is>
          <t>Oct 8, Oct 15</t>
        </is>
      </c>
      <c r="G3" s="24" t="inlineStr">
        <is>
          <t>Fair skin, lower face only. Cleanest pair in the library</t>
        </is>
      </c>
    </row>
    <row r="4">
      <c r="A4" s="24" t="inlineStr">
        <is>
          <t>img_0221.jpg</t>
        </is>
      </c>
      <c r="B4" s="24" t="inlineStr">
        <is>
          <t>A</t>
        </is>
      </c>
      <c r="C4" s="24" t="inlineStr">
        <is>
          <t>Before</t>
        </is>
      </c>
      <c r="D4" s="24" t="inlineStr">
        <is>
          <t>A</t>
        </is>
      </c>
      <c r="E4" s="24" t="inlineStr">
        <is>
          <t>On file</t>
        </is>
      </c>
      <c r="F4" s="24" t="inlineStr">
        <is>
          <t>Oct 15, Oct 30</t>
        </is>
      </c>
      <c r="G4" s="24" t="inlineStr">
        <is>
          <t>Front-on, neck tattoos and nose ring. Crop above the collarbone</t>
        </is>
      </c>
    </row>
    <row r="5">
      <c r="A5" s="24" t="inlineStr">
        <is>
          <t>img_0233.jpg</t>
        </is>
      </c>
      <c r="B5" s="24" t="inlineStr">
        <is>
          <t>A</t>
        </is>
      </c>
      <c r="C5" s="24" t="inlineStr">
        <is>
          <t>After</t>
        </is>
      </c>
      <c r="D5" s="24" t="inlineStr">
        <is>
          <t>A</t>
        </is>
      </c>
      <c r="E5" s="24" t="inlineStr">
        <is>
          <t>On file</t>
        </is>
      </c>
      <c r="F5" s="24" t="inlineStr">
        <is>
          <t>Oct 15, Oct 30</t>
        </is>
      </c>
      <c r="G5" s="24" t="inlineStr">
        <is>
          <t>Front-on, neck tattoos and nose ring. Crop above the collarbone</t>
        </is>
      </c>
    </row>
    <row r="6">
      <c r="A6" s="24" t="inlineStr">
        <is>
          <t>img_0962.jpg</t>
        </is>
      </c>
      <c r="B6" s="24" t="inlineStr">
        <is>
          <t>B</t>
        </is>
      </c>
      <c r="C6" s="24" t="inlineStr">
        <is>
          <t>Before</t>
        </is>
      </c>
      <c r="D6" s="24" t="inlineStr">
        <is>
          <t>B</t>
        </is>
      </c>
      <c r="E6" s="24" t="inlineStr">
        <is>
          <t>Not needed</t>
        </is>
      </c>
      <c r="F6" s="24" t="inlineStr">
        <is>
          <t>Oct 15, Oct 24</t>
        </is>
      </c>
      <c r="G6" s="24" t="inlineStr">
        <is>
          <t>Matched 3/4 profile, lower face only. Colour-match before to after</t>
        </is>
      </c>
    </row>
    <row r="7">
      <c r="A7" s="24" t="inlineStr">
        <is>
          <t>img_0998.jpg</t>
        </is>
      </c>
      <c r="B7" s="24" t="inlineStr">
        <is>
          <t>B</t>
        </is>
      </c>
      <c r="C7" s="24" t="inlineStr">
        <is>
          <t>After</t>
        </is>
      </c>
      <c r="D7" s="24" t="inlineStr">
        <is>
          <t>B</t>
        </is>
      </c>
      <c r="E7" s="24" t="inlineStr">
        <is>
          <t>Not needed</t>
        </is>
      </c>
      <c r="F7" s="24" t="inlineStr">
        <is>
          <t>Oct 15, Oct 24</t>
        </is>
      </c>
      <c r="G7" s="24" t="inlineStr">
        <is>
          <t>Matched 3/4 profile, lower face only. Colour-match before to after</t>
        </is>
      </c>
    </row>
    <row r="8">
      <c r="A8" s="24" t="inlineStr">
        <is>
          <t>img_1119.jpg</t>
        </is>
      </c>
      <c r="B8" s="24" t="inlineStr">
        <is>
          <t>C</t>
        </is>
      </c>
      <c r="C8" s="24" t="inlineStr">
        <is>
          <t>Before</t>
        </is>
      </c>
      <c r="D8" s="24" t="inlineStr">
        <is>
          <t>C</t>
        </is>
      </c>
      <c r="E8" s="24" t="inlineStr">
        <is>
          <t>On file</t>
        </is>
      </c>
      <c r="F8" s="24" t="inlineStr">
        <is>
          <t>Oct 10, Oct 15</t>
        </is>
      </c>
      <c r="G8" s="24" t="inlineStr">
        <is>
          <t>Blonde, reclined in chair. Crop the before to the lower face</t>
        </is>
      </c>
    </row>
    <row r="9">
      <c r="A9" s="24" t="inlineStr">
        <is>
          <t>img_1123.jpg</t>
        </is>
      </c>
      <c r="B9" s="24" t="inlineStr">
        <is>
          <t>C</t>
        </is>
      </c>
      <c r="C9" s="24" t="inlineStr">
        <is>
          <t>After</t>
        </is>
      </c>
      <c r="D9" s="24" t="inlineStr">
        <is>
          <t>C</t>
        </is>
      </c>
      <c r="E9" s="24" t="inlineStr">
        <is>
          <t>On file</t>
        </is>
      </c>
      <c r="F9" s="24" t="inlineStr">
        <is>
          <t>Oct 10, Oct 15</t>
        </is>
      </c>
      <c r="G9" s="24" t="inlineStr">
        <is>
          <t>Blonde, reclined in chair. Crop the before to the lower face</t>
        </is>
      </c>
    </row>
    <row r="10">
      <c r="A10" s="24" t="inlineStr">
        <is>
          <t>img_1444.jpg</t>
        </is>
      </c>
      <c r="B10" s="24" t="inlineStr">
        <is>
          <t>D</t>
        </is>
      </c>
      <c r="C10" s="24" t="inlineStr">
        <is>
          <t>Unconfirmed</t>
        </is>
      </c>
      <c r="D10" s="24" t="inlineStr">
        <is>
          <t>D</t>
        </is>
      </c>
      <c r="E10" s="24" t="inlineStr">
        <is>
          <t>On file</t>
        </is>
      </c>
      <c r="F10" s="24" t="inlineStr">
        <is>
          <t>HOLD: direction unconfirmed</t>
        </is>
      </c>
      <c r="G10" s="24" t="inlineStr">
        <is>
          <t>Blonde, pearl earring, mole on chin. Change is subtle</t>
        </is>
      </c>
    </row>
    <row r="11">
      <c r="A11" s="24" t="inlineStr">
        <is>
          <t>img_1447.jpg</t>
        </is>
      </c>
      <c r="B11" s="24" t="inlineStr">
        <is>
          <t>D</t>
        </is>
      </c>
      <c r="C11" s="24" t="inlineStr">
        <is>
          <t>Unconfirmed</t>
        </is>
      </c>
      <c r="D11" s="24" t="inlineStr">
        <is>
          <t>D</t>
        </is>
      </c>
      <c r="E11" s="24" t="inlineStr">
        <is>
          <t>On file</t>
        </is>
      </c>
      <c r="F11" s="24" t="inlineStr">
        <is>
          <t>HOLD: direction unconfirmed</t>
        </is>
      </c>
      <c r="G11" s="24" t="inlineStr">
        <is>
          <t>Blonde, pearl earring, mole on chin. Change is subtle</t>
        </is>
      </c>
    </row>
    <row r="12">
      <c r="A12" s="24" t="inlineStr">
        <is>
          <t>img_4775.jpg</t>
        </is>
      </c>
      <c r="B12" s="24" t="inlineStr">
        <is>
          <t>G</t>
        </is>
      </c>
      <c r="C12" s="24" t="inlineStr">
        <is>
          <t>Healed result</t>
        </is>
      </c>
      <c r="D12" s="24" t="inlineStr"/>
      <c r="E12" s="24" t="inlineStr">
        <is>
          <t>On file</t>
        </is>
      </c>
      <c r="F12" s="24" t="inlineStr">
        <is>
          <t>Nov 6</t>
        </is>
      </c>
      <c r="G12" s="24" t="inlineStr">
        <is>
          <t>Six angles, healed and settled. Shot full face, needs tight crops</t>
        </is>
      </c>
    </row>
    <row r="13">
      <c r="A13" s="24" t="inlineStr">
        <is>
          <t>img_4777.jpg</t>
        </is>
      </c>
      <c r="B13" s="24" t="inlineStr">
        <is>
          <t>G</t>
        </is>
      </c>
      <c r="C13" s="24" t="inlineStr">
        <is>
          <t>Healed result</t>
        </is>
      </c>
      <c r="D13" s="24" t="inlineStr"/>
      <c r="E13" s="24" t="inlineStr">
        <is>
          <t>On file</t>
        </is>
      </c>
      <c r="F13" s="24" t="inlineStr">
        <is>
          <t>Nov 6</t>
        </is>
      </c>
      <c r="G13" s="24" t="inlineStr">
        <is>
          <t>Six angles, healed and settled. Shot full face, needs tight crops</t>
        </is>
      </c>
    </row>
    <row r="14">
      <c r="A14" s="24" t="inlineStr">
        <is>
          <t>img_4778.jpg</t>
        </is>
      </c>
      <c r="B14" s="24" t="inlineStr">
        <is>
          <t>G</t>
        </is>
      </c>
      <c r="C14" s="24" t="inlineStr">
        <is>
          <t>Healed result</t>
        </is>
      </c>
      <c r="D14" s="24" t="inlineStr"/>
      <c r="E14" s="24" t="inlineStr">
        <is>
          <t>On file</t>
        </is>
      </c>
      <c r="F14" s="24" t="inlineStr">
        <is>
          <t>Nov 6</t>
        </is>
      </c>
      <c r="G14" s="24" t="inlineStr">
        <is>
          <t>Six angles, healed and settled. Shot full face, needs tight crops</t>
        </is>
      </c>
    </row>
    <row r="15">
      <c r="A15" s="24" t="inlineStr">
        <is>
          <t>img_4780.jpg</t>
        </is>
      </c>
      <c r="B15" s="24" t="inlineStr">
        <is>
          <t>G</t>
        </is>
      </c>
      <c r="C15" s="24" t="inlineStr">
        <is>
          <t>Healed result</t>
        </is>
      </c>
      <c r="D15" s="24" t="inlineStr"/>
      <c r="E15" s="24" t="inlineStr">
        <is>
          <t>On file</t>
        </is>
      </c>
      <c r="F15" s="24" t="inlineStr">
        <is>
          <t>Nov 6</t>
        </is>
      </c>
      <c r="G15" s="24" t="inlineStr">
        <is>
          <t>Six angles, healed and settled. Shot full face, needs tight crops</t>
        </is>
      </c>
    </row>
    <row r="16">
      <c r="A16" s="24" t="inlineStr">
        <is>
          <t>img_4781.jpg</t>
        </is>
      </c>
      <c r="B16" s="24" t="inlineStr">
        <is>
          <t>G</t>
        </is>
      </c>
      <c r="C16" s="24" t="inlineStr">
        <is>
          <t>Healed result</t>
        </is>
      </c>
      <c r="D16" s="24" t="inlineStr"/>
      <c r="E16" s="24" t="inlineStr">
        <is>
          <t>On file</t>
        </is>
      </c>
      <c r="F16" s="24" t="inlineStr">
        <is>
          <t>Nov 6</t>
        </is>
      </c>
      <c r="G16" s="24" t="inlineStr">
        <is>
          <t>Six angles, healed and settled. Shot full face, needs tight crops</t>
        </is>
      </c>
    </row>
    <row r="17">
      <c r="A17" s="24" t="inlineStr">
        <is>
          <t>img_4782.jpg</t>
        </is>
      </c>
      <c r="B17" s="24" t="inlineStr">
        <is>
          <t>G</t>
        </is>
      </c>
      <c r="C17" s="24" t="inlineStr">
        <is>
          <t>Healed result</t>
        </is>
      </c>
      <c r="D17" s="24" t="inlineStr"/>
      <c r="E17" s="24" t="inlineStr">
        <is>
          <t>On file</t>
        </is>
      </c>
      <c r="F17" s="24" t="inlineStr">
        <is>
          <t>Nov 6</t>
        </is>
      </c>
      <c r="G17" s="24" t="inlineStr">
        <is>
          <t>Six angles, healed and settled. Shot full face, needs tight crops</t>
        </is>
      </c>
    </row>
    <row r="18">
      <c r="A18" s="24" t="inlineStr">
        <is>
          <t>img_9848.jpg</t>
        </is>
      </c>
      <c r="B18" s="24" t="inlineStr">
        <is>
          <t>F</t>
        </is>
      </c>
      <c r="C18" s="24" t="inlineStr">
        <is>
          <t>Before</t>
        </is>
      </c>
      <c r="D18" s="24" t="inlineStr">
        <is>
          <t>F</t>
        </is>
      </c>
      <c r="E18" s="24" t="inlineStr">
        <is>
          <t>On file</t>
        </is>
      </c>
      <c r="F18" s="24" t="inlineStr">
        <is>
          <t>Oct 15, Oct 22</t>
        </is>
      </c>
      <c r="G18" s="24" t="inlineStr">
        <is>
          <t>Before and after from one appointment, minutes apart. Same camera position, so the best matched pair in the library. The after has visible swelling and pinpoint marks, so label it Right after, never After</t>
        </is>
      </c>
    </row>
    <row r="19">
      <c r="A19" s="24" t="inlineStr">
        <is>
          <t>img_9850.jpg</t>
        </is>
      </c>
      <c r="B19" s="24" t="inlineStr">
        <is>
          <t>F</t>
        </is>
      </c>
      <c r="C19" s="24" t="inlineStr">
        <is>
          <t>After (day 0)</t>
        </is>
      </c>
      <c r="D19" s="24" t="inlineStr">
        <is>
          <t>F</t>
        </is>
      </c>
      <c r="E19" s="24" t="inlineStr">
        <is>
          <t>On file</t>
        </is>
      </c>
      <c r="F19" s="24" t="inlineStr">
        <is>
          <t>Oct 15, Oct 22</t>
        </is>
      </c>
      <c r="G19" s="24" t="inlineStr">
        <is>
          <t>Before and after from one appointment, minutes apart. Same camera position, so the best matched pair in the library. The after has visible swelling and pinpoint marks, so label it Right after, never After</t>
        </is>
      </c>
    </row>
    <row r="20">
      <c r="A20" s="24" t="inlineStr">
        <is>
          <t>whatsapp-image-2026-08-13-at-10.14.36-pm.jpg</t>
        </is>
      </c>
      <c r="B20" s="24" t="inlineStr">
        <is>
          <t>F</t>
        </is>
      </c>
      <c r="C20" s="24" t="inlineStr">
        <is>
          <t>After collage</t>
        </is>
      </c>
      <c r="D20" s="24" t="inlineStr"/>
      <c r="E20" s="24" t="inlineStr">
        <is>
          <t>On file</t>
        </is>
      </c>
      <c r="F20" s="24" t="inlineStr">
        <is>
          <t>Oct 22</t>
        </is>
      </c>
      <c r="G20" s="24" t="inlineStr">
        <is>
          <t>Before and after from one appointment, minutes apart. Same camera position, so the best matched pair in the library. The after has visible swelling and pinpoint marks, so label it Right after, never After</t>
        </is>
      </c>
    </row>
    <row r="21">
      <c r="A21" s="24" t="inlineStr">
        <is>
          <t>img_7715.jpg</t>
        </is>
      </c>
      <c r="B21" s="24" t="inlineStr">
        <is>
          <t>H</t>
        </is>
      </c>
      <c r="C21" s="24" t="inlineStr">
        <is>
          <t>Day 0</t>
        </is>
      </c>
      <c r="D21" s="24" t="inlineStr"/>
      <c r="E21" s="24" t="inlineStr">
        <is>
          <t>On file</t>
        </is>
      </c>
      <c r="F21" s="24" t="inlineStr">
        <is>
          <t>Oct 22</t>
        </is>
      </c>
      <c r="G21" s="24" t="inlineStr">
        <is>
          <t>Reclined, day 0, heavily swollen. No before</t>
        </is>
      </c>
    </row>
  </sheetData>
  <pageMargins left="0.75" right="0.75" top="1" bottom="1" header="0.5" footer="0.5"/>
</worksheet>
</file>

<file path=xl/worksheets/sheet7.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2" customWidth="1" style="13" min="1" max="1"/>
    <col width="16" customWidth="1" style="13" min="2" max="2"/>
    <col width="18" customWidth="1" style="13" min="3" max="3"/>
    <col width="42" customWidth="1" style="13" min="4" max="4"/>
    <col width="45" customWidth="1" style="13" min="5" max="5"/>
  </cols>
  <sheetData>
    <row r="1" ht="15" customHeight="1" s="14">
      <c r="A1" s="25" t="inlineStr">
        <is>
          <t>Idea</t>
        </is>
      </c>
      <c r="B1" s="25" t="inlineStr">
        <is>
          <t>Format</t>
        </is>
      </c>
      <c r="C1" s="25" t="inlineStr">
        <is>
          <t>Pillar</t>
        </is>
      </c>
      <c r="D1" s="25" t="inlineStr">
        <is>
          <t>Hook</t>
        </is>
      </c>
      <c r="E1" s="25" t="inlineStr">
        <is>
          <t>Notes</t>
        </is>
      </c>
    </row>
    <row r="2" ht="15" customHeight="1" s="14">
      <c r="A2" s="31" t="inlineStr">
        <is>
          <t>Price transparency: what it actually costs</t>
        </is>
      </c>
      <c r="B2" s="31" t="inlineStr">
        <is>
          <t>Carousel</t>
        </is>
      </c>
      <c r="C2" s="31" t="inlineStr">
        <is>
          <t>Trust &amp; Proof</t>
        </is>
      </c>
      <c r="D2" s="31" t="inlineStr">
        <is>
          <t>Let's talk prices. For real.</t>
        </is>
      </c>
      <c r="E2" s="31" t="inlineStr">
        <is>
          <t>From playbook. Strong differentiator, almost nobody does it</t>
        </is>
      </c>
    </row>
    <row r="3" ht="15" customHeight="1" s="14">
      <c r="A3" s="31" t="inlineStr">
        <is>
          <t>Progress series: 3 sessions, one client</t>
        </is>
      </c>
      <c r="B3" s="31" t="inlineStr">
        <is>
          <t>Carousel</t>
        </is>
      </c>
      <c r="C3" s="31" t="inlineStr">
        <is>
          <t>Trust &amp; Proof</t>
        </is>
      </c>
      <c r="D3" s="31" t="inlineStr">
        <is>
          <t>3 sessions. Watch what happened.</t>
        </is>
      </c>
      <c r="E3" s="31" t="inlineStr">
        <is>
          <t>Needs client consent and photos over time</t>
        </is>
      </c>
    </row>
    <row r="4" ht="15" customHeight="1" s="14">
      <c r="A4" s="31" t="inlineStr">
        <is>
          <t>Under-eye filler: the honest truth</t>
        </is>
      </c>
      <c r="B4" s="31" t="inlineStr">
        <is>
          <t>Carousel</t>
        </is>
      </c>
      <c r="C4" s="31" t="inlineStr">
        <is>
          <t>Education</t>
        </is>
      </c>
      <c r="D4" s="31" t="inlineStr">
        <is>
          <t>The most requested, most misunderstood treatment.</t>
        </is>
      </c>
      <c r="E4" s="31" t="inlineStr">
        <is>
          <t>High search volume topic</t>
        </is>
      </c>
    </row>
    <row r="5" ht="15" customHeight="1" s="14">
      <c r="A5" s="31" t="inlineStr">
        <is>
          <t>Men and Botox: the fastest growing clients</t>
        </is>
      </c>
      <c r="B5" s="31" t="inlineStr">
        <is>
          <t>Carousel</t>
        </is>
      </c>
      <c r="C5" s="31" t="inlineStr">
        <is>
          <t>Education</t>
        </is>
      </c>
      <c r="D5" s="31" t="inlineStr">
        <is>
          <t>Brotox is not a trend. It is a Tuesday.</t>
        </is>
      </c>
      <c r="E5" s="31" t="inlineStr">
        <is>
          <t>Untapped audience</t>
        </is>
      </c>
    </row>
    <row r="6" ht="15" customHeight="1" s="14">
      <c r="A6" s="31" t="inlineStr">
        <is>
          <t>What filters did to beauty standards</t>
        </is>
      </c>
      <c r="B6" s="31" t="inlineStr">
        <is>
          <t>Carousel</t>
        </is>
      </c>
      <c r="C6" s="31" t="inlineStr">
        <is>
          <t>Trust &amp; Proof</t>
        </is>
      </c>
      <c r="D6" s="31" t="inlineStr">
        <is>
          <t>Your face is not supposed to look like a filter.</t>
        </is>
      </c>
      <c r="E6" s="31" t="inlineStr">
        <is>
          <t>Emotional, highly shareable</t>
        </is>
      </c>
    </row>
    <row r="7" ht="15" customHeight="1" s="14">
      <c r="A7" s="31" t="inlineStr">
        <is>
          <t>Skincare before injectables: the right order</t>
        </is>
      </c>
      <c r="B7" s="31" t="inlineStr">
        <is>
          <t>Carousel</t>
        </is>
      </c>
      <c r="C7" s="31" t="inlineStr">
        <is>
          <t>Education</t>
        </is>
      </c>
      <c r="D7" s="31" t="inlineStr">
        <is>
          <t>Do this before you spend a dollar on filler.</t>
        </is>
      </c>
      <c r="E7" s="31" t="inlineStr">
        <is>
          <t>Positions you as honest advisor</t>
        </is>
      </c>
    </row>
    <row r="8" ht="15" customHeight="1" s="14">
      <c r="A8" s="31" t="inlineStr">
        <is>
          <t>IG Live: Ask Me Anything</t>
        </is>
      </c>
      <c r="B8" s="31" t="inlineStr">
        <is>
          <t>Live + Reel clips</t>
        </is>
      </c>
      <c r="C8" s="31" t="inlineStr">
        <is>
          <t>Personality &amp; BTS</t>
        </is>
      </c>
      <c r="D8" s="31" t="inlineStr">
        <is>
          <t>Monthly live Q&amp;A, clip the best answers into reels</t>
        </is>
      </c>
      <c r="E8" s="31" t="inlineStr">
        <is>
          <t>Each live produces 3-5 reels</t>
        </is>
      </c>
    </row>
    <row r="9" ht="15" customHeight="1" s="14">
      <c r="A9" s="31" t="inlineStr">
        <is>
          <t>Duet or stitch a Botox myth video</t>
        </is>
      </c>
      <c r="B9" s="31" t="inlineStr">
        <is>
          <t>TikTok / Reel</t>
        </is>
      </c>
      <c r="C9" s="31" t="inlineStr">
        <is>
          <t>Education</t>
        </is>
      </c>
      <c r="D9" s="31" t="inlineStr">
        <is>
          <t>React to viral misinformation with facts</t>
        </is>
      </c>
      <c r="E9" s="31" t="inlineStr">
        <is>
          <t>TikTok native format, high reach</t>
        </is>
      </c>
    </row>
    <row r="10" ht="15" customHeight="1" s="14">
      <c r="A10" s="31" t="inlineStr">
        <is>
          <t>Get ready with me: injector edition</t>
        </is>
      </c>
      <c r="B10" s="31" t="inlineStr">
        <is>
          <t>Reel / TikTok</t>
        </is>
      </c>
      <c r="C10" s="31" t="inlineStr">
        <is>
          <t>Personality &amp; BTS</t>
        </is>
      </c>
      <c r="D10" s="31" t="inlineStr">
        <is>
          <t>GRWM for a day of consults</t>
        </is>
      </c>
      <c r="E10" s="31" t="inlineStr">
        <is>
          <t>Trending format</t>
        </is>
      </c>
    </row>
    <row r="11" ht="15" customHeight="1" s="14">
      <c r="A11" s="31" t="inlineStr">
        <is>
          <t>Before your event checklist</t>
        </is>
      </c>
      <c r="B11" s="31" t="inlineStr">
        <is>
          <t>Reel</t>
        </is>
      </c>
      <c r="C11" s="31" t="inlineStr">
        <is>
          <t>Promo &amp; CTA</t>
        </is>
      </c>
      <c r="D11" s="31" t="inlineStr">
        <is>
          <t>Wedding or reunion coming? Watch this first.</t>
        </is>
      </c>
      <c r="E11" s="31" t="inlineStr">
        <is>
          <t>Evergreen, re-post seasonally</t>
        </is>
      </c>
    </row>
    <row r="12">
      <c r="A12" s="24" t="inlineStr">
        <is>
          <t>Is Filler Right for You? An Honest Checklist</t>
        </is>
      </c>
      <c r="B12" s="24" t="inlineStr">
        <is>
          <t>Carousel</t>
        </is>
      </c>
      <c r="C12" s="24" t="inlineStr">
        <is>
          <t>Trust &amp; Proof</t>
        </is>
      </c>
      <c r="D12" s="24" t="inlineStr">
        <is>
          <t>Not everyone is a candidate. Here is how to know.</t>
        </is>
      </c>
      <c r="E12" s="24" t="inlineStr">
        <is>
          <t>Displaced from Oct 15 by the real-results carousel. Strong topic, reschedule</t>
        </is>
      </c>
    </row>
    <row r="13">
      <c r="A13" s="24" t="inlineStr">
        <is>
          <t>Quote: Subtle Is the New Dramatic</t>
        </is>
      </c>
      <c r="B13" s="24" t="inlineStr">
        <is>
          <t>Single Image</t>
        </is>
      </c>
      <c r="C13" s="24" t="inlineStr">
        <is>
          <t>Trust &amp; Proof</t>
        </is>
      </c>
      <c r="D13" s="24" t="inlineStr">
        <is>
          <t>The best work whispers.</t>
        </is>
      </c>
      <c r="E13" s="24" t="inlineStr">
        <is>
          <t>Oct 10 now runs this line over a real result instead of a plain quote card</t>
        </is>
      </c>
    </row>
    <row r="14">
      <c r="A14" s="24" t="inlineStr">
        <is>
          <t>The Clinic Is Holiday Ready</t>
        </is>
      </c>
      <c r="B14" s="24" t="inlineStr">
        <is>
          <t>Single Image</t>
        </is>
      </c>
      <c r="C14" s="24" t="inlineStr">
        <is>
          <t>Personality &amp; BTS</t>
        </is>
      </c>
      <c r="D14" s="24" t="inlineStr">
        <is>
          <t>Glow-up season is officially open.</t>
        </is>
      </c>
      <c r="E14" s="24" t="inlineStr">
        <is>
          <t>Displaced from Nov 6 by the every-angle carousel. Needs a clinic photo anyway</t>
        </is>
      </c>
    </row>
    <row r="15">
      <c r="A15" s="24" t="inlineStr">
        <is>
          <t>Pair D before and after</t>
        </is>
      </c>
      <c r="B15" s="24" t="inlineStr">
        <is>
          <t>Before/After</t>
        </is>
      </c>
      <c r="C15" s="24" t="inlineStr">
        <is>
          <t>Trust &amp; Proof</t>
        </is>
      </c>
      <c r="D15" s="24" t="inlineStr">
        <is>
          <t>Subtle lip border refinement.</t>
        </is>
      </c>
      <c r="E15" s="24" t="inlineStr">
        <is>
          <t>img_1444 / img_1447. HOLD: Cleo to confirm which is the before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2026-08-12T18:22:33Z</dcterms:created>
  <dcterms:modified xsi:type="dcterms:W3CDTF">2026-08-17T10:30:37Z</dcterms:modified>
  <cp:revision>0</cp:revision>
</cp:coreProperties>
</file>