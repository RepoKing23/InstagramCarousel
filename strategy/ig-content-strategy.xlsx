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sheetId="1" state="visible" r:id="rId1"/>
    <sheet name="Posting Schedule" sheetId="2" state="visible" r:id="rId2"/>
    <sheet name="GBP Daily" sheetId="3" state="visible" r:id="rId3"/>
    <sheet name="Monthly Themes" sheetId="4" state="visible" r:id="rId4"/>
    <sheet name="Content Pillars" sheetId="5" state="visible" r:id="rId5"/>
    <sheet name="Hashtag Sets" sheetId="6" state="visible" r:id="rId6"/>
    <sheet name="Photo Library" sheetId="7" state="visible" r:id="rId7"/>
    <sheet name="Ideas Backlog"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3">
    <numFmt numFmtId="164" formatCode="mmm\ d&quot;, &quot;yyyy"/>
    <numFmt numFmtId="165" formatCode="yyyy-mm-dd"/>
    <numFmt numFmtId="166" formatCode="yyyy-mm-dd h:mm:ss"/>
  </numFmts>
  <fonts count="21">
    <font>
      <name val="Calibri"/>
      <charset val="1"/>
      <family val="2"/>
      <color theme="1"/>
      <sz val="11"/>
    </font>
    <font>
      <name val="Arial"/>
      <family val="0"/>
      <sz val="10"/>
    </font>
    <font>
      <name val="Arial"/>
      <family val="0"/>
      <sz val="10"/>
    </font>
    <font>
      <name val="Arial"/>
      <family val="0"/>
      <sz val="10"/>
    </font>
    <font>
      <name val="Arial"/>
      <charset val="1"/>
      <family val="0"/>
      <b val="1"/>
      <color rgb="FF2E2A23"/>
      <sz val="16"/>
    </font>
    <font>
      <name val="Arial"/>
      <charset val="1"/>
      <family val="0"/>
      <color rgb="FF6E6557"/>
      <sz val="11"/>
    </font>
    <font>
      <name val="Arial"/>
      <charset val="1"/>
      <family val="0"/>
      <b val="1"/>
      <sz val="10"/>
    </font>
    <font>
      <name val="Arial"/>
      <charset val="1"/>
      <family val="0"/>
      <sz val="10"/>
    </font>
    <font>
      <name val="Arial"/>
      <charset val="1"/>
      <family val="0"/>
      <b val="1"/>
      <color rgb="FF2E2A23"/>
      <sz val="11"/>
    </font>
    <font>
      <name val="Arial"/>
      <charset val="1"/>
      <family val="0"/>
      <i val="1"/>
      <color rgb="FF6E6557"/>
      <sz val="9"/>
    </font>
    <font>
      <name val="Arial"/>
      <charset val="1"/>
      <family val="0"/>
      <b val="1"/>
      <color rgb="FFFFFFFF"/>
      <sz val="10"/>
    </font>
    <font>
      <name val="Arial"/>
      <b val="1"/>
      <color rgb="FFFFFFFF"/>
      <sz val="10"/>
    </font>
    <font>
      <name val="Arial"/>
      <sz val="10"/>
    </font>
    <font>
      <name val="Arial"/>
      <b val="1"/>
      <sz val="10"/>
    </font>
    <font>
      <name val="Arial"/>
      <color rgb="FF0563C1"/>
      <sz val="10"/>
      <u val="single"/>
    </font>
    <font>
      <name val="Arial"/>
      <b val="1"/>
      <color rgb="002E2A23"/>
      <sz val="15"/>
    </font>
    <font>
      <name val="Arial"/>
      <i val="1"/>
      <color rgb="FF6E6557"/>
      <sz val="10"/>
    </font>
    <font>
      <b val="1"/>
      <color rgb="00FFFFFF"/>
    </font>
    <font>
      <name val="Calibri"/>
      <family val="2"/>
      <color theme="10"/>
      <sz val="12"/>
      <scheme val="minor"/>
    </font>
    <font>
      <name val="Calibri"/>
      <sz val="11"/>
    </font>
    <font>
      <b val="1"/>
    </font>
  </fonts>
  <fills count="7">
    <fill>
      <patternFill/>
    </fill>
    <fill>
      <patternFill patternType="gray125"/>
    </fill>
    <fill>
      <patternFill patternType="solid">
        <fgColor rgb="FF2E2A23"/>
        <bgColor rgb="FF333300"/>
      </patternFill>
    </fill>
    <fill>
      <patternFill patternType="solid">
        <fgColor rgb="FFF3EEE5"/>
        <bgColor rgb="FFFFFFFF"/>
      </patternFill>
    </fill>
    <fill>
      <patternFill patternType="solid">
        <fgColor rgb="FF2E2A23"/>
      </patternFill>
    </fill>
    <fill>
      <patternFill patternType="solid">
        <fgColor rgb="002E2A23"/>
      </patternFill>
    </fill>
    <fill>
      <patternFill patternType="solid">
        <fgColor rgb="00F3EEE5"/>
      </patternFill>
    </fill>
  </fills>
  <borders count="2">
    <border>
      <left/>
      <right/>
      <top/>
      <bottom/>
      <diagonal/>
    </border>
    <border>
      <left style="thin">
        <color rgb="FFD8D0C0"/>
      </left>
      <right style="thin">
        <color rgb="FFD8D0C0"/>
      </right>
      <top style="thin">
        <color rgb="FFD8D0C0"/>
      </top>
      <bottom style="thin">
        <color rgb="FFD8D0C0"/>
      </bottom>
      <diagonal/>
    </border>
  </borders>
  <cellStyleXfs count="7">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0" fontId="18" fillId="0" borderId="0"/>
  </cellStyleXfs>
  <cellXfs count="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general" vertical="center" wrapText="1"/>
    </xf>
    <xf numFmtId="164" fontId="7" fillId="3" borderId="1" applyAlignment="1" pivotButton="0" quotePrefix="0" xfId="0">
      <alignment horizontal="general" vertical="top" wrapText="1"/>
    </xf>
    <xf numFmtId="0" fontId="7" fillId="3" borderId="1" applyAlignment="1" pivotButton="0" quotePrefix="0" xfId="0">
      <alignment horizontal="general" vertical="top" wrapText="1"/>
    </xf>
    <xf numFmtId="164"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3" fillId="0" borderId="0" pivotButton="0" quotePrefix="0" xfId="0"/>
    <xf numFmtId="0" fontId="12" fillId="0" borderId="0" pivotButton="0" quotePrefix="0" xfId="0"/>
    <xf numFmtId="0" fontId="12" fillId="0" borderId="0" applyAlignment="1" pivotButton="0" quotePrefix="0" xfId="0">
      <alignment vertical="top" wrapText="1"/>
    </xf>
    <xf numFmtId="0" fontId="10" fillId="2" borderId="1" applyAlignment="1" pivotButton="0" quotePrefix="0" xfId="0">
      <alignment horizontal="general" vertical="center" wrapText="1"/>
    </xf>
    <xf numFmtId="0" fontId="11" fillId="4" borderId="0" applyAlignment="1" pivotButton="0" quotePrefix="0" xfId="0">
      <alignment vertical="center" wrapText="1"/>
    </xf>
    <xf numFmtId="164" fontId="7" fillId="3" borderId="1" applyAlignment="1" pivotButton="0" quotePrefix="0" xfId="0">
      <alignment horizontal="general" vertical="top" wrapText="1"/>
    </xf>
    <xf numFmtId="0" fontId="7" fillId="3" borderId="1" applyAlignment="1" pivotButton="0" quotePrefix="0" xfId="0">
      <alignment horizontal="general" vertical="top" wrapText="1"/>
    </xf>
    <xf numFmtId="164"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12" fillId="0" borderId="1" applyAlignment="1" pivotButton="0" quotePrefix="0" xfId="0">
      <alignment vertical="top" wrapText="1"/>
    </xf>
    <xf numFmtId="0" fontId="14" fillId="3" borderId="1" applyAlignment="1" pivotButton="0" quotePrefix="0" xfId="0">
      <alignment vertical="top" wrapText="1"/>
    </xf>
    <xf numFmtId="0" fontId="14" fillId="0" borderId="0" applyAlignment="1" pivotButton="0" quotePrefix="0" xfId="0">
      <alignment vertical="top" wrapText="1"/>
    </xf>
    <xf numFmtId="0" fontId="14" fillId="0" borderId="1" applyAlignment="1" pivotButton="0" quotePrefix="0" xfId="0">
      <alignment vertical="top" wrapText="1"/>
    </xf>
    <xf numFmtId="0" fontId="15" fillId="0" borderId="0" pivotButton="0" quotePrefix="0" xfId="0"/>
    <xf numFmtId="0" fontId="16" fillId="0" borderId="0" pivotButton="0" quotePrefix="0" xfId="0"/>
    <xf numFmtId="0" fontId="11" fillId="4" borderId="0" pivotButton="0" quotePrefix="0" xfId="0"/>
    <xf numFmtId="0" fontId="0" fillId="4" borderId="0" pivotButton="0" quotePrefix="0" xfId="0"/>
    <xf numFmtId="0" fontId="17" fillId="5" borderId="0" applyAlignment="1" pivotButton="0" quotePrefix="0" xfId="0">
      <alignment vertical="center"/>
    </xf>
    <xf numFmtId="165" fontId="19" fillId="6" borderId="0" pivotButton="0" quotePrefix="0" xfId="0"/>
    <xf numFmtId="0" fontId="19" fillId="6" borderId="0" pivotButton="0" quotePrefix="0" xfId="0"/>
    <xf numFmtId="0" fontId="19" fillId="6" borderId="0" applyAlignment="1" pivotButton="0" quotePrefix="0" xfId="0">
      <alignment vertical="top" wrapText="1"/>
    </xf>
    <xf numFmtId="0" fontId="19" fillId="6" borderId="0" pivotButton="0" quotePrefix="0" xfId="6"/>
    <xf numFmtId="165" fontId="19" fillId="0" borderId="0" pivotButton="0" quotePrefix="0" xfId="0"/>
    <xf numFmtId="0" fontId="19" fillId="0" borderId="0" pivotButton="0" quotePrefix="0" xfId="0"/>
    <xf numFmtId="0" fontId="19" fillId="0" borderId="0" applyAlignment="1" pivotButton="0" quotePrefix="0" xfId="0">
      <alignment vertical="top" wrapText="1"/>
    </xf>
    <xf numFmtId="0" fontId="19" fillId="0" borderId="0" pivotButton="0" quotePrefix="0" xfId="6"/>
    <xf numFmtId="0" fontId="20" fillId="0" borderId="0" pivotButton="0" quotePrefix="0" xfId="0"/>
    <xf numFmtId="0" fontId="0" fillId="0" borderId="0" applyAlignment="1" pivotButton="0" quotePrefix="0" xfId="0">
      <alignment vertical="top" wrapText="1"/>
    </xf>
    <xf numFmtId="165" fontId="19" fillId="6" borderId="0" pivotButton="0" quotePrefix="0" xfId="0"/>
    <xf numFmtId="165" fontId="19" fillId="0" borderId="0" pivotButton="0" quotePrefix="0" xfId="0"/>
  </cellXfs>
  <cellStyles count="7">
    <cellStyle name="Normal" xfId="0" builtinId="0"/>
    <cellStyle name="Comma" xfId="1" builtinId="3"/>
    <cellStyle name="Comma [0]" xfId="2" builtinId="6"/>
    <cellStyle name="Currency" xfId="3" builtinId="4"/>
    <cellStyle name="Currency [0]" xfId="4" builtinId="7"/>
    <cellStyle name="Percent" xfId="5" builtinId="5"/>
    <cellStyle name="Hyperlink" xfId="6" builtinId="8" hidden="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D0C0"/>
      <rgbColor rgb="FF808080"/>
      <rgbColor rgb="FF9999FF"/>
      <rgbColor rgb="FF993366"/>
      <rgbColor rgb="FFF3EEE5"/>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E6557"/>
      <rgbColor rgb="FF969696"/>
      <rgbColor rgb="FF003366"/>
      <rgbColor rgb="FF339966"/>
      <rgbColor rgb="FF003300"/>
      <rgbColor rgb="FF333300"/>
      <rgbColor rgb="FF993300"/>
      <rgbColor rgb="FF993366"/>
      <rgbColor rgb="FF333399"/>
      <rgbColor rgb="FF2E2A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github.com/RepoKing23/InstagramCarousel/tree/claude/med-spa-carousel-ideas-sim9wz/content/2026-08-17-5-botox-lies-you-still" TargetMode="External" Id="rId1" /><Relationship Type="http://schemas.openxmlformats.org/officeDocument/2006/relationships/hyperlink" Target="https://github.com/RepoKing23/InstagramCarousel/tree/claude/med-spa-carousel-ideas-sim9wz/content/2026-08-17-5-botox-lies-you-still/images" TargetMode="External" Id="rId2" /><Relationship Type="http://schemas.openxmlformats.org/officeDocument/2006/relationships/hyperlink" Target="https://github.com/RepoKing23/InstagramCarousel/tree/claude/med-spa-carousel-ideas-sim9wz/content/2026-08-17-5-botox-lies-you-still/images" TargetMode="External" Id="rId3" /><Relationship Type="http://schemas.openxmlformats.org/officeDocument/2006/relationships/hyperlink" Target="https://github.com/RepoKing23/InstagramCarousel/blob/claude/med-spa-carousel-ideas-sim9wz/content/2026-08-17-5-botox-lies-you-still/images/gbp.jpg?raw=1" TargetMode="External" Id="rId4" /><Relationship Type="http://schemas.openxmlformats.org/officeDocument/2006/relationships/hyperlink" Target="https://github.com/RepoKing23/InstagramCarousel/blob/claude/med-spa-carousel-ideas-sim9wz/content/2026-08-17-5-botox-lies-you-still/images/gbp.jpg?raw=1" TargetMode="External" Id="rId5" /><Relationship Type="http://schemas.openxmlformats.org/officeDocument/2006/relationships/hyperlink" Target="https://github.com/RepoKing23/InstagramCarousel/tree/claude/med-spa-carousel-ideas-sim9wz/content/2026-08-18-service-spotlight-botox" TargetMode="External" Id="rId6" /><Relationship Type="http://schemas.openxmlformats.org/officeDocument/2006/relationships/hyperlink" Target="https://github.com/RepoKing23/InstagramCarousel/blob/claude/med-spa-carousel-ideas-sim9wz/content/2026-08-18-service-spotlight-botox/images/post.jpg?raw=1" TargetMode="External" Id="rId7" /><Relationship Type="http://schemas.openxmlformats.org/officeDocument/2006/relationships/hyperlink" Target="https://github.com/RepoKing23/InstagramCarousel/blob/claude/med-spa-carousel-ideas-sim9wz/content/2026-08-18-service-spotlight-botox/images/post.jpg?raw=1" TargetMode="External" Id="rId8" /><Relationship Type="http://schemas.openxmlformats.org/officeDocument/2006/relationships/hyperlink" Target="https://github.com/RepoKing23/InstagramCarousel/blob/claude/med-spa-carousel-ideas-sim9wz/content/2026-08-18-service-spotlight-botox/images/gbp.jpg?raw=1" TargetMode="External" Id="rId9" /><Relationship Type="http://schemas.openxmlformats.org/officeDocument/2006/relationships/hyperlink" Target="https://github.com/RepoKing23/InstagramCarousel/blob/claude/med-spa-carousel-ideas-sim9wz/content/2026-08-18-service-spotlight-botox/images/gbp.jpg?raw=1" TargetMode="External" Id="rId10" /><Relationship Type="http://schemas.openxmlformats.org/officeDocument/2006/relationships/hyperlink" Target="https://github.com/RepoKing23/InstagramCarousel/tree/claude/med-spa-carousel-ideas-sim9wz/content/2026-08-20-5-red-flags-at-a" TargetMode="External" Id="rId11" /><Relationship Type="http://schemas.openxmlformats.org/officeDocument/2006/relationships/hyperlink" Target="https://github.com/RepoKing23/InstagramCarousel/tree/claude/med-spa-carousel-ideas-sim9wz/content/2026-08-20-5-red-flags-at-a/images" TargetMode="External" Id="rId12" /><Relationship Type="http://schemas.openxmlformats.org/officeDocument/2006/relationships/hyperlink" Target="https://github.com/RepoKing23/InstagramCarousel/tree/claude/med-spa-carousel-ideas-sim9wz/content/2026-08-20-5-red-flags-at-a/images" TargetMode="External" Id="rId13" /><Relationship Type="http://schemas.openxmlformats.org/officeDocument/2006/relationships/hyperlink" Target="https://github.com/RepoKing23/InstagramCarousel/blob/claude/med-spa-carousel-ideas-sim9wz/content/2026-08-20-5-red-flags-at-a/images/gbp.jpg?raw=1" TargetMode="External" Id="rId14" /><Relationship Type="http://schemas.openxmlformats.org/officeDocument/2006/relationships/hyperlink" Target="https://github.com/RepoKing23/InstagramCarousel/blob/claude/med-spa-carousel-ideas-sim9wz/content/2026-08-20-5-red-flags-at-a/images/gbp.jpg?raw=1" TargetMode="External" Id="rId15" /><Relationship Type="http://schemas.openxmlformats.org/officeDocument/2006/relationships/hyperlink" Target="https://github.com/RepoKing23/InstagramCarousel/tree/claude/med-spa-carousel-ideas-sim9wz/content/2026-08-21-behind-the-scenes-the-prep" TargetMode="External" Id="rId16" /><Relationship Type="http://schemas.openxmlformats.org/officeDocument/2006/relationships/hyperlink" Target="https://github.com/RepoKing23/InstagramCarousel/blob/claude/med-spa-carousel-ideas-sim9wz/content/2026-08-21-behind-the-scenes-the-prep/images/post.jpg?raw=1" TargetMode="External" Id="rId17" /><Relationship Type="http://schemas.openxmlformats.org/officeDocument/2006/relationships/hyperlink" Target="https://github.com/RepoKing23/InstagramCarousel/blob/claude/med-spa-carousel-ideas-sim9wz/content/2026-08-21-behind-the-scenes-the-prep/images/post.jpg?raw=1" TargetMode="External" Id="rId18" /><Relationship Type="http://schemas.openxmlformats.org/officeDocument/2006/relationships/hyperlink" Target="https://github.com/RepoKing23/InstagramCarousel/blob/claude/med-spa-carousel-ideas-sim9wz/content/2026-08-21-behind-the-scenes-the-prep/images/gbp.jpg?raw=1" TargetMode="External" Id="rId19" /><Relationship Type="http://schemas.openxmlformats.org/officeDocument/2006/relationships/hyperlink" Target="https://github.com/RepoKing23/InstagramCarousel/blob/claude/med-spa-carousel-ideas-sim9wz/content/2026-08-21-behind-the-scenes-the-prep/images/gbp.jpg?raw=1" TargetMode="External" Id="rId20" /><Relationship Type="http://schemas.openxmlformats.org/officeDocument/2006/relationships/hyperlink" Target="https://github.com/RepoKing23/InstagramCarousel/tree/claude/med-spa-carousel-ideas-sim9wz/content/2026-08-22-great-work-is-invisible" TargetMode="External" Id="rId21" /><Relationship Type="http://schemas.openxmlformats.org/officeDocument/2006/relationships/hyperlink" Target="https://github.com/RepoKing23/InstagramCarousel/blob/claude/med-spa-carousel-ideas-sim9wz/content/2026-08-22-great-work-is-invisible/images/before-after-result.jpg?raw=1" TargetMode="External" Id="rId22" /><Relationship Type="http://schemas.openxmlformats.org/officeDocument/2006/relationships/hyperlink" Target="https://github.com/RepoKing23/InstagramCarousel/blob/claude/med-spa-carousel-ideas-sim9wz/content/2026-08-22-great-work-is-invisible/images/before-after-result.jpg?raw=1" TargetMode="External" Id="rId23" /><Relationship Type="http://schemas.openxmlformats.org/officeDocument/2006/relationships/hyperlink" Target="https://github.com/RepoKing23/InstagramCarousel/blob/claude/med-spa-carousel-ideas-sim9wz/content/2026-08-22-great-work-is-invisible/images/gbp.jpg?raw=1" TargetMode="External" Id="rId24" /><Relationship Type="http://schemas.openxmlformats.org/officeDocument/2006/relationships/hyperlink" Target="https://github.com/RepoKing23/InstagramCarousel/blob/claude/med-spa-carousel-ideas-sim9wz/content/2026-08-22-great-work-is-invisible/images/gbp.jpg?raw=1" TargetMode="External" Id="rId25" /><Relationship Type="http://schemas.openxmlformats.org/officeDocument/2006/relationships/hyperlink" Target="https://github.com/RepoKing23/InstagramCarousel/tree/claude/med-spa-carousel-ideas-sim9wz/content/2026-08-24-your-first-visit-step-by" TargetMode="External" Id="rId26" /><Relationship Type="http://schemas.openxmlformats.org/officeDocument/2006/relationships/hyperlink" Target="https://github.com/RepoKing23/InstagramCarousel/tree/claude/med-spa-carousel-ideas-sim9wz/content/2026-08-24-your-first-visit-step-by/images" TargetMode="External" Id="rId27" /><Relationship Type="http://schemas.openxmlformats.org/officeDocument/2006/relationships/hyperlink" Target="https://github.com/RepoKing23/InstagramCarousel/tree/claude/med-spa-carousel-ideas-sim9wz/content/2026-08-24-your-first-visit-step-by/images" TargetMode="External" Id="rId28" /><Relationship Type="http://schemas.openxmlformats.org/officeDocument/2006/relationships/hyperlink" Target="https://github.com/RepoKing23/InstagramCarousel/blob/claude/med-spa-carousel-ideas-sim9wz/content/2026-08-24-your-first-visit-step-by/images/gbp.jpg?raw=1" TargetMode="External" Id="rId29" /><Relationship Type="http://schemas.openxmlformats.org/officeDocument/2006/relationships/hyperlink" Target="https://github.com/RepoKing23/InstagramCarousel/blob/claude/med-spa-carousel-ideas-sim9wz/content/2026-08-24-your-first-visit-step-by/images/gbp.jpg?raw=1" TargetMode="External" Id="rId30" /><Relationship Type="http://schemas.openxmlformats.org/officeDocument/2006/relationships/hyperlink" Target="https://github.com/RepoKing23/InstagramCarousel/tree/claude/med-spa-carousel-ideas-sim9wz/content/2026-08-25-why-i-do-not-post" TargetMode="External" Id="rId31" /><Relationship Type="http://schemas.openxmlformats.org/officeDocument/2006/relationships/hyperlink" Target="https://github.com/RepoKing23/InstagramCarousel/blob/claude/med-spa-carousel-ideas-sim9wz/content/2026-08-25-why-i-do-not-post/images/post.jpg?raw=1" TargetMode="External" Id="rId32" /><Relationship Type="http://schemas.openxmlformats.org/officeDocument/2006/relationships/hyperlink" Target="https://github.com/RepoKing23/InstagramCarousel/blob/claude/med-spa-carousel-ideas-sim9wz/content/2026-08-25-why-i-do-not-post/images/post.jpg?raw=1" TargetMode="External" Id="rId33" /><Relationship Type="http://schemas.openxmlformats.org/officeDocument/2006/relationships/hyperlink" Target="https://github.com/RepoKing23/InstagramCarousel/blob/claude/med-spa-carousel-ideas-sim9wz/content/2026-08-25-why-i-do-not-post/images/gbp.jpg?raw=1" TargetMode="External" Id="rId34" /><Relationship Type="http://schemas.openxmlformats.org/officeDocument/2006/relationships/hyperlink" Target="https://github.com/RepoKing23/InstagramCarousel/blob/claude/med-spa-carousel-ideas-sim9wz/content/2026-08-25-why-i-do-not-post/images/gbp.jpg?raw=1" TargetMode="External" Id="rId35" /><Relationship Type="http://schemas.openxmlformats.org/officeDocument/2006/relationships/hyperlink" Target="https://github.com/RepoKing23/InstagramCarousel/tree/claude/med-spa-carousel-ideas-sim9wz/content/2026-08-27-meet-np-cleo-the-face" TargetMode="External" Id="rId36" /><Relationship Type="http://schemas.openxmlformats.org/officeDocument/2006/relationships/hyperlink" Target="https://github.com/RepoKing23/InstagramCarousel/tree/claude/med-spa-carousel-ideas-sim9wz/content/2026-08-27-meet-np-cleo-the-face/images" TargetMode="External" Id="rId37" /><Relationship Type="http://schemas.openxmlformats.org/officeDocument/2006/relationships/hyperlink" Target="https://github.com/RepoKing23/InstagramCarousel/tree/claude/med-spa-carousel-ideas-sim9wz/content/2026-08-27-meet-np-cleo-the-face/images" TargetMode="External" Id="rId38" /><Relationship Type="http://schemas.openxmlformats.org/officeDocument/2006/relationships/hyperlink" Target="https://github.com/RepoKing23/InstagramCarousel/blob/claude/med-spa-carousel-ideas-sim9wz/content/2026-08-27-meet-np-cleo-the-face/images/gbp.jpg?raw=1" TargetMode="External" Id="rId39" /><Relationship Type="http://schemas.openxmlformats.org/officeDocument/2006/relationships/hyperlink" Target="https://github.com/RepoKing23/InstagramCarousel/blob/claude/med-spa-carousel-ideas-sim9wz/content/2026-08-27-meet-np-cleo-the-face/images/gbp.jpg?raw=1" TargetMode="External" Id="rId40" /><Relationship Type="http://schemas.openxmlformats.org/officeDocument/2006/relationships/hyperlink" Target="https://github.com/RepoKing23/InstagramCarousel/tree/claude/med-spa-carousel-ideas-sim9wz/content/2026-08-28-welcome-to-the-treatment-room" TargetMode="External" Id="rId41" /><Relationship Type="http://schemas.openxmlformats.org/officeDocument/2006/relationships/hyperlink" Target="https://github.com/RepoKing23/InstagramCarousel/blob/claude/med-spa-carousel-ideas-sim9wz/content/2026-08-28-welcome-to-the-treatment-room/images/post.jpg?raw=1" TargetMode="External" Id="rId42" /><Relationship Type="http://schemas.openxmlformats.org/officeDocument/2006/relationships/hyperlink" Target="https://github.com/RepoKing23/InstagramCarousel/blob/claude/med-spa-carousel-ideas-sim9wz/content/2026-08-28-welcome-to-the-treatment-room/images/post.jpg?raw=1" TargetMode="External" Id="rId43" /><Relationship Type="http://schemas.openxmlformats.org/officeDocument/2006/relationships/hyperlink" Target="https://github.com/RepoKing23/InstagramCarousel/blob/claude/med-spa-carousel-ideas-sim9wz/content/2026-08-28-welcome-to-the-treatment-room/images/gbp.jpg?raw=1" TargetMode="External" Id="rId44" /><Relationship Type="http://schemas.openxmlformats.org/officeDocument/2006/relationships/hyperlink" Target="https://github.com/RepoKing23/InstagramCarousel/blob/claude/med-spa-carousel-ideas-sim9wz/content/2026-08-28-welcome-to-the-treatment-room/images/gbp.jpg?raw=1" TargetMode="External" Id="rId45" /><Relationship Type="http://schemas.openxmlformats.org/officeDocument/2006/relationships/hyperlink" Target="https://github.com/RepoKing23/InstagramCarousel/tree/claude/med-spa-carousel-ideas-sim9wz/content/2026-08-29-this-or-that-rested-vs" TargetMode="External" Id="rId46" /><Relationship Type="http://schemas.openxmlformats.org/officeDocument/2006/relationships/hyperlink" Target="https://github.com/RepoKing23/InstagramCarousel/blob/claude/med-spa-carousel-ideas-sim9wz/content/2026-08-29-this-or-that-rested-vs/images/post.jpg?raw=1" TargetMode="External" Id="rId47" /><Relationship Type="http://schemas.openxmlformats.org/officeDocument/2006/relationships/hyperlink" Target="https://github.com/RepoKing23/InstagramCarousel/blob/claude/med-spa-carousel-ideas-sim9wz/content/2026-08-29-this-or-that-rested-vs/images/post.jpg?raw=1" TargetMode="External" Id="rId48" /><Relationship Type="http://schemas.openxmlformats.org/officeDocument/2006/relationships/hyperlink" Target="https://github.com/RepoKing23/InstagramCarousel/blob/claude/med-spa-carousel-ideas-sim9wz/content/2026-08-29-this-or-that-rested-vs/images/gbp.jpg?raw=1" TargetMode="External" Id="rId49" /><Relationship Type="http://schemas.openxmlformats.org/officeDocument/2006/relationships/hyperlink" Target="https://github.com/RepoKing23/InstagramCarousel/blob/claude/med-spa-carousel-ideas-sim9wz/content/2026-08-29-this-or-that-rested-vs/images/gbp.jpg?raw=1" TargetMode="External" Id="rId50" /><Relationship Type="http://schemas.openxmlformats.org/officeDocument/2006/relationships/hyperlink" Target="https://github.com/RepoKing23/InstagramCarousel/tree/claude/med-spa-carousel-ideas-sim9wz/content/2026-08-31-preventative-botox-when-to-actually" TargetMode="External" Id="rId51" /><Relationship Type="http://schemas.openxmlformats.org/officeDocument/2006/relationships/hyperlink" Target="https://github.com/RepoKing23/InstagramCarousel/tree/claude/med-spa-carousel-ideas-sim9wz/content/2026-08-31-preventative-botox-when-to-actually/images" TargetMode="External" Id="rId52" /><Relationship Type="http://schemas.openxmlformats.org/officeDocument/2006/relationships/hyperlink" Target="https://github.com/RepoKing23/InstagramCarousel/tree/claude/med-spa-carousel-ideas-sim9wz/content/2026-08-31-preventative-botox-when-to-actually/images" TargetMode="External" Id="rId53" /><Relationship Type="http://schemas.openxmlformats.org/officeDocument/2006/relationships/hyperlink" Target="https://github.com/RepoKing23/InstagramCarousel/blob/claude/med-spa-carousel-ideas-sim9wz/content/2026-08-31-preventative-botox-when-to-actually/images/gbp.jpg?raw=1" TargetMode="External" Id="rId54" /><Relationship Type="http://schemas.openxmlformats.org/officeDocument/2006/relationships/hyperlink" Target="https://github.com/RepoKing23/InstagramCarousel/blob/claude/med-spa-carousel-ideas-sim9wz/content/2026-08-31-preventative-botox-when-to-actually/images/gbp.jpg?raw=1" TargetMode="External" Id="rId55" /><Relationship Type="http://schemas.openxmlformats.org/officeDocument/2006/relationships/hyperlink" Target="https://github.com/RepoKing23/InstagramCarousel/tree/claude/med-spa-carousel-ideas-sim9wz/content/2026-09-01-service-spotlight-preventative-botox" TargetMode="External" Id="rId56" /><Relationship Type="http://schemas.openxmlformats.org/officeDocument/2006/relationships/hyperlink" Target="https://github.com/RepoKing23/InstagramCarousel/tree/claude/med-spa-carousel-ideas-sim9wz/content/2026-09-03-what-20-units-actually-looks" TargetMode="External" Id="rId57" /><Relationship Type="http://schemas.openxmlformats.org/officeDocument/2006/relationships/hyperlink" Target="https://github.com/RepoKing23/InstagramCarousel/tree/claude/med-spa-carousel-ideas-sim9wz/content/2026-09-04-meet-your-injector" TargetMode="External" Id="rId58" /><Relationship Type="http://schemas.openxmlformats.org/officeDocument/2006/relationships/hyperlink" Target="https://github.com/RepoKing23/InstagramCarousel/tree/claude/med-spa-carousel-ideas-sim9wz/content/2026-09-05-quote-prevention-beats-erasing" TargetMode="External" Id="rId59" /><Relationship Type="http://schemas.openxmlformats.org/officeDocument/2006/relationships/hyperlink" Target="https://github.com/RepoKing23/InstagramCarousel/tree/claude/med-spa-carousel-ideas-sim9wz/content/2026-09-07-botox-vs-dysport-the-real" TargetMode="External" Id="rId60" /><Relationship Type="http://schemas.openxmlformats.org/officeDocument/2006/relationships/hyperlink" Target="https://github.com/RepoKing23/InstagramCarousel/tree/claude/med-spa-carousel-ideas-sim9wz/content/2026-09-08-botox-vs-dysport-at-a" TargetMode="External" Id="rId61" /><Relationship Type="http://schemas.openxmlformats.org/officeDocument/2006/relationships/hyperlink" Target="https://github.com/RepoKing23/InstagramCarousel/tree/claude/med-spa-carousel-ideas-sim9wz/content/2026-09-10-botox-aftercare-the-first-48" TargetMode="External" Id="rId62" /><Relationship Type="http://schemas.openxmlformats.org/officeDocument/2006/relationships/hyperlink" Target="https://github.com/RepoKing23/InstagramCarousel/tree/claude/med-spa-carousel-ideas-sim9wz/content/2026-09-11-the-face-map" TargetMode="External" Id="rId63" /><Relationship Type="http://schemas.openxmlformats.org/officeDocument/2006/relationships/hyperlink" Target="https://github.com/RepoKing23/InstagramCarousel/tree/claude/med-spa-carousel-ideas-sim9wz/content/2026-09-12-faq-does-botox-hurt" TargetMode="External" Id="rId64" /><Relationship Type="http://schemas.openxmlformats.org/officeDocument/2006/relationships/hyperlink" Target="https://github.com/RepoKing23/InstagramCarousel/tree/claude/med-spa-carousel-ideas-sim9wz/content/2026-09-14-5-things-botox-can-t" TargetMode="External" Id="rId65" /><Relationship Type="http://schemas.openxmlformats.org/officeDocument/2006/relationships/hyperlink" Target="https://github.com/RepoKing23/InstagramCarousel/tree/claude/med-spa-carousel-ideas-sim9wz/content/2026-09-15-what-botox-can-t-fix" TargetMode="External" Id="rId66" /><Relationship Type="http://schemas.openxmlformats.org/officeDocument/2006/relationships/hyperlink" Target="https://github.com/RepoKing23/InstagramCarousel/tree/claude/med-spa-carousel-ideas-sim9wz/content/2026-09-17-still-you-just-refreshed" TargetMode="External" Id="rId67" /><Relationship Type="http://schemas.openxmlformats.org/officeDocument/2006/relationships/hyperlink" Target="https://github.com/RepoKing23/InstagramCarousel/tree/claude/med-spa-carousel-ideas-sim9wz/content/2026-09-18-myth-vs-truth-the-frozen" TargetMode="External" Id="rId68" /><Relationship Type="http://schemas.openxmlformats.org/officeDocument/2006/relationships/hyperlink" Target="https://github.com/RepoKing23/InstagramCarousel/tree/claude/med-spa-carousel-ideas-sim9wz/content/2026-09-19-client-words-natural-results" TargetMode="External" Id="rId69" /><Relationship Type="http://schemas.openxmlformats.org/officeDocument/2006/relationships/hyperlink" Target="https://github.com/RepoKing23/InstagramCarousel/tree/claude/med-spa-carousel-ideas-sim9wz/content/2026-09-21-botox-or-filler-you-might" TargetMode="External" Id="rId70" /><Relationship Type="http://schemas.openxmlformats.org/officeDocument/2006/relationships/hyperlink" Target="https://github.com/RepoKing23/InstagramCarousel/tree/claude/med-spa-carousel-ideas-sim9wz/content/2026-09-22-lines-vs-volume" TargetMode="External" Id="rId71" /><Relationship Type="http://schemas.openxmlformats.org/officeDocument/2006/relationships/hyperlink" Target="https://github.com/RepoKing23/InstagramCarousel/tree/claude/med-spa-carousel-ideas-sim9wz/content/2026-09-24-ask-np-cleo-your-questions" TargetMode="External" Id="rId72" /><Relationship Type="http://schemas.openxmlformats.org/officeDocument/2006/relationships/hyperlink" Target="https://github.com/RepoKing23/InstagramCarousel/tree/claude/med-spa-carousel-ideas-sim9wz/content/2026-09-25-your-dms-answered" TargetMode="External" Id="rId73" /><Relationship Type="http://schemas.openxmlformats.org/officeDocument/2006/relationships/hyperlink" Target="https://github.com/RepoKing23/InstagramCarousel/tree/claude/med-spa-carousel-ideas-sim9wz/content/2026-09-26-poll-what-should-np-cleo" TargetMode="External" Id="rId74" /><Relationship Type="http://schemas.openxmlformats.org/officeDocument/2006/relationships/hyperlink" Target="https://github.com/RepoKing23/InstagramCarousel/tree/claude/med-spa-carousel-ideas-sim9wz/content/2026-09-28-how-long-does-botox-really" TargetMode="External" Id="rId75" /><Relationship Type="http://schemas.openxmlformats.org/officeDocument/2006/relationships/hyperlink" Target="https://github.com/RepoKing23/InstagramCarousel/tree/claude/med-spa-carousel-ideas-sim9wz/content/2026-09-29-the-3-month-botox-timeline" TargetMode="External" Id="rId76" /><Relationship Type="http://schemas.openxmlformats.org/officeDocument/2006/relationships/hyperlink" Target="https://github.com/RepoKing23/InstagramCarousel/tree/claude/med-spa-carousel-ideas-sim9wz/content/2026-10-01-why-we-sometimes-say-no" TargetMode="External" Id="rId77" /><Relationship Type="http://schemas.openxmlformats.org/officeDocument/2006/relationships/hyperlink" Target="https://github.com/RepoKing23/InstagramCarousel/tree/claude/med-spa-carousel-ideas-sim9wz/content/2026-10-02-what-i-tell-every-first" TargetMode="External" Id="rId78" /><Relationship Type="http://schemas.openxmlformats.org/officeDocument/2006/relationships/hyperlink" Target="https://github.com/RepoKing23/InstagramCarousel/tree/claude/med-spa-carousel-ideas-sim9wz/content/2026-10-03-quote-no-is-protection" TargetMode="External" Id="rId79" /><Relationship Type="http://schemas.openxmlformats.org/officeDocument/2006/relationships/hyperlink" Target="https://github.com/RepoKing23/InstagramCarousel/tree/claude/med-spa-carousel-ideas-sim9wz/content/2026-10-05-filler-won-t-make-you" TargetMode="External" Id="rId80" /><Relationship Type="http://schemas.openxmlformats.org/officeDocument/2006/relationships/hyperlink" Target="https://github.com/RepoKing23/InstagramCarousel/tree/claude/med-spa-carousel-ideas-sim9wz/content/2026-10-06-service-spotlight-dermal-filler" TargetMode="External" Id="rId81" /><Relationship Type="http://schemas.openxmlformats.org/officeDocument/2006/relationships/hyperlink" Target="https://github.com/RepoKing23/InstagramCarousel/tree/claude/med-spa-carousel-ideas-sim9wz/content/2026-10-08-lip-filler-natural-vs-overdone" TargetMode="External" Id="rId82" /><Relationship Type="http://schemas.openxmlformats.org/officeDocument/2006/relationships/hyperlink" Target="https://github.com/RepoKing23/InstagramCarousel/blob/claude/med-spa-carousel-ideas-sim9wz/content/2026-10-08-lip-filler-natural-vs-overdone/images/before-after-result.jpg?raw=1" TargetMode="External" Id="rId83" /><Relationship Type="http://schemas.openxmlformats.org/officeDocument/2006/relationships/hyperlink" Target="https://github.com/RepoKing23/InstagramCarousel/blob/claude/med-spa-carousel-ideas-sim9wz/content/2026-10-08-lip-filler-natural-vs-overdone/images/before-after-result.jpg?raw=1" TargetMode="External" Id="rId84" /><Relationship Type="http://schemas.openxmlformats.org/officeDocument/2006/relationships/hyperlink" Target="https://github.com/RepoKing23/InstagramCarousel/tree/claude/med-spa-carousel-ideas-sim9wz/content/2026-10-09-inside-the-filler-appointment" TargetMode="External" Id="rId85" /><Relationship Type="http://schemas.openxmlformats.org/officeDocument/2006/relationships/hyperlink" Target="https://github.com/RepoKing23/InstagramCarousel/tree/claude/med-spa-carousel-ideas-sim9wz/content/2026-10-10-subtle-is-the-new-dramatic" TargetMode="External" Id="rId86" /><Relationship Type="http://schemas.openxmlformats.org/officeDocument/2006/relationships/hyperlink" Target="https://github.com/RepoKing23/InstagramCarousel/blob/claude/med-spa-carousel-ideas-sim9wz/content/2026-10-10-subtle-is-the-new-dramatic/images/before-after-result.jpg?raw=1" TargetMode="External" Id="rId87" /><Relationship Type="http://schemas.openxmlformats.org/officeDocument/2006/relationships/hyperlink" Target="https://github.com/RepoKing23/InstagramCarousel/blob/claude/med-spa-carousel-ideas-sim9wz/content/2026-10-10-subtle-is-the-new-dramatic/images/before-after-result.jpg?raw=1" TargetMode="External" Id="rId88" /><Relationship Type="http://schemas.openxmlformats.org/officeDocument/2006/relationships/hyperlink" Target="https://github.com/RepoKing23/InstagramCarousel/tree/claude/med-spa-carousel-ideas-sim9wz/content/2026-10-12-cheek-filler-the-secret-nobody" TargetMode="External" Id="rId89" /><Relationship Type="http://schemas.openxmlformats.org/officeDocument/2006/relationships/hyperlink" Target="https://github.com/RepoKing23/InstagramCarousel/tree/claude/med-spa-carousel-ideas-sim9wz/content/2026-10-13-service-spotlight-cheek-filler" TargetMode="External" Id="rId90" /><Relationship Type="http://schemas.openxmlformats.org/officeDocument/2006/relationships/hyperlink" Target="https://github.com/RepoKing23/InstagramCarousel/tree/claude/med-spa-carousel-ideas-sim9wz/content/2026-10-15-real-lips-real-results" TargetMode="External" Id="rId91" /><Relationship Type="http://schemas.openxmlformats.org/officeDocument/2006/relationships/hyperlink" Target="https://github.com/RepoKing23/InstagramCarousel/tree/claude/med-spa-carousel-ideas-sim9wz/content/2026-10-15-real-lips-real-results/images" TargetMode="External" Id="rId92" /><Relationship Type="http://schemas.openxmlformats.org/officeDocument/2006/relationships/hyperlink" Target="https://github.com/RepoKing23/InstagramCarousel/tree/claude/med-spa-carousel-ideas-sim9wz/content/2026-10-15-real-lips-real-results/images" TargetMode="External" Id="rId93" /><Relationship Type="http://schemas.openxmlformats.org/officeDocument/2006/relationships/hyperlink" Target="https://github.com/RepoKing23/InstagramCarousel/tree/claude/med-spa-carousel-ideas-sim9wz/content/2026-10-16-facial-balancing-101" TargetMode="External" Id="rId94" /><Relationship Type="http://schemas.openxmlformats.org/officeDocument/2006/relationships/hyperlink" Target="https://github.com/RepoKing23/InstagramCarousel/tree/claude/med-spa-carousel-ideas-sim9wz/content/2026-10-17-faq-how-much-filler-do" TargetMode="External" Id="rId95" /><Relationship Type="http://schemas.openxmlformats.org/officeDocument/2006/relationships/hyperlink" Target="https://github.com/RepoKing23/InstagramCarousel/tree/claude/med-spa-carousel-ideas-sim9wz/content/2026-10-19-filler-dissolves-here-is-the" TargetMode="External" Id="rId96" /><Relationship Type="http://schemas.openxmlformats.org/officeDocument/2006/relationships/hyperlink" Target="https://github.com/RepoKing23/InstagramCarousel/tree/claude/med-spa-carousel-ideas-sim9wz/content/2026-10-20-the-filler-timeline" TargetMode="External" Id="rId97" /><Relationship Type="http://schemas.openxmlformats.org/officeDocument/2006/relationships/hyperlink" Target="https://github.com/RepoKing23/InstagramCarousel/tree/claude/med-spa-carousel-ideas-sim9wz/content/2026-10-22-lip-filler-aftercare-your-first" TargetMode="External" Id="rId98" /><Relationship Type="http://schemas.openxmlformats.org/officeDocument/2006/relationships/hyperlink" Target="https://github.com/RepoKing23/InstagramCarousel/blob/claude/med-spa-carousel-ideas-sim9wz/content/2026-10-22-lip-filler-aftercare-your-first/images/day-zero-before-after.jpg?raw=1" TargetMode="External" Id="rId99" /><Relationship Type="http://schemas.openxmlformats.org/officeDocument/2006/relationships/hyperlink" Target="https://github.com/RepoKing23/InstagramCarousel/blob/claude/med-spa-carousel-ideas-sim9wz/content/2026-10-22-lip-filler-aftercare-your-first/images/day-zero-before-after.jpg?raw=1" TargetMode="External" Id="rId100" /><Relationship Type="http://schemas.openxmlformats.org/officeDocument/2006/relationships/hyperlink" Target="https://github.com/RepoKing23/InstagramCarousel/tree/claude/med-spa-carousel-ideas-sim9wz/content/2026-10-23-aftercare-essentials" TargetMode="External" Id="rId101" /><Relationship Type="http://schemas.openxmlformats.org/officeDocument/2006/relationships/hyperlink" Target="https://github.com/RepoKing23/InstagramCarousel/tree/claude/med-spa-carousel-ideas-sim9wz/content/2026-10-24-client-words-the-lip-glow" TargetMode="External" Id="rId102" /><Relationship Type="http://schemas.openxmlformats.org/officeDocument/2006/relationships/hyperlink" Target="https://github.com/RepoKing23/InstagramCarousel/blob/claude/med-spa-carousel-ideas-sim9wz/content/2026-10-24-client-words-the-lip-glow/images/before-after-result.jpg?raw=1" TargetMode="External" Id="rId103" /><Relationship Type="http://schemas.openxmlformats.org/officeDocument/2006/relationships/hyperlink" Target="https://github.com/RepoKing23/InstagramCarousel/blob/claude/med-spa-carousel-ideas-sim9wz/content/2026-10-24-client-words-the-lip-glow/images/before-after-result.jpg?raw=1" TargetMode="External" Id="rId104" /><Relationship Type="http://schemas.openxmlformats.org/officeDocument/2006/relationships/hyperlink" Target="https://github.com/RepoKing23/InstagramCarousel/tree/claude/med-spa-carousel-ideas-sim9wz/content/2026-10-26-5-filler-lies-you-still" TargetMode="External" Id="rId105" /><Relationship Type="http://schemas.openxmlformats.org/officeDocument/2006/relationships/hyperlink" Target="https://github.com/RepoKing23/InstagramCarousel/tree/claude/med-spa-carousel-ideas-sim9wz/content/2026-10-27-myth-vs-truth-filler-edition" TargetMode="External" Id="rId106" /><Relationship Type="http://schemas.openxmlformats.org/officeDocument/2006/relationships/hyperlink" Target="https://github.com/RepoKing23/InstagramCarousel/tree/claude/med-spa-carousel-ideas-sim9wz/content/2026-10-29-facial-balancing-why-we-treat" TargetMode="External" Id="rId107" /><Relationship Type="http://schemas.openxmlformats.org/officeDocument/2006/relationships/hyperlink" Target="https://github.com/RepoKing23/InstagramCarousel/tree/claude/med-spa-carousel-ideas-sim9wz/content/2026-10-30-one-syringe-balanced-lips" TargetMode="External" Id="rId108" /><Relationship Type="http://schemas.openxmlformats.org/officeDocument/2006/relationships/hyperlink" Target="https://github.com/RepoKing23/InstagramCarousel/blob/claude/med-spa-carousel-ideas-sim9wz/content/2026-10-30-one-syringe-balanced-lips/images/before-after-result.jpg?raw=1" TargetMode="External" Id="rId109" /><Relationship Type="http://schemas.openxmlformats.org/officeDocument/2006/relationships/hyperlink" Target="https://github.com/RepoKing23/InstagramCarousel/blob/claude/med-spa-carousel-ideas-sim9wz/content/2026-10-30-one-syringe-balanced-lips/images/before-after-result.jpg?raw=1" TargetMode="External" Id="rId110" /><Relationship Type="http://schemas.openxmlformats.org/officeDocument/2006/relationships/hyperlink" Target="https://github.com/RepoKing23/InstagramCarousel/tree/claude/med-spa-carousel-ideas-sim9wz/content/2026-10-31-ask-anything-filler-edition" TargetMode="External" Id="rId111" /><Relationship Type="http://schemas.openxmlformats.org/officeDocument/2006/relationships/hyperlink" Target="https://github.com/RepoKing23/InstagramCarousel/tree/claude/med-spa-carousel-ideas-sim9wz/content/2026-11-02-rested-by-the-holidays-your" TargetMode="External" Id="rId112" /><Relationship Type="http://schemas.openxmlformats.org/officeDocument/2006/relationships/hyperlink" Target="https://github.com/RepoKing23/InstagramCarousel/tree/claude/med-spa-carousel-ideas-sim9wz/content/2026-11-03-holiday-countdown-book-by-these" TargetMode="External" Id="rId113" /><Relationship Type="http://schemas.openxmlformats.org/officeDocument/2006/relationships/hyperlink" Target="https://github.com/RepoKing23/InstagramCarousel/tree/claude/med-spa-carousel-ideas-sim9wz/content/2026-11-05-party-season-prep-what-to" TargetMode="External" Id="rId114" /><Relationship Type="http://schemas.openxmlformats.org/officeDocument/2006/relationships/hyperlink" Target="https://github.com/RepoKing23/InstagramCarousel/tree/claude/med-spa-carousel-ideas-sim9wz/content/2026-11-06-one-result-every-angle" TargetMode="External" Id="rId115" /><Relationship Type="http://schemas.openxmlformats.org/officeDocument/2006/relationships/hyperlink" Target="https://github.com/RepoKing23/InstagramCarousel/tree/claude/med-spa-carousel-ideas-sim9wz/content/2026-11-06-one-result-every-angle/images" TargetMode="External" Id="rId116" /><Relationship Type="http://schemas.openxmlformats.org/officeDocument/2006/relationships/hyperlink" Target="https://github.com/RepoKing23/InstagramCarousel/tree/claude/med-spa-carousel-ideas-sim9wz/content/2026-11-06-one-result-every-angle/images" TargetMode="External" Id="rId117" /><Relationship Type="http://schemas.openxmlformats.org/officeDocument/2006/relationships/hyperlink" Target="https://github.com/RepoKing23/InstagramCarousel/tree/claude/med-spa-carousel-ideas-sim9wz/content/2026-11-07-quote-book-the-appointment" TargetMode="External" Id="rId118" /><Relationship Type="http://schemas.openxmlformats.org/officeDocument/2006/relationships/hyperlink" Target="https://github.com/RepoKing23/InstagramCarousel/tree/claude/med-spa-carousel-ideas-sim9wz/content/2026-11-09-the-gift-of-glow-gift" TargetMode="External" Id="rId119" /><Relationship Type="http://schemas.openxmlformats.org/officeDocument/2006/relationships/hyperlink" Target="https://github.com/RepoKing23/InstagramCarousel/tree/claude/med-spa-carousel-ideas-sim9wz/content/2026-11-10-gift-certificates-are-here" TargetMode="External" Id="rId120" /><Relationship Type="http://schemas.openxmlformats.org/officeDocument/2006/relationships/hyperlink" Target="https://github.com/RepoKing23/InstagramCarousel/tree/claude/med-spa-carousel-ideas-sim9wz/content/2026-11-12-3-months-of-honest-answers" TargetMode="External" Id="rId121" /><Relationship Type="http://schemas.openxmlformats.org/officeDocument/2006/relationships/hyperlink" Target="https://github.com/RepoKing23/InstagramCarousel/tree/claude/med-spa-carousel-ideas-sim9wz/content/2026-11-13-thank-you-3-months-of" TargetMode="External" Id="rId122" /><Relationship Type="http://schemas.openxmlformats.org/officeDocument/2006/relationships/hyperlink" Target="https://github.com/RepoKing23/InstagramCarousel/tree/claude/med-spa-carousel-ideas-sim9wz/content/2026-11-14-tag-someone-who-deserves-a" TargetMode="External" Id="rId123" /></Relationships>
</file>

<file path=xl/worksheets/_rels/sheet3.xml.rels><Relationships xmlns="http://schemas.openxmlformats.org/package/2006/relationships"><Relationship Type="http://schemas.openxmlformats.org/officeDocument/2006/relationships/hyperlink" Target="https://www.instagram.com/luxury_beauty_aestheticz/" TargetMode="External" Id="rId1" /><Relationship Type="http://schemas.openxmlformats.org/officeDocument/2006/relationships/hyperlink" Target="https://github.com/RepoKing23/InstagramCarousel/tree/claude/med-spa-carousel-ideas-sim9wz/content/gbp" TargetMode="External" Id="rId2" /><Relationship Type="http://schemas.openxmlformats.org/officeDocument/2006/relationships/hyperlink" Target="https://raw.githubusercontent.com/RepoKing23/InstagramCarousel/claude/med-spa-carousel-ideas-sim9wz/content/gbp/2026-08-19-one-client-at-a-time.jpg" TargetMode="External" Id="rId3" /><Relationship Type="http://schemas.openxmlformats.org/officeDocument/2006/relationships/hyperlink" Target="https://unsplash.com/photos/SlpmIhUd860" TargetMode="External" Id="rId4" /><Relationship Type="http://schemas.openxmlformats.org/officeDocument/2006/relationships/hyperlink" Target="https://www.instagram.com/luxury_beauty_aestheticz/" TargetMode="External" Id="rId5" /><Relationship Type="http://schemas.openxmlformats.org/officeDocument/2006/relationships/hyperlink" Target="https://github.com/RepoKing23/InstagramCarousel/tree/claude/med-spa-carousel-ideas-sim9wz/content/gbp" TargetMode="External" Id="rId6" /><Relationship Type="http://schemas.openxmlformats.org/officeDocument/2006/relationships/hyperlink" Target="https://raw.githubusercontent.com/RepoKing23/InstagramCarousel/claude/med-spa-carousel-ideas-sim9wz/content/gbp/2026-08-20-5-red-flags.jpg" TargetMode="External" Id="rId7" /><Relationship Type="http://schemas.openxmlformats.org/officeDocument/2006/relationships/hyperlink" Target="https://unsplash.com/photos/HtXyytr9304" TargetMode="External" Id="rId8" /><Relationship Type="http://schemas.openxmlformats.org/officeDocument/2006/relationships/hyperlink" Target="https://www.instagram.com/luxury_beauty_aestheticz/" TargetMode="External" Id="rId9" /><Relationship Type="http://schemas.openxmlformats.org/officeDocument/2006/relationships/hyperlink" Target="https://github.com/RepoKing23/InstagramCarousel/tree/claude/med-spa-carousel-ideas-sim9wz/content/gbp" TargetMode="External" Id="rId10" /><Relationship Type="http://schemas.openxmlformats.org/officeDocument/2006/relationships/hyperlink" Target="https://raw.githubusercontent.com/RepoKing23/InstagramCarousel/claude/med-spa-carousel-ideas-sim9wz/content/gbp/2026-08-21-before-the-needle.jpg" TargetMode="External" Id="rId11" /><Relationship Type="http://schemas.openxmlformats.org/officeDocument/2006/relationships/hyperlink" Target="https://unsplash.com/photos/7JYsKzpduoI" TargetMode="External" Id="rId12" /><Relationship Type="http://schemas.openxmlformats.org/officeDocument/2006/relationships/hyperlink" Target="https://www.instagram.com/luxury_beauty_aestheticz/" TargetMode="External" Id="rId13" /><Relationship Type="http://schemas.openxmlformats.org/officeDocument/2006/relationships/hyperlink" Target="https://github.com/RepoKing23/InstagramCarousel/tree/claude/med-spa-carousel-ideas-sim9wz/content/gbp" TargetMode="External" Id="rId14" /><Relationship Type="http://schemas.openxmlformats.org/officeDocument/2006/relationships/hyperlink" Target="https://raw.githubusercontent.com/RepoKing23/InstagramCarousel/claude/med-spa-carousel-ideas-sim9wz/content/gbp/2026-08-22-great-work-is-invisible.jpg" TargetMode="External" Id="rId15" /><Relationship Type="http://schemas.openxmlformats.org/officeDocument/2006/relationships/hyperlink" Target="https://unsplash.com/photos/-FT1IVUnUd8" TargetMode="External" Id="rId16" /><Relationship Type="http://schemas.openxmlformats.org/officeDocument/2006/relationships/hyperlink" Target="https://www.instagram.com/luxury_beauty_aestheticz/" TargetMode="External" Id="rId17" /><Relationship Type="http://schemas.openxmlformats.org/officeDocument/2006/relationships/hyperlink" Target="https://github.com/RepoKing23/InstagramCarousel/tree/claude/med-spa-carousel-ideas-sim9wz/content/gbp" TargetMode="External" Id="rId18" /><Relationship Type="http://schemas.openxmlformats.org/officeDocument/2006/relationships/hyperlink" Target="https://raw.githubusercontent.com/RepoKing23/InstagramCarousel/claude/med-spa-carousel-ideas-sim9wz/content/gbp/2026-08-23-how-long-does-it-take.jpg" TargetMode="External" Id="rId19" /><Relationship Type="http://schemas.openxmlformats.org/officeDocument/2006/relationships/hyperlink" Target="https://unsplash.com/photos/16mHHrY3PUk" TargetMode="External" Id="rId20" /><Relationship Type="http://schemas.openxmlformats.org/officeDocument/2006/relationships/hyperlink" Target="https://www.instagram.com/luxury_beauty_aestheticz/" TargetMode="External" Id="rId21" /><Relationship Type="http://schemas.openxmlformats.org/officeDocument/2006/relationships/hyperlink" Target="https://github.com/RepoKing23/InstagramCarousel/tree/claude/med-spa-carousel-ideas-sim9wz/content/gbp" TargetMode="External" Id="rId22" /><Relationship Type="http://schemas.openxmlformats.org/officeDocument/2006/relationships/hyperlink" Target="https://raw.githubusercontent.com/RepoKing23/InstagramCarousel/claude/med-spa-carousel-ideas-sim9wz/content/gbp/2026-08-24-what-actually-happens.jpg" TargetMode="External" Id="rId23" /><Relationship Type="http://schemas.openxmlformats.org/officeDocument/2006/relationships/hyperlink" Target="https://unsplash.com/photos/PqyzuzFiQfY" TargetMode="External" Id="rId24" /><Relationship Type="http://schemas.openxmlformats.org/officeDocument/2006/relationships/hyperlink" Target="https://www.instagram.com/luxury_beauty_aestheticz/" TargetMode="External" Id="rId25" /><Relationship Type="http://schemas.openxmlformats.org/officeDocument/2006/relationships/hyperlink" Target="https://github.com/RepoKing23/InstagramCarousel/tree/claude/med-spa-carousel-ideas-sim9wz/content/gbp" TargetMode="External" Id="rId26" /><Relationship Type="http://schemas.openxmlformats.org/officeDocument/2006/relationships/hyperlink" Target="https://raw.githubusercontent.com/RepoKing23/InstagramCarousel/claude/med-spa-carousel-ideas-sim9wz/content/gbp/2026-08-25-why-no-prices.jpg" TargetMode="External" Id="rId27" /><Relationship Type="http://schemas.openxmlformats.org/officeDocument/2006/relationships/hyperlink" Target="https://unsplash.com/photos/wuZ5ZZEhp_A" TargetMode="External" Id="rId28" /><Relationship Type="http://schemas.openxmlformats.org/officeDocument/2006/relationships/hyperlink" Target="https://www.instagram.com/luxury_beauty_aestheticz/" TargetMode="External" Id="rId29" /><Relationship Type="http://schemas.openxmlformats.org/officeDocument/2006/relationships/hyperlink" Target="https://github.com/RepoKing23/InstagramCarousel/tree/claude/med-spa-carousel-ideas-sim9wz/content/gbp" TargetMode="External" Id="rId30" /><Relationship Type="http://schemas.openxmlformats.org/officeDocument/2006/relationships/hyperlink" Target="https://raw.githubusercontent.com/RepoKing23/InstagramCarousel/claude/med-spa-carousel-ideas-sim9wz/content/gbp/2026-08-26-who-injects-you.jpg" TargetMode="External" Id="rId31" /><Relationship Type="http://schemas.openxmlformats.org/officeDocument/2006/relationships/hyperlink" Target="https://unsplash.com/photos/6Cz6R3El3p0" TargetMode="External" Id="rId32" /><Relationship Type="http://schemas.openxmlformats.org/officeDocument/2006/relationships/hyperlink" Target="https://www.instagram.com/luxury_beauty_aestheticz/" TargetMode="External" Id="rId33" /><Relationship Type="http://schemas.openxmlformats.org/officeDocument/2006/relationships/hyperlink" Target="https://github.com/RepoKing23/InstagramCarousel/tree/claude/med-spa-carousel-ideas-sim9wz/content/gbp" TargetMode="External" Id="rId34" /><Relationship Type="http://schemas.openxmlformats.org/officeDocument/2006/relationships/hyperlink" Target="https://raw.githubusercontent.com/RepoKing23/InstagramCarousel/claude/med-spa-carousel-ideas-sim9wz/content/gbp/2026-08-27-meet-np-cleo.jpg" TargetMode="External" Id="rId35" /><Relationship Type="http://schemas.openxmlformats.org/officeDocument/2006/relationships/hyperlink" Target="https://unsplash.com/photos/TQSPgNqeCo8" TargetMode="External" Id="rId36" /><Relationship Type="http://schemas.openxmlformats.org/officeDocument/2006/relationships/hyperlink" Target="https://www.instagram.com/luxury_beauty_aestheticz/" TargetMode="External" Id="rId37" /><Relationship Type="http://schemas.openxmlformats.org/officeDocument/2006/relationships/hyperlink" Target="https://github.com/RepoKing23/InstagramCarousel/tree/claude/med-spa-carousel-ideas-sim9wz/content/gbp" TargetMode="External" Id="rId38" /><Relationship Type="http://schemas.openxmlformats.org/officeDocument/2006/relationships/hyperlink" Target="https://raw.githubusercontent.com/RepoKing23/InstagramCarousel/claude/med-spa-carousel-ideas-sim9wz/content/gbp/2026-08-28-where-calm-meets-careful.jpg" TargetMode="External" Id="rId39" /><Relationship Type="http://schemas.openxmlformats.org/officeDocument/2006/relationships/hyperlink" Target="https://unsplash.com/photos/MGKzomg0Dts" TargetMode="External" Id="rId40" /><Relationship Type="http://schemas.openxmlformats.org/officeDocument/2006/relationships/hyperlink" Target="https://www.instagram.com/luxury_beauty_aestheticz/" TargetMode="External" Id="rId41" /><Relationship Type="http://schemas.openxmlformats.org/officeDocument/2006/relationships/hyperlink" Target="https://github.com/RepoKing23/InstagramCarousel/tree/claude/med-spa-carousel-ideas-sim9wz/content/gbp" TargetMode="External" Id="rId42" /><Relationship Type="http://schemas.openxmlformats.org/officeDocument/2006/relationships/hyperlink" Target="https://raw.githubusercontent.com/RepoKing23/InstagramCarousel/claude/med-spa-carousel-ideas-sim9wz/content/gbp/2026-08-29-rested-or-frozen.jpg" TargetMode="External" Id="rId43" /><Relationship Type="http://schemas.openxmlformats.org/officeDocument/2006/relationships/hyperlink" Target="https://unsplash.com/photos/n5RNynnttF8" TargetMode="External" Id="rId44" /><Relationship Type="http://schemas.openxmlformats.org/officeDocument/2006/relationships/hyperlink" Target="https://www.instagram.com/luxury_beauty_aestheticz/" TargetMode="External" Id="rId45" /><Relationship Type="http://schemas.openxmlformats.org/officeDocument/2006/relationships/hyperlink" Target="https://github.com/RepoKing23/InstagramCarousel/tree/claude/med-spa-carousel-ideas-sim9wz/content/gbp" TargetMode="External" Id="rId46" /><Relationship Type="http://schemas.openxmlformats.org/officeDocument/2006/relationships/hyperlink" Target="https://raw.githubusercontent.com/RepoKing23/InstagramCarousel/claude/med-spa-carousel-ideas-sim9wz/content/gbp/2026-08-30-what-a-consult-includes.jpg" TargetMode="External" Id="rId47" /><Relationship Type="http://schemas.openxmlformats.org/officeDocument/2006/relationships/hyperlink" Target="https://unsplash.com/photos/VnPsDA8wRL4" TargetMode="External" Id="rId48" /><Relationship Type="http://schemas.openxmlformats.org/officeDocument/2006/relationships/hyperlink" Target="https://www.instagram.com/luxury_beauty_aestheticz/" TargetMode="External" Id="rId49" /><Relationship Type="http://schemas.openxmlformats.org/officeDocument/2006/relationships/hyperlink" Target="https://github.com/RepoKing23/InstagramCarousel/tree/claude/med-spa-carousel-ideas-sim9wz/content/gbp" TargetMode="External" Id="rId50" /><Relationship Type="http://schemas.openxmlformats.org/officeDocument/2006/relationships/hyperlink" Target="https://raw.githubusercontent.com/RepoKing23/InstagramCarousel/claude/med-spa-carousel-ideas-sim9wz/content/gbp/2026-08-31-when-to-start.jpg" TargetMode="External" Id="rId51" /><Relationship Type="http://schemas.openxmlformats.org/officeDocument/2006/relationships/hyperlink" Target="https://unsplash.com/photos/w4Dj3MshHQ0" TargetMode="External" Id="rId52" /><Relationship Type="http://schemas.openxmlformats.org/officeDocument/2006/relationships/hyperlink" Target="https://www.instagram.com/luxury_beauty_aestheticz/" TargetMode="External" Id="rId53" /><Relationship Type="http://schemas.openxmlformats.org/officeDocument/2006/relationships/hyperlink" Target="https://github.com/RepoKing23/InstagramCarousel/tree/claude/med-spa-carousel-ideas-sim9wz/content/gbp" TargetMode="External" Id="rId54" /><Relationship Type="http://schemas.openxmlformats.org/officeDocument/2006/relationships/hyperlink" Target="https://raw.githubusercontent.com/RepoKing23/InstagramCarousel/claude/med-spa-carousel-ideas-sim9wz/content/gbp/2026-09-01-spotlight-preventative.jpg" TargetMode="External" Id="rId55" /><Relationship Type="http://schemas.openxmlformats.org/officeDocument/2006/relationships/hyperlink" Target="https://unsplash.com/photos/GG8i22DQTHw" TargetMode="External" Id="rId56" /><Relationship Type="http://schemas.openxmlformats.org/officeDocument/2006/relationships/hyperlink" Target="https://www.instagram.com/luxury_beauty_aestheticz/" TargetMode="External" Id="rId57" /><Relationship Type="http://schemas.openxmlformats.org/officeDocument/2006/relationships/hyperlink" Target="https://github.com/RepoKing23/InstagramCarousel/tree/claude/med-spa-carousel-ideas-sim9wz/content/gbp" TargetMode="External" Id="rId58" /><Relationship Type="http://schemas.openxmlformats.org/officeDocument/2006/relationships/hyperlink" Target="https://raw.githubusercontent.com/RepoKing23/InstagramCarousel/claude/med-spa-carousel-ideas-sim9wz/content/gbp/2026-09-02-is-it-safe.jpg" TargetMode="External" Id="rId59" /><Relationship Type="http://schemas.openxmlformats.org/officeDocument/2006/relationships/hyperlink" Target="https://unsplash.com/photos/5ma8wEjDTl0" TargetMode="External" Id="rId60" /><Relationship Type="http://schemas.openxmlformats.org/officeDocument/2006/relationships/hyperlink" Target="https://www.instagram.com/luxury_beauty_aestheticz/" TargetMode="External" Id="rId61" /><Relationship Type="http://schemas.openxmlformats.org/officeDocument/2006/relationships/hyperlink" Target="https://github.com/RepoKing23/InstagramCarousel/tree/claude/med-spa-carousel-ideas-sim9wz/content/gbp" TargetMode="External" Id="rId62" /><Relationship Type="http://schemas.openxmlformats.org/officeDocument/2006/relationships/hyperlink" Target="https://raw.githubusercontent.com/RepoKing23/InstagramCarousel/claude/med-spa-carousel-ideas-sim9wz/content/gbp/2026-09-03-20-units.jpg" TargetMode="External" Id="rId63" /><Relationship Type="http://schemas.openxmlformats.org/officeDocument/2006/relationships/hyperlink" Target="https://unsplash.com/photos/zkf9upN0DbM" TargetMode="External" Id="rId64" /><Relationship Type="http://schemas.openxmlformats.org/officeDocument/2006/relationships/hyperlink" Target="https://www.instagram.com/luxury_beauty_aestheticz/" TargetMode="External" Id="rId65" /><Relationship Type="http://schemas.openxmlformats.org/officeDocument/2006/relationships/hyperlink" Target="https://github.com/RepoKing23/InstagramCarousel/tree/claude/med-spa-carousel-ideas-sim9wz/content/gbp" TargetMode="External" Id="rId66" /><Relationship Type="http://schemas.openxmlformats.org/officeDocument/2006/relationships/hyperlink" Target="https://raw.githubusercontent.com/RepoKing23/InstagramCarousel/claude/med-spa-carousel-ideas-sim9wz/content/gbp/2026-09-04-meet-your-injector.jpg" TargetMode="External" Id="rId67" /><Relationship Type="http://schemas.openxmlformats.org/officeDocument/2006/relationships/hyperlink" Target="https://unsplash.com/photos/q2csrSPGM_k" TargetMode="External" Id="rId68" /><Relationship Type="http://schemas.openxmlformats.org/officeDocument/2006/relationships/hyperlink" Target="https://www.instagram.com/luxury_beauty_aestheticz/" TargetMode="External" Id="rId69" /><Relationship Type="http://schemas.openxmlformats.org/officeDocument/2006/relationships/hyperlink" Target="https://github.com/RepoKing23/InstagramCarousel/tree/claude/med-spa-carousel-ideas-sim9wz/content/gbp" TargetMode="External" Id="rId70" /><Relationship Type="http://schemas.openxmlformats.org/officeDocument/2006/relationships/hyperlink" Target="https://raw.githubusercontent.com/RepoKing23/InstagramCarousel/claude/med-spa-carousel-ideas-sim9wz/content/gbp/2026-09-05-prevention-beats-erasing.jpg" TargetMode="External" Id="rId71" /><Relationship Type="http://schemas.openxmlformats.org/officeDocument/2006/relationships/hyperlink" Target="https://unsplash.com/photos/0YT1p3lEPTg" TargetMode="External" Id="rId72" /><Relationship Type="http://schemas.openxmlformats.org/officeDocument/2006/relationships/hyperlink" Target="https://www.instagram.com/luxury_beauty_aestheticz/" TargetMode="External" Id="rId73" /><Relationship Type="http://schemas.openxmlformats.org/officeDocument/2006/relationships/hyperlink" Target="https://github.com/RepoKing23/InstagramCarousel/tree/claude/med-spa-carousel-ideas-sim9wz/content/gbp" TargetMode="External" Id="rId74" /><Relationship Type="http://schemas.openxmlformats.org/officeDocument/2006/relationships/hyperlink" Target="https://raw.githubusercontent.com/RepoKing23/InstagramCarousel/claude/med-spa-carousel-ideas-sim9wz/content/gbp/2026-09-06-first-timer.jpg" TargetMode="External" Id="rId75" /><Relationship Type="http://schemas.openxmlformats.org/officeDocument/2006/relationships/hyperlink" Target="https://unsplash.com/photos/g-m8EDc4X6Q" TargetMode="External" Id="rId76" /><Relationship Type="http://schemas.openxmlformats.org/officeDocument/2006/relationships/hyperlink" Target="https://www.instagram.com/luxury_beauty_aestheticz/" TargetMode="External" Id="rId77" /><Relationship Type="http://schemas.openxmlformats.org/officeDocument/2006/relationships/hyperlink" Target="https://github.com/RepoKing23/InstagramCarousel/tree/claude/med-spa-carousel-ideas-sim9wz/content/gbp" TargetMode="External" Id="rId78" /><Relationship Type="http://schemas.openxmlformats.org/officeDocument/2006/relationships/hyperlink" Target="https://raw.githubusercontent.com/RepoKing23/InstagramCarousel/claude/med-spa-carousel-ideas-sim9wz/content/gbp/2026-09-07-botox-vs-dysport.jpg" TargetMode="External" Id="rId79" /><Relationship Type="http://schemas.openxmlformats.org/officeDocument/2006/relationships/hyperlink" Target="https://unsplash.com/photos/634jzvuySY4" TargetMode="External" Id="rId80" /><Relationship Type="http://schemas.openxmlformats.org/officeDocument/2006/relationships/hyperlink" Target="https://www.instagram.com/luxury_beauty_aestheticz/" TargetMode="External" Id="rId81" /><Relationship Type="http://schemas.openxmlformats.org/officeDocument/2006/relationships/hyperlink" Target="https://github.com/RepoKing23/InstagramCarousel/tree/claude/med-spa-carousel-ideas-sim9wz/content/gbp" TargetMode="External" Id="rId82" /><Relationship Type="http://schemas.openxmlformats.org/officeDocument/2006/relationships/hyperlink" Target="https://raw.githubusercontent.com/RepoKing23/InstagramCarousel/claude/med-spa-carousel-ideas-sim9wz/content/gbp/2026-09-08-at-a-glance.jpg" TargetMode="External" Id="rId83" /><Relationship Type="http://schemas.openxmlformats.org/officeDocument/2006/relationships/hyperlink" Target="https://unsplash.com/photos/xTLqJqtq8R4" TargetMode="External" Id="rId84" /><Relationship Type="http://schemas.openxmlformats.org/officeDocument/2006/relationships/hyperlink" Target="https://www.instagram.com/luxury_beauty_aestheticz/" TargetMode="External" Id="rId85" /><Relationship Type="http://schemas.openxmlformats.org/officeDocument/2006/relationships/hyperlink" Target="https://github.com/RepoKing23/InstagramCarousel/tree/claude/med-spa-carousel-ideas-sim9wz/content/gbp" TargetMode="External" Id="rId86" /><Relationship Type="http://schemas.openxmlformats.org/officeDocument/2006/relationships/hyperlink" Target="https://raw.githubusercontent.com/RepoKing23/InstagramCarousel/claude/med-spa-carousel-ideas-sim9wz/content/gbp/2026-09-09-aftercare-rules.jpg" TargetMode="External" Id="rId87" /><Relationship Type="http://schemas.openxmlformats.org/officeDocument/2006/relationships/hyperlink" Target="https://unsplash.com/photos/3huGl_ayr_8" TargetMode="External" Id="rId88" /><Relationship Type="http://schemas.openxmlformats.org/officeDocument/2006/relationships/hyperlink" Target="https://www.instagram.com/luxury_beauty_aestheticz/" TargetMode="External" Id="rId89" /><Relationship Type="http://schemas.openxmlformats.org/officeDocument/2006/relationships/hyperlink" Target="https://github.com/RepoKing23/InstagramCarousel/tree/claude/med-spa-carousel-ideas-sim9wz/content/gbp" TargetMode="External" Id="rId90" /><Relationship Type="http://schemas.openxmlformats.org/officeDocument/2006/relationships/hyperlink" Target="https://raw.githubusercontent.com/RepoKing23/InstagramCarousel/claude/med-spa-carousel-ideas-sim9wz/content/gbp/2026-09-10-first-48-hours.jpg" TargetMode="External" Id="rId91" /><Relationship Type="http://schemas.openxmlformats.org/officeDocument/2006/relationships/hyperlink" Target="https://unsplash.com/photos/aOh-bKGjvFI" TargetMode="External" Id="rId92" /><Relationship Type="http://schemas.openxmlformats.org/officeDocument/2006/relationships/hyperlink" Target="https://www.instagram.com/luxury_beauty_aestheticz/" TargetMode="External" Id="rId93" /><Relationship Type="http://schemas.openxmlformats.org/officeDocument/2006/relationships/hyperlink" Target="https://github.com/RepoKing23/InstagramCarousel/tree/claude/med-spa-carousel-ideas-sim9wz/content/gbp" TargetMode="External" Id="rId94" /><Relationship Type="http://schemas.openxmlformats.org/officeDocument/2006/relationships/hyperlink" Target="https://raw.githubusercontent.com/RepoKing23/InstagramCarousel/claude/med-spa-carousel-ideas-sim9wz/content/gbp/2026-09-11-the-face-map.jpg" TargetMode="External" Id="rId95" /><Relationship Type="http://schemas.openxmlformats.org/officeDocument/2006/relationships/hyperlink" Target="https://unsplash.com/photos/4mCQh80Jzyo" TargetMode="External" Id="rId96" /><Relationship Type="http://schemas.openxmlformats.org/officeDocument/2006/relationships/hyperlink" Target="https://www.instagram.com/luxury_beauty_aestheticz/" TargetMode="External" Id="rId97" /><Relationship Type="http://schemas.openxmlformats.org/officeDocument/2006/relationships/hyperlink" Target="https://github.com/RepoKing23/InstagramCarousel/tree/claude/med-spa-carousel-ideas-sim9wz/content/gbp" TargetMode="External" Id="rId98" /><Relationship Type="http://schemas.openxmlformats.org/officeDocument/2006/relationships/hyperlink" Target="https://raw.githubusercontent.com/RepoKing23/InstagramCarousel/claude/med-spa-carousel-ideas-sim9wz/content/gbp/2026-09-12-does-it-hurt.jpg" TargetMode="External" Id="rId99" /><Relationship Type="http://schemas.openxmlformats.org/officeDocument/2006/relationships/hyperlink" Target="https://unsplash.com/photos/hX9V80PDxrQ" TargetMode="External" Id="rId100" /><Relationship Type="http://schemas.openxmlformats.org/officeDocument/2006/relationships/hyperlink" Target="https://www.instagram.com/luxury_beauty_aestheticz/" TargetMode="External" Id="rId101" /><Relationship Type="http://schemas.openxmlformats.org/officeDocument/2006/relationships/hyperlink" Target="https://github.com/RepoKing23/InstagramCarousel/tree/claude/med-spa-carousel-ideas-sim9wz/content/gbp" TargetMode="External" Id="rId102" /><Relationship Type="http://schemas.openxmlformats.org/officeDocument/2006/relationships/hyperlink" Target="https://raw.githubusercontent.com/RepoKing23/InstagramCarousel/claude/med-spa-carousel-ideas-sim9wz/content/gbp/2026-09-13-still-look-like-you.jpg" TargetMode="External" Id="rId103" /><Relationship Type="http://schemas.openxmlformats.org/officeDocument/2006/relationships/hyperlink" Target="https://unsplash.com/photos/H9YAbOsqDt8" TargetMode="External" Id="rId104" /><Relationship Type="http://schemas.openxmlformats.org/officeDocument/2006/relationships/hyperlink" Target="https://www.instagram.com/luxury_beauty_aestheticz/" TargetMode="External" Id="rId105" /><Relationship Type="http://schemas.openxmlformats.org/officeDocument/2006/relationships/hyperlink" Target="https://github.com/RepoKing23/InstagramCarousel/tree/claude/med-spa-carousel-ideas-sim9wz/content/gbp" TargetMode="External" Id="rId106" /><Relationship Type="http://schemas.openxmlformats.org/officeDocument/2006/relationships/hyperlink" Target="https://raw.githubusercontent.com/RepoKing23/InstagramCarousel/claude/med-spa-carousel-ideas-sim9wz/content/gbp/2026-09-14-5-things-botox-cannot-do.jpg" TargetMode="External" Id="rId107" /><Relationship Type="http://schemas.openxmlformats.org/officeDocument/2006/relationships/hyperlink" Target="https://unsplash.com/photos/W7wBNLlryPM" TargetMode="External" Id="rId108" /><Relationship Type="http://schemas.openxmlformats.org/officeDocument/2006/relationships/hyperlink" Target="https://www.instagram.com/luxury_beauty_aestheticz/" TargetMode="External" Id="rId109" /><Relationship Type="http://schemas.openxmlformats.org/officeDocument/2006/relationships/hyperlink" Target="https://github.com/RepoKing23/InstagramCarousel/tree/claude/med-spa-carousel-ideas-sim9wz/content/gbp" TargetMode="External" Id="rId110" /><Relationship Type="http://schemas.openxmlformats.org/officeDocument/2006/relationships/hyperlink" Target="https://raw.githubusercontent.com/RepoKing23/InstagramCarousel/claude/med-spa-carousel-ideas-sim9wz/content/gbp/2026-09-15-what-it-cannot-fix.jpg" TargetMode="External" Id="rId111" /><Relationship Type="http://schemas.openxmlformats.org/officeDocument/2006/relationships/hyperlink" Target="https://unsplash.com/photos/9L5ZCmmpxvY" TargetMode="External" Id="rId112" /><Relationship Type="http://schemas.openxmlformats.org/officeDocument/2006/relationships/hyperlink" Target="https://www.instagram.com/luxury_beauty_aestheticz/" TargetMode="External" Id="rId113" /><Relationship Type="http://schemas.openxmlformats.org/officeDocument/2006/relationships/hyperlink" Target="https://github.com/RepoKing23/InstagramCarousel/tree/claude/med-spa-carousel-ideas-sim9wz/content/gbp" TargetMode="External" Id="rId114" /><Relationship Type="http://schemas.openxmlformats.org/officeDocument/2006/relationships/hyperlink" Target="https://raw.githubusercontent.com/RepoKing23/InstagramCarousel/claude/med-spa-carousel-ideas-sim9wz/content/gbp/2026-09-16-how-to-book.jpg" TargetMode="External" Id="rId115" /><Relationship Type="http://schemas.openxmlformats.org/officeDocument/2006/relationships/hyperlink" Target="https://unsplash.com/photos/HTHnMES5byk" TargetMode="External" Id="rId116" /><Relationship Type="http://schemas.openxmlformats.org/officeDocument/2006/relationships/hyperlink" Target="https://www.instagram.com/luxury_beauty_aestheticz/" TargetMode="External" Id="rId117" /><Relationship Type="http://schemas.openxmlformats.org/officeDocument/2006/relationships/hyperlink" Target="https://github.com/RepoKing23/InstagramCarousel/tree/claude/med-spa-carousel-ideas-sim9wz/content/gbp" TargetMode="External" Id="rId118" /><Relationship Type="http://schemas.openxmlformats.org/officeDocument/2006/relationships/hyperlink" Target="https://raw.githubusercontent.com/RepoKing23/InstagramCarousel/claude/med-spa-carousel-ideas-sim9wz/content/gbp/2026-09-17-still-you-just-refreshed.jpg" TargetMode="External" Id="rId119" /><Relationship Type="http://schemas.openxmlformats.org/officeDocument/2006/relationships/hyperlink" Target="https://unsplash.com/photos/k6vhjQF720E" TargetMode="External" Id="rId120" /><Relationship Type="http://schemas.openxmlformats.org/officeDocument/2006/relationships/hyperlink" Target="https://www.instagram.com/luxury_beauty_aestheticz/" TargetMode="External" Id="rId121" /><Relationship Type="http://schemas.openxmlformats.org/officeDocument/2006/relationships/hyperlink" Target="https://github.com/RepoKing23/InstagramCarousel/tree/claude/med-spa-carousel-ideas-sim9wz/content/gbp" TargetMode="External" Id="rId122" /><Relationship Type="http://schemas.openxmlformats.org/officeDocument/2006/relationships/hyperlink" Target="https://raw.githubusercontent.com/RepoKing23/InstagramCarousel/claude/med-spa-carousel-ideas-sim9wz/content/gbp/2026-09-18-frozen-face-myth.jpg" TargetMode="External" Id="rId123" /><Relationship Type="http://schemas.openxmlformats.org/officeDocument/2006/relationships/hyperlink" Target="https://unsplash.com/photos/N6N-DcYcDZ8" TargetMode="External" Id="rId124" /><Relationship Type="http://schemas.openxmlformats.org/officeDocument/2006/relationships/hyperlink" Target="https://www.instagram.com/luxury_beauty_aestheticz/" TargetMode="External" Id="rId125" /><Relationship Type="http://schemas.openxmlformats.org/officeDocument/2006/relationships/hyperlink" Target="https://github.com/RepoKing23/InstagramCarousel/tree/claude/med-spa-carousel-ideas-sim9wz/content/gbp" TargetMode="External" Id="rId126" /><Relationship Type="http://schemas.openxmlformats.org/officeDocument/2006/relationships/hyperlink" Target="https://raw.githubusercontent.com/RepoKing23/InstagramCarousel/claude/med-spa-carousel-ideas-sim9wz/content/gbp/2026-09-19-nobody-guessed.jpg" TargetMode="External" Id="rId127" /><Relationship Type="http://schemas.openxmlformats.org/officeDocument/2006/relationships/hyperlink" Target="https://unsplash.com/photos/w6zVwAYoqWM" TargetMode="External" Id="rId128" /><Relationship Type="http://schemas.openxmlformats.org/officeDocument/2006/relationships/hyperlink" Target="https://www.instagram.com/luxury_beauty_aestheticz/" TargetMode="External" Id="rId129" /><Relationship Type="http://schemas.openxmlformats.org/officeDocument/2006/relationships/hyperlink" Target="https://github.com/RepoKing23/InstagramCarousel/tree/claude/med-spa-carousel-ideas-sim9wz/content/gbp" TargetMode="External" Id="rId130" /><Relationship Type="http://schemas.openxmlformats.org/officeDocument/2006/relationships/hyperlink" Target="https://raw.githubusercontent.com/RepoKing23/InstagramCarousel/claude/med-spa-carousel-ideas-sim9wz/content/gbp/2026-09-20-service-area.jpg" TargetMode="External" Id="rId131" /><Relationship Type="http://schemas.openxmlformats.org/officeDocument/2006/relationships/hyperlink" Target="https://unsplash.com/photos/XGv1wuuNvYU" TargetMode="External" Id="rId132" /><Relationship Type="http://schemas.openxmlformats.org/officeDocument/2006/relationships/hyperlink" Target="https://www.instagram.com/luxury_beauty_aestheticz/" TargetMode="External" Id="rId133" /><Relationship Type="http://schemas.openxmlformats.org/officeDocument/2006/relationships/hyperlink" Target="https://github.com/RepoKing23/InstagramCarousel/tree/claude/med-spa-carousel-ideas-sim9wz/content/gbp" TargetMode="External" Id="rId134" /><Relationship Type="http://schemas.openxmlformats.org/officeDocument/2006/relationships/hyperlink" Target="https://raw.githubusercontent.com/RepoKing23/InstagramCarousel/claude/med-spa-carousel-ideas-sim9wz/content/gbp/2026-09-21-botox-or-filler.jpg" TargetMode="External" Id="rId135" /><Relationship Type="http://schemas.openxmlformats.org/officeDocument/2006/relationships/hyperlink" Target="https://unsplash.com/photos/-FT1IVUnUd8" TargetMode="External" Id="rId136" /><Relationship Type="http://schemas.openxmlformats.org/officeDocument/2006/relationships/hyperlink" Target="https://www.instagram.com/luxury_beauty_aestheticz/" TargetMode="External" Id="rId137" /><Relationship Type="http://schemas.openxmlformats.org/officeDocument/2006/relationships/hyperlink" Target="https://github.com/RepoKing23/InstagramCarousel/tree/claude/med-spa-carousel-ideas-sim9wz/content/gbp" TargetMode="External" Id="rId138" /><Relationship Type="http://schemas.openxmlformats.org/officeDocument/2006/relationships/hyperlink" Target="https://raw.githubusercontent.com/RepoKing23/InstagramCarousel/claude/med-spa-carousel-ideas-sim9wz/content/gbp/2026-09-22-lines-vs-volume.jpg" TargetMode="External" Id="rId139" /><Relationship Type="http://schemas.openxmlformats.org/officeDocument/2006/relationships/hyperlink" Target="https://unsplash.com/photos/Pe9IXUuC6QU" TargetMode="External" Id="rId140" /><Relationship Type="http://schemas.openxmlformats.org/officeDocument/2006/relationships/hyperlink" Target="https://www.instagram.com/luxury_beauty_aestheticz/" TargetMode="External" Id="rId141" /><Relationship Type="http://schemas.openxmlformats.org/officeDocument/2006/relationships/hyperlink" Target="https://github.com/RepoKing23/InstagramCarousel/tree/claude/med-spa-carousel-ideas-sim9wz/content/gbp" TargetMode="External" Id="rId142" /><Relationship Type="http://schemas.openxmlformats.org/officeDocument/2006/relationships/hyperlink" Target="https://raw.githubusercontent.com/RepoKing23/InstagramCarousel/claude/med-spa-carousel-ideas-sim9wz/content/gbp/2026-09-23-what-to-ask.jpg" TargetMode="External" Id="rId143" /><Relationship Type="http://schemas.openxmlformats.org/officeDocument/2006/relationships/hyperlink" Target="https://unsplash.com/photos/qJ1mYraktLg" TargetMode="External" Id="rId144" /><Relationship Type="http://schemas.openxmlformats.org/officeDocument/2006/relationships/hyperlink" Target="https://www.instagram.com/luxury_beauty_aestheticz/" TargetMode="External" Id="rId145" /><Relationship Type="http://schemas.openxmlformats.org/officeDocument/2006/relationships/hyperlink" Target="https://github.com/RepoKing23/InstagramCarousel/tree/claude/med-spa-carousel-ideas-sim9wz/content/gbp" TargetMode="External" Id="rId146" /><Relationship Type="http://schemas.openxmlformats.org/officeDocument/2006/relationships/hyperlink" Target="https://raw.githubusercontent.com/RepoKing23/InstagramCarousel/claude/med-spa-carousel-ideas-sim9wz/content/gbp/2026-09-24-ask-np-cleo.jpg" TargetMode="External" Id="rId147" /><Relationship Type="http://schemas.openxmlformats.org/officeDocument/2006/relationships/hyperlink" Target="https://unsplash.com/photos/TQSPgNqeCo8" TargetMode="External" Id="rId148" /><Relationship Type="http://schemas.openxmlformats.org/officeDocument/2006/relationships/hyperlink" Target="https://www.instagram.com/luxury_beauty_aestheticz/" TargetMode="External" Id="rId149" /><Relationship Type="http://schemas.openxmlformats.org/officeDocument/2006/relationships/hyperlink" Target="https://github.com/RepoKing23/InstagramCarousel/tree/claude/med-spa-carousel-ideas-sim9wz/content/gbp" TargetMode="External" Id="rId150" /><Relationship Type="http://schemas.openxmlformats.org/officeDocument/2006/relationships/hyperlink" Target="https://raw.githubusercontent.com/RepoKing23/InstagramCarousel/claude/med-spa-carousel-ideas-sim9wz/content/gbp/2026-09-25-your-dms-answered.jpg" TargetMode="External" Id="rId151" /><Relationship Type="http://schemas.openxmlformats.org/officeDocument/2006/relationships/hyperlink" Target="https://unsplash.com/photos/MGKzomg0Dts" TargetMode="External" Id="rId152" /><Relationship Type="http://schemas.openxmlformats.org/officeDocument/2006/relationships/hyperlink" Target="https://www.instagram.com/luxury_beauty_aestheticz/" TargetMode="External" Id="rId153" /><Relationship Type="http://schemas.openxmlformats.org/officeDocument/2006/relationships/hyperlink" Target="https://github.com/RepoKing23/InstagramCarousel/tree/claude/med-spa-carousel-ideas-sim9wz/content/gbp" TargetMode="External" Id="rId154" /><Relationship Type="http://schemas.openxmlformats.org/officeDocument/2006/relationships/hyperlink" Target="https://raw.githubusercontent.com/RepoKing23/InstagramCarousel/claude/med-spa-carousel-ideas-sim9wz/content/gbp/2026-09-26-what-next.jpg" TargetMode="External" Id="rId155" /><Relationship Type="http://schemas.openxmlformats.org/officeDocument/2006/relationships/hyperlink" Target="https://unsplash.com/photos/VnPsDA8wRL4" TargetMode="External" Id="rId156" /><Relationship Type="http://schemas.openxmlformats.org/officeDocument/2006/relationships/hyperlink" Target="https://www.instagram.com/luxury_beauty_aestheticz/" TargetMode="External" Id="rId157" /><Relationship Type="http://schemas.openxmlformats.org/officeDocument/2006/relationships/hyperlink" Target="https://github.com/RepoKing23/InstagramCarousel/tree/claude/med-spa-carousel-ideas-sim9wz/content/gbp" TargetMode="External" Id="rId158" /><Relationship Type="http://schemas.openxmlformats.org/officeDocument/2006/relationships/hyperlink" Target="https://raw.githubusercontent.com/RepoKing23/InstagramCarousel/claude/med-spa-carousel-ideas-sim9wz/content/gbp/2026-09-27-two-week-review.jpg" TargetMode="External" Id="rId159" /><Relationship Type="http://schemas.openxmlformats.org/officeDocument/2006/relationships/hyperlink" Target="https://unsplash.com/photos/16mHHrY3PUk" TargetMode="External" Id="rId160" /><Relationship Type="http://schemas.openxmlformats.org/officeDocument/2006/relationships/hyperlink" Target="https://www.instagram.com/luxury_beauty_aestheticz/" TargetMode="External" Id="rId161" /><Relationship Type="http://schemas.openxmlformats.org/officeDocument/2006/relationships/hyperlink" Target="https://github.com/RepoKing23/InstagramCarousel/tree/claude/med-spa-carousel-ideas-sim9wz/content/gbp" TargetMode="External" Id="rId162" /><Relationship Type="http://schemas.openxmlformats.org/officeDocument/2006/relationships/hyperlink" Target="https://raw.githubusercontent.com/RepoKing23/InstagramCarousel/claude/med-spa-carousel-ideas-sim9wz/content/gbp/2026-09-28-how-long-does-it-last.jpg" TargetMode="External" Id="rId163" /><Relationship Type="http://schemas.openxmlformats.org/officeDocument/2006/relationships/hyperlink" Target="https://unsplash.com/photos/zkf9upN0DbM" TargetMode="External" Id="rId164" /><Relationship Type="http://schemas.openxmlformats.org/officeDocument/2006/relationships/hyperlink" Target="https://www.instagram.com/luxury_beauty_aestheticz/" TargetMode="External" Id="rId165" /><Relationship Type="http://schemas.openxmlformats.org/officeDocument/2006/relationships/hyperlink" Target="https://github.com/RepoKing23/InstagramCarousel/tree/claude/med-spa-carousel-ideas-sim9wz/content/gbp" TargetMode="External" Id="rId166" /><Relationship Type="http://schemas.openxmlformats.org/officeDocument/2006/relationships/hyperlink" Target="https://raw.githubusercontent.com/RepoKing23/InstagramCarousel/claude/med-spa-carousel-ideas-sim9wz/content/gbp/2026-09-29-three-month-timeline.jpg" TargetMode="External" Id="rId167" /><Relationship Type="http://schemas.openxmlformats.org/officeDocument/2006/relationships/hyperlink" Target="https://unsplash.com/photos/634jzvuySY4" TargetMode="External" Id="rId168" /><Relationship Type="http://schemas.openxmlformats.org/officeDocument/2006/relationships/hyperlink" Target="https://www.instagram.com/luxury_beauty_aestheticz/" TargetMode="External" Id="rId169" /><Relationship Type="http://schemas.openxmlformats.org/officeDocument/2006/relationships/hyperlink" Target="https://github.com/RepoKing23/InstagramCarousel/tree/claude/med-spa-carousel-ideas-sim9wz/content/gbp" TargetMode="External" Id="rId170" /><Relationship Type="http://schemas.openxmlformats.org/officeDocument/2006/relationships/hyperlink" Target="https://raw.githubusercontent.com/RepoKing23/InstagramCarousel/claude/med-spa-carousel-ideas-sim9wz/content/gbp/2026-09-30-october-preview.jpg" TargetMode="External" Id="rId171" /><Relationship Type="http://schemas.openxmlformats.org/officeDocument/2006/relationships/hyperlink" Target="https://unsplash.com/photos/Bsg_9a2PDX0" TargetMode="External" Id="rId172" /></Relationships>
</file>

<file path=xl/worksheets/sheet1.xml><?xml version="1.0" encoding="utf-8"?>
<worksheet xmlns="http://schemas.openxmlformats.org/spreadsheetml/2006/main">
  <sheetPr>
    <outlinePr summaryBelow="1" summaryRight="1"/>
    <pageSetUpPr/>
  </sheetPr>
  <dimension ref="B2:C45"/>
  <sheetViews>
    <sheetView showGridLines="0" workbookViewId="0">
      <selection activeCell="A1" sqref="A1"/>
    </sheetView>
  </sheetViews>
  <sheetFormatPr baseColWidth="8" defaultRowHeight="15"/>
  <cols>
    <col width="3" customWidth="1" style="14" min="1" max="1"/>
    <col width="22" customWidth="1" style="14" min="2" max="2"/>
    <col width="95" customWidth="1" style="14" min="3" max="3"/>
  </cols>
  <sheetData>
    <row r="2">
      <c r="B2" s="35" t="inlineStr">
        <is>
          <t>Luxury Beauty by Cleo R</t>
        </is>
      </c>
    </row>
    <row r="3">
      <c r="B3" s="36" t="inlineStr">
        <is>
          <t>Instagram + Google Business Profile content plan. Aug 17 to Nov 15, 2026. 13 weeks, 65 posts.</t>
        </is>
      </c>
    </row>
    <row r="5">
      <c r="B5" s="37" t="inlineStr">
        <is>
          <t>THE CLINIC</t>
        </is>
      </c>
      <c r="C5" s="38" t="n"/>
    </row>
    <row r="6">
      <c r="B6" s="22" t="inlineStr">
        <is>
          <t>Address</t>
        </is>
      </c>
      <c r="C6" s="24" t="inlineStr">
        <is>
          <t>3060 Preserve Dr, Oakville, ON L6M 4L9</t>
        </is>
      </c>
    </row>
    <row r="7">
      <c r="B7" s="22" t="inlineStr">
        <is>
          <t>Service area</t>
        </is>
      </c>
      <c r="C7" s="24" t="inlineStr">
        <is>
          <t>Oakville, Burlington, Milton, Mississauga</t>
        </is>
      </c>
    </row>
    <row r="8">
      <c r="B8" s="22" t="inlineStr">
        <is>
          <t>Instagram</t>
        </is>
      </c>
      <c r="C8" s="24" t="inlineStr">
        <is>
          <t>@luxury_beauty_aestheticz</t>
        </is>
      </c>
    </row>
    <row r="9">
      <c r="B9" s="22" t="inlineStr">
        <is>
          <t>Booking</t>
        </is>
      </c>
      <c r="C9" s="24" t="inlineStr">
        <is>
          <t>DM on Instagram for now. Swap every "Learn more" link once a booking page exists.</t>
        </is>
      </c>
    </row>
    <row r="11">
      <c r="B11" s="37" t="inlineStr">
        <is>
          <t>WEEKLY RHYTHM</t>
        </is>
      </c>
      <c r="C11" s="38" t="n"/>
    </row>
    <row r="12">
      <c r="B12" s="22" t="inlineStr">
        <is>
          <t>Monday</t>
        </is>
      </c>
      <c r="C12" s="24" t="inlineStr">
        <is>
          <t>Carousel, education pillar. The biggest post of the week.</t>
        </is>
      </c>
    </row>
    <row r="13">
      <c r="B13" s="22" t="inlineStr">
        <is>
          <t>Tuesday</t>
        </is>
      </c>
      <c r="C13" s="24" t="inlineStr">
        <is>
          <t>Single image with a strong hook. Cross-post to Facebook and TikTok.</t>
        </is>
      </c>
    </row>
    <row r="14">
      <c r="B14" s="22" t="inlineStr">
        <is>
          <t>Thursday</t>
        </is>
      </c>
      <c r="C14" s="24" t="inlineStr">
        <is>
          <t>Carousel: trust, proof or personality pillar.</t>
        </is>
      </c>
    </row>
    <row r="15">
      <c r="B15" s="22" t="inlineStr">
        <is>
          <t>Friday</t>
        </is>
      </c>
      <c r="C15" s="24" t="inlineStr">
        <is>
          <t>Single image with a strong hook. Cross-post to Facebook and TikTok.</t>
        </is>
      </c>
    </row>
    <row r="16">
      <c r="B16" s="22" t="inlineStr">
        <is>
          <t>Saturday</t>
        </is>
      </c>
      <c r="C16" s="24" t="inlineStr">
        <is>
          <t>Result, testimonial or engagement post.</t>
        </is>
      </c>
    </row>
    <row r="17">
      <c r="B17" s="22" t="inlineStr">
        <is>
          <t>Every post</t>
        </is>
      </c>
      <c r="C17" s="24" t="inlineStr">
        <is>
          <t>Also goes to Google Business Profile using the GBP columns, never the Instagram file.</t>
        </is>
      </c>
    </row>
    <row r="19">
      <c r="B19" s="37" t="inlineStr">
        <is>
          <t>WORKING THE SHEET</t>
        </is>
      </c>
      <c r="C19" s="38" t="n"/>
    </row>
    <row r="20">
      <c r="B20" s="22" t="inlineStr">
        <is>
          <t>1. Plan</t>
        </is>
      </c>
      <c r="C20" s="24" t="inlineStr">
        <is>
          <t>Everything is pre-filled in Posting Schedule. Adjust topics freely; check the Tone column before moving dates.</t>
        </is>
      </c>
    </row>
    <row r="21">
      <c r="B21" s="22" t="inlineStr">
        <is>
          <t>2. Design</t>
        </is>
      </c>
      <c r="C21" s="24" t="inlineStr">
        <is>
          <t>Ask Claude to build any post from its row. All of August is done.</t>
        </is>
      </c>
    </row>
    <row r="22">
      <c r="B22" s="22" t="inlineStr">
        <is>
          <t>3. Files</t>
        </is>
      </c>
      <c r="C22" s="24" t="inlineStr">
        <is>
          <t>Every post has a repo folder. Folder Link opens it, Image Link opens the artwork, Preview shows a live thumbnail once this file is in Google Sheets.</t>
        </is>
      </c>
    </row>
    <row r="23">
      <c r="B23" s="48" t="inlineStr">
        <is>
          <t>Every day</t>
        </is>
      </c>
      <c r="C23" s="49" t="inlineStr">
        <is>
          <t>Google Business Profile also posts on Wednesday and Sunday, when Instagram does not. Those days are evergreen and live on the GBP Daily tab.</t>
        </is>
      </c>
    </row>
    <row r="24">
      <c r="B24" s="48" t="inlineStr">
        <is>
          <t>GBP Daily tab</t>
        </is>
      </c>
      <c r="C24" s="49" t="inlineStr">
        <is>
          <t>One row per day, Aug 19 to Sep 30. Image, post text and the Learn more link, ready to paste. Shaded rows are the GBP only days. Full plan in strategy/gbp-daily-plan.md.</t>
        </is>
      </c>
    </row>
    <row r="25">
      <c r="B25" s="22" t="inlineStr">
        <is>
          <t>4. Post</t>
        </is>
      </c>
      <c r="C25" s="24" t="inlineStr">
        <is>
          <t>Instagram gets the caption and hashtags. GBP gets the GBP caption, the GBP image, and a button pointed at the Instagram profile.</t>
        </is>
      </c>
    </row>
    <row r="26">
      <c r="B26" s="22" t="inlineStr">
        <is>
          <t>5. Track</t>
        </is>
      </c>
      <c r="C26" s="24" t="inlineStr">
        <is>
          <t>Move Status as each post progresses: Idea, Design, Ready, Posted. Hold means blocked, see the row notes.</t>
        </is>
      </c>
    </row>
    <row r="27">
      <c r="B27" s="22" t="inlineStr">
        <is>
          <t>6. Measure</t>
        </is>
      </c>
      <c r="C27" s="24" t="inlineStr">
        <is>
          <t>After 48 hours fill Reach, Saves, Comments, DMs, Bookings from IG Insights. Saves and DMs are the numbers that matter.</t>
        </is>
      </c>
    </row>
    <row r="28">
      <c r="B28" s="22" t="inlineStr">
        <is>
          <t>7. Repeat</t>
        </is>
      </c>
      <c r="C28" s="24" t="inlineStr">
        <is>
          <t>Anything with high saves or DMs becomes next month’s sequel.</t>
        </is>
      </c>
    </row>
    <row r="30">
      <c r="B30" s="37" t="inlineStr">
        <is>
          <t>HOUSE RULES</t>
        </is>
      </c>
      <c r="C30" s="38" t="n"/>
    </row>
    <row r="31">
      <c r="B31" s="22" t="inlineStr">
        <is>
          <t>Client photos</t>
        </is>
      </c>
      <c r="C31" s="24" t="inlineStr">
        <is>
          <t>Written consent on file before anything is posted. Every photo is cropped to the treatment area: no eyes, brows, tattoos or jewellery. Always add "individual results vary". Never boost before and after posts on IG or TikTok; organic only.</t>
        </is>
      </c>
    </row>
    <row r="32">
      <c r="B32" s="22" t="inlineStr">
        <is>
          <t>Grid tone</t>
        </is>
      </c>
      <c r="C32" s="24" t="inlineStr">
        <is>
          <t>The profile grid runs three tiles per row, newest first. Keep exactly one Dark or Photo-dark tile per row and never let two Dark tiles touch. The Tone column tracks this; re-check it whenever a date moves.</t>
        </is>
      </c>
    </row>
    <row r="33">
      <c r="B33" s="22" t="inlineStr">
        <is>
          <t>GBP</t>
        </is>
      </c>
      <c r="C33" s="24" t="inlineStr">
        <is>
          <t>No hashtags on GBP, they do not work there. The offer goes in the first 80 characters. Images are 1200x900 with everything inside the centre 900x900 square, because Maps crops to a square.</t>
        </is>
      </c>
    </row>
    <row r="34">
      <c r="B34" s="22" t="inlineStr">
        <is>
          <t>Hashtags</t>
        </is>
      </c>
      <c r="C34" s="24" t="inlineStr">
        <is>
          <t>Every set leads with local tags (Oakville, Burlington, Milton, Mississauga, Halton). Location plus service is the highest-intent combination. Sets live on the Hashtag Sets tab.</t>
        </is>
      </c>
    </row>
    <row r="35">
      <c r="B35" s="22" t="inlineStr">
        <is>
          <t>Voice</t>
        </is>
      </c>
      <c r="C35" s="24" t="inlineStr">
        <is>
          <t>Plain, direct, first person. No em dashes, no sparkle emoji, no borrowed captions. If a line sounds like a template, rewrite it.</t>
        </is>
      </c>
    </row>
    <row r="36">
      <c r="B36" s="22" t="inlineStr">
        <is>
          <t>Compliance</t>
        </is>
      </c>
      <c r="C36" s="24" t="inlineStr">
        <is>
          <t>Botox is a prescription drug in Canada and Health Canada restricts consumer advertising of prescription drugs. The brand name in this plan is pending a compliance check; "neuromodulator" is the safe swap. Credentials read RN(EC), College of Nurses of Ontario.</t>
        </is>
      </c>
    </row>
    <row r="38">
      <c r="B38" s="37" t="inlineStr">
        <is>
          <t>STATUS SNAPSHOT</t>
        </is>
      </c>
      <c r="C38" s="38" t="n"/>
    </row>
    <row r="39">
      <c r="B39" s="22" t="inlineStr">
        <is>
          <t>Posts planned</t>
        </is>
      </c>
      <c r="C39" s="24">
        <f>COUNTA('Posting Schedule'!A2:A66)</f>
        <v/>
      </c>
    </row>
    <row r="40">
      <c r="B40" s="22" t="inlineStr">
        <is>
          <t>Ideas</t>
        </is>
      </c>
      <c r="C40" s="24">
        <f>COUNTIF('Posting Schedule'!S2:S66,"Idea")</f>
        <v/>
      </c>
    </row>
    <row r="41">
      <c r="B41" s="22" t="inlineStr">
        <is>
          <t>In design</t>
        </is>
      </c>
      <c r="C41" s="24">
        <f>COUNTIF('Posting Schedule'!S2:S66,"Design")</f>
        <v/>
      </c>
    </row>
    <row r="42">
      <c r="B42" s="22" t="inlineStr">
        <is>
          <t>Ready to post</t>
        </is>
      </c>
      <c r="C42" s="24">
        <f>COUNTIF('Posting Schedule'!S2:S66,"Ready")</f>
        <v/>
      </c>
    </row>
    <row r="43">
      <c r="B43" s="22" t="inlineStr">
        <is>
          <t>Posted</t>
        </is>
      </c>
      <c r="C43" s="24">
        <f>COUNTIF('Posting Schedule'!S2:S66,"Posted")</f>
        <v/>
      </c>
    </row>
    <row r="45">
      <c r="B45" s="22" t="inlineStr">
        <is>
          <t>Google Sheets</t>
        </is>
      </c>
      <c r="C45" s="24" t="inlineStr">
        <is>
          <t>drive.google.com &gt; New &gt; File upload &gt; pick this file &gt; open with Google Sheets. Preview thumbnails and links work there.</t>
        </is>
      </c>
    </row>
  </sheetData>
  <pageMargins left="0.75" right="0.75" top="1" bottom="1" header="0.5" footer="0.5"/>
</worksheet>
</file>

<file path=xl/worksheets/sheet2.xml><?xml version="1.0" encoding="utf-8"?>
<worksheet xmlns="http://schemas.openxmlformats.org/spreadsheetml/2006/main">
  <sheetPr filterMode="0">
    <outlinePr summaryBelow="1" summaryRight="1"/>
    <pageSetUpPr fitToPage="0"/>
  </sheetPr>
  <dimension ref="A1:AB6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12" customWidth="1" style="13" min="1" max="1"/>
    <col width="6" customWidth="1" style="13" min="2" max="3"/>
    <col width="20" customWidth="1" style="13" min="4" max="4"/>
    <col width="14" customWidth="1" style="13" min="5" max="5"/>
    <col width="10" customWidth="1" style="13" min="6" max="6"/>
    <col width="15" customWidth="1" style="13" min="7" max="7"/>
    <col width="42" customWidth="1" style="13" min="8" max="8"/>
    <col width="60" customWidth="1" style="13" min="9" max="9"/>
    <col width="22" customWidth="1" style="13" min="10" max="10"/>
    <col width="10" customWidth="1" style="13" min="11" max="11"/>
    <col width="34" customWidth="1" style="13" min="12" max="12"/>
    <col width="34" customWidth="1" style="13" min="13" max="13"/>
    <col width="14" customWidth="1" style="13" min="14" max="14"/>
    <col width="16" customWidth="1" style="13" min="15" max="15"/>
    <col width="46" customWidth="1" style="13" min="16" max="17"/>
    <col width="22" customWidth="1" style="14" min="17" max="17"/>
    <col width="10" customWidth="1" style="13" min="18" max="18"/>
    <col width="8" customWidth="1" style="13" min="19" max="19"/>
    <col width="10" customWidth="1" style="13" min="20" max="20"/>
    <col width="60" customWidth="1" style="14" min="24" max="24"/>
    <col width="26" customWidth="1" style="14" min="25" max="25"/>
    <col width="20" customWidth="1" style="14" min="26" max="26"/>
  </cols>
  <sheetData>
    <row r="1" ht="15" customHeight="1" s="14">
      <c r="A1" s="25" t="inlineStr">
        <is>
          <t>Date</t>
        </is>
      </c>
      <c r="B1" s="25" t="inlineStr">
        <is>
          <t>Day</t>
        </is>
      </c>
      <c r="C1" s="25" t="inlineStr">
        <is>
          <t>Week</t>
        </is>
      </c>
      <c r="D1" s="25" t="inlineStr">
        <is>
          <t>Month Theme</t>
        </is>
      </c>
      <c r="E1" s="25" t="inlineStr">
        <is>
          <t>Format</t>
        </is>
      </c>
      <c r="F1" s="26" t="inlineStr">
        <is>
          <t>Tone</t>
        </is>
      </c>
      <c r="G1" s="25" t="inlineStr">
        <is>
          <t>Platforms</t>
        </is>
      </c>
      <c r="H1" s="25" t="inlineStr">
        <is>
          <t>Pillar</t>
        </is>
      </c>
      <c r="I1" s="25" t="inlineStr">
        <is>
          <t>Topic &amp; Hook</t>
        </is>
      </c>
      <c r="J1" s="25" t="inlineStr">
        <is>
          <t>Caption Draft</t>
        </is>
      </c>
      <c r="K1" s="25" t="inlineStr">
        <is>
          <t>CTA</t>
        </is>
      </c>
      <c r="L1" s="25" t="inlineStr">
        <is>
          <t>Hashtag Set</t>
        </is>
      </c>
      <c r="M1" s="25" t="inlineStr">
        <is>
          <t>Visual / Asset</t>
        </is>
      </c>
      <c r="N1" s="26" t="inlineStr">
        <is>
          <t>Photo Assets</t>
        </is>
      </c>
      <c r="O1" s="26" t="inlineStr">
        <is>
          <t>Consent</t>
        </is>
      </c>
      <c r="P1" s="25" t="inlineStr">
        <is>
          <t>Folder Link</t>
        </is>
      </c>
      <c r="Q1" s="26" t="inlineStr">
        <is>
          <t>Image Link</t>
        </is>
      </c>
      <c r="R1" s="26" t="inlineStr">
        <is>
          <t>Preview</t>
        </is>
      </c>
      <c r="S1" s="25" t="inlineStr">
        <is>
          <t>Status</t>
        </is>
      </c>
      <c r="T1" s="25" t="inlineStr">
        <is>
          <t>Posted Link</t>
        </is>
      </c>
      <c r="U1" s="25" t="inlineStr">
        <is>
          <t>Reach</t>
        </is>
      </c>
      <c r="V1" s="25" t="inlineStr">
        <is>
          <t>Saves</t>
        </is>
      </c>
      <c r="W1" s="25" t="inlineStr">
        <is>
          <t>Comments</t>
        </is>
      </c>
      <c r="X1" s="25" t="inlineStr">
        <is>
          <t>DMs</t>
        </is>
      </c>
      <c r="Y1" s="25" t="inlineStr">
        <is>
          <t>Bookings</t>
        </is>
      </c>
      <c r="Z1" s="26" t="inlineStr">
        <is>
          <t>GBP Caption</t>
        </is>
      </c>
      <c r="AA1" s="26" t="inlineStr">
        <is>
          <t>GBP CTA</t>
        </is>
      </c>
      <c r="AB1" s="26" t="inlineStr">
        <is>
          <t>GBP Image Link</t>
        </is>
      </c>
    </row>
    <row r="2" ht="68.65000000000001" customHeight="1" s="14">
      <c r="A2" s="27" t="n">
        <v>46251</v>
      </c>
      <c r="B2" s="28" t="inlineStr">
        <is>
          <t>Mon</t>
        </is>
      </c>
      <c r="C2" s="28" t="n">
        <v>1</v>
      </c>
      <c r="D2" s="28" t="inlineStr">
        <is>
          <t>Botox, Honestly (Launch)</t>
        </is>
      </c>
      <c r="E2" s="28" t="inlineStr">
        <is>
          <t>Carousel</t>
        </is>
      </c>
      <c r="F2" s="24" t="inlineStr">
        <is>
          <t>Light</t>
        </is>
      </c>
      <c r="G2" s="28" t="inlineStr">
        <is>
          <t>Instagram feed + GBP</t>
        </is>
      </c>
      <c r="H2" s="28" t="inlineStr">
        <is>
          <t>Education</t>
        </is>
      </c>
      <c r="I2" s="28" t="inlineStr">
        <is>
          <t>5 Botox Lies You Still Believe | The truth, from a nurse injector.</t>
        </is>
      </c>
      <c r="J2" s="28" t="inlineStr">
        <is>
          <t>Half of what you have heard about Botox came from someone who saw bad work. Let's set the record straight. Which myth did you believe? Drop it below and share this with a friend who needs slide 5.
#botox #botoxeducation #botoxmyths #preventativebotox #antiwrinkleinjections #nurseinjector #medspa #naturalbotox #botoxbeforeandafter #aestheticnurse</t>
        </is>
      </c>
      <c r="K2" s="28" t="inlineStr">
        <is>
          <t>DM BOTOX or link in bio</t>
        </is>
      </c>
      <c r="L2" s="28" t="inlineStr">
        <is>
          <t>Set A</t>
        </is>
      </c>
      <c r="M2" s="28" t="inlineStr">
        <is>
          <t>READY: 8 final slides in this post's folder</t>
        </is>
      </c>
      <c r="N2" s="24" t="n"/>
      <c r="O2" s="24" t="inlineStr">
        <is>
          <t>https://github.com/RepoKing23/InstagramCarousel/tree/claude/med-spa-carousel-ideas-sim9wz/content/2026-08-17-5-botox-lies-you-still</t>
        </is>
      </c>
      <c r="P2" s="32" t="inlineStr">
        <is>
          <t>Open folder</t>
        </is>
      </c>
      <c r="Q2" s="33" t="inlineStr">
        <is>
          <t>View 8 slides (jpg)</t>
        </is>
      </c>
      <c r="R2" s="24">
        <f>IMAGE("https://raw.githubusercontent.com/RepoKing23/InstagramCarousel/claude/med-spa-carousel-ideas-sim9wz/content/2026-08-17-5-botox-lies-you-still/images/slide-1.jpg")</f>
        <v/>
      </c>
      <c r="S2" s="28" t="inlineStr">
        <is>
          <t>Ready</t>
        </is>
      </c>
      <c r="T2" s="28" t="n"/>
      <c r="U2" s="28" t="n"/>
      <c r="V2" s="28" t="n"/>
      <c r="W2" s="28" t="n"/>
      <c r="X2" s="28" t="n"/>
      <c r="Y2" s="28" t="n"/>
      <c r="Z2" s="24" t="n"/>
      <c r="AA2" s="24" t="inlineStr">
        <is>
          <t>https://github.com/RepoKing23/InstagramCarousel/blob/claude/med-spa-carousel-ideas-sim9wz/content/2026-08-17-5-botox-lies-you-still/images/gbp.jpg?raw=1</t>
        </is>
      </c>
      <c r="AB2" s="33" t="inlineStr">
        <is>
          <t>View GBP image (jpg)</t>
        </is>
      </c>
    </row>
    <row r="3" ht="57.45" customHeight="1" s="14">
      <c r="A3" s="29" t="n">
        <v>46252</v>
      </c>
      <c r="B3" s="30" t="inlineStr">
        <is>
          <t>Tue</t>
        </is>
      </c>
      <c r="C3" s="30" t="n">
        <v>1</v>
      </c>
      <c r="D3" s="30" t="inlineStr">
        <is>
          <t>Botox, Honestly (Launch)</t>
        </is>
      </c>
      <c r="E3" s="30" t="inlineStr">
        <is>
          <t>Single Image</t>
        </is>
      </c>
      <c r="F3" s="24" t="inlineStr">
        <is>
          <t>Photo</t>
        </is>
      </c>
      <c r="G3" s="30" t="inlineStr">
        <is>
          <t>IG + FB + TikTok photo + GBP</t>
        </is>
      </c>
      <c r="H3" s="30" t="inlineStr">
        <is>
          <t>Education</t>
        </is>
      </c>
      <c r="I3" s="30" t="inlineStr">
        <is>
          <t>Service Spotlight: Botox | Smooth, not frozen.</t>
        </is>
      </c>
      <c r="J3" s="30" t="inlineStr">
        <is>
          <t>Softened lines, full expression, and nobody can tell why you look so rested. That is Botox done right.
#botox #botoxeducation #botoxmyths #preventativebotox #antiwrinkleinjections #nurseinjector #medspa #naturalbotox #botoxbeforeandafter #aestheticnurse</t>
        </is>
      </c>
      <c r="K3" s="30" t="inlineStr">
        <is>
          <t>DM BOTOX to book</t>
        </is>
      </c>
      <c r="L3" s="30" t="inlineStr">
        <is>
          <t>Set A</t>
        </is>
      </c>
      <c r="M3" s="30" t="inlineStr">
        <is>
          <t>READY: final image in this post's folder</t>
        </is>
      </c>
      <c r="N3" s="24" t="n"/>
      <c r="O3" s="24" t="inlineStr">
        <is>
          <t>https://github.com/RepoKing23/InstagramCarousel/tree/claude/med-spa-carousel-ideas-sim9wz/content/2026-08-18-service-spotlight-botox</t>
        </is>
      </c>
      <c r="P3" s="34" t="inlineStr">
        <is>
          <t>Open folder</t>
        </is>
      </c>
      <c r="Q3" s="33" t="inlineStr">
        <is>
          <t>View image (jpg)</t>
        </is>
      </c>
      <c r="R3" s="24">
        <f>IMAGE("https://raw.githubusercontent.com/RepoKing23/InstagramCarousel/claude/med-spa-carousel-ideas-sim9wz/content/2026-08-18-service-spotlight-botox/images/post.jpg")</f>
        <v/>
      </c>
      <c r="S3" s="30" t="inlineStr">
        <is>
          <t>Ready</t>
        </is>
      </c>
      <c r="T3" s="30" t="n"/>
      <c r="U3" s="30" t="n"/>
      <c r="V3" s="30" t="n"/>
      <c r="W3" s="30" t="n"/>
      <c r="X3" s="30" t="n"/>
      <c r="Y3" s="30" t="n"/>
      <c r="Z3" s="24" t="n"/>
      <c r="AA3" s="24" t="inlineStr">
        <is>
          <t>https://github.com/RepoKing23/InstagramCarousel/blob/claude/med-spa-carousel-ideas-sim9wz/content/2026-08-18-service-spotlight-botox/images/gbp.jpg?raw=1</t>
        </is>
      </c>
      <c r="AB3" s="33" t="inlineStr">
        <is>
          <t>View GBP image (jpg)</t>
        </is>
      </c>
    </row>
    <row r="4" ht="68.65000000000001" customHeight="1" s="14">
      <c r="A4" s="27" t="n">
        <v>46254</v>
      </c>
      <c r="B4" s="28" t="inlineStr">
        <is>
          <t>Thu</t>
        </is>
      </c>
      <c r="C4" s="28" t="n">
        <v>1</v>
      </c>
      <c r="D4" s="28" t="inlineStr">
        <is>
          <t>Botox, Honestly (Launch)</t>
        </is>
      </c>
      <c r="E4" s="28" t="inlineStr">
        <is>
          <t>Carousel</t>
        </is>
      </c>
      <c r="F4" s="24" t="inlineStr">
        <is>
          <t>Light</t>
        </is>
      </c>
      <c r="G4" s="28" t="inlineStr">
        <is>
          <t>Instagram feed + GBP</t>
        </is>
      </c>
      <c r="H4" s="28" t="inlineStr">
        <is>
          <t>Trust &amp; Proof</t>
        </is>
      </c>
      <c r="I4" s="28" t="inlineStr">
        <is>
          <t>5 Red Flags at a Med Spa. Run. | Your face deserves better than a bargain.</t>
        </is>
      </c>
      <c r="J4" s="28" t="inlineStr">
        <is>
          <t>If nobody asked you a single question before picking up a needle, leave.
I have fixed enough work from other clinics to know the pattern. The problem is
almost never the product. It starts with an appointment that skipped the part
where somebody actually looked at your face.
Five things worth walking away from. The last one is the one people forget to
ask about, and it is the one that matters most if something ever goes wrong.
Save this and take it to your next consult, wherever you book.
#oakvillemedspa #burlingtonmedspa #miltonontario #mississaugabeauty #haltonregion #honestinjector #naturalresults #aestheticnurse #nursepractitioner #medspacanada #luxurybeautybycleor #npcleo</t>
        </is>
      </c>
      <c r="K4" s="28" t="inlineStr">
        <is>
          <t>Save this before you book</t>
        </is>
      </c>
      <c r="L4" s="28" t="inlineStr">
        <is>
          <t>Set C</t>
        </is>
      </c>
      <c r="M4" s="28" t="inlineStr">
        <is>
          <t>Design in editorial template (sequel to Choosing the Right NP)</t>
        </is>
      </c>
      <c r="N4" s="24" t="n"/>
      <c r="O4" s="24" t="inlineStr">
        <is>
          <t>https://github.com/RepoKing23/InstagramCarousel/tree/claude/med-spa-carousel-ideas-sim9wz/content/2026-08-20-5-red-flags-at-a</t>
        </is>
      </c>
      <c r="P4" s="32" t="inlineStr">
        <is>
          <t>Open folder</t>
        </is>
      </c>
      <c r="Q4" s="33" t="inlineStr">
        <is>
          <t>View 7 slides (jpg)</t>
        </is>
      </c>
      <c r="R4" s="24">
        <f>IMAGE("https://raw.githubusercontent.com/RepoKing23/InstagramCarousel/claude/med-spa-carousel-ideas-sim9wz/content/2026-08-20-5-red-flags-at-a/images/slide-1.jpg")</f>
        <v/>
      </c>
      <c r="S4" s="28" t="inlineStr">
        <is>
          <t>Ready</t>
        </is>
      </c>
      <c r="T4" s="28" t="n"/>
      <c r="U4" s="28" t="n"/>
      <c r="V4" s="28" t="n"/>
      <c r="W4" s="28" t="n"/>
      <c r="X4" s="28" t="n"/>
      <c r="Y4" s="28" t="n"/>
      <c r="Z4" s="24" t="inlineStr">
        <is>
          <t>Five things to walk away from at a med spa: no consultation, bargain pricing, a provider who never says no, no named injector, and no plan for complications. Know them before you book anywhere. Serving Oakville, Burlington, Milton and Mississauga.</t>
        </is>
      </c>
      <c r="AA4" s="24" t="inlineStr">
        <is>
          <t>Learn more &gt; Instagram</t>
        </is>
      </c>
      <c r="AB4" s="33" t="inlineStr">
        <is>
          <t>View GBP image (jpg)</t>
        </is>
      </c>
    </row>
    <row r="5" ht="57.45" customHeight="1" s="14">
      <c r="A5" s="29" t="n">
        <v>46255</v>
      </c>
      <c r="B5" s="30" t="inlineStr">
        <is>
          <t>Fri</t>
        </is>
      </c>
      <c r="C5" s="30" t="n">
        <v>1</v>
      </c>
      <c r="D5" s="30" t="inlineStr">
        <is>
          <t>Botox, Honestly (Launch)</t>
        </is>
      </c>
      <c r="E5" s="30" t="inlineStr">
        <is>
          <t>Single Image</t>
        </is>
      </c>
      <c r="F5" s="24" t="inlineStr">
        <is>
          <t>Dark</t>
        </is>
      </c>
      <c r="G5" s="30" t="inlineStr">
        <is>
          <t>IG + FB + TikTok photo + GBP</t>
        </is>
      </c>
      <c r="H5" s="30" t="inlineStr">
        <is>
          <t>Personality &amp; BTS</t>
        </is>
      </c>
      <c r="I5" s="30" t="inlineStr">
        <is>
          <t>Behind the Scenes: The Prep | Zero shortcuts. Ever.</t>
        </is>
      </c>
      <c r="J5" s="30" t="inlineStr">
        <is>
          <t>The part nobody films is the part that keeps you safe.
New tray. New gloves. Product opened in front of you so you can see the vial,
the lot number and the date. Your face marked while you are moving, because
muscles do not sit still and neither should the plan.
None of this is impressive. It is just the standard. I am showing it because
plenty of places skip it and you would never know.
Ask to watch next time. Anyone doing it properly will say yes.
#oakville #oakvillebusiness #burlingtonontario #miltonontario #mississauga #haltonregion #womeninbusiness #nursepractitioner #aestheticnurse #medspalife #luxurybeautybycleor #npcleo</t>
        </is>
      </c>
      <c r="K5" s="30" t="inlineStr">
        <is>
          <t>Zero shortcuts. Ever.</t>
        </is>
      </c>
      <c r="L5" s="30" t="inlineStr">
        <is>
          <t>Set D</t>
        </is>
      </c>
      <c r="M5" s="30" t="inlineStr">
        <is>
          <t>prep tray photo + hook overlay</t>
        </is>
      </c>
      <c r="N5" s="24" t="n"/>
      <c r="O5" s="24" t="inlineStr">
        <is>
          <t>https://github.com/RepoKing23/InstagramCarousel/tree/claude/med-spa-carousel-ideas-sim9wz/content/2026-08-21-behind-the-scenes-the-prep</t>
        </is>
      </c>
      <c r="P5" s="34" t="inlineStr">
        <is>
          <t>Open folder</t>
        </is>
      </c>
      <c r="Q5" s="33" t="inlineStr">
        <is>
          <t>View image (jpg)</t>
        </is>
      </c>
      <c r="R5" s="24">
        <f>IMAGE("https://raw.githubusercontent.com/RepoKing23/InstagramCarousel/claude/med-spa-carousel-ideas-sim9wz/content/2026-08-21-behind-the-scenes-the-prep/images/post.jpg")</f>
        <v/>
      </c>
      <c r="S5" s="30" t="inlineStr">
        <is>
          <t>Ready</t>
        </is>
      </c>
      <c r="T5" s="30" t="n"/>
      <c r="U5" s="30" t="n"/>
      <c r="V5" s="30" t="n"/>
      <c r="W5" s="30" t="n"/>
      <c r="X5" s="30" t="n"/>
      <c r="Y5" s="30" t="n"/>
      <c r="Z5" s="24" t="inlineStr">
        <is>
          <t>Every appointment starts the same way. New tray, sealed product opened in front of you, and your face mapped while it moves so the plan fits how you actually move. Ask to watch. Serving Oakville, Burlington, Milton and Mississauga.</t>
        </is>
      </c>
      <c r="AA5" s="24" t="inlineStr">
        <is>
          <t>Learn more &gt; Instagram</t>
        </is>
      </c>
      <c r="AB5" s="33" t="inlineStr">
        <is>
          <t>View GBP image (jpg)</t>
        </is>
      </c>
    </row>
    <row r="6" ht="46.25" customHeight="1" s="14">
      <c r="A6" s="29" t="n">
        <v>46256</v>
      </c>
      <c r="B6" s="30" t="inlineStr">
        <is>
          <t>Sat</t>
        </is>
      </c>
      <c r="C6" s="30" t="n">
        <v>1</v>
      </c>
      <c r="D6" s="30" t="inlineStr">
        <is>
          <t>Botox, Honestly (Launch)</t>
        </is>
      </c>
      <c r="E6" s="30" t="inlineStr">
        <is>
          <t>Before/After</t>
        </is>
      </c>
      <c r="F6" s="24" t="inlineStr">
        <is>
          <t>Light</t>
        </is>
      </c>
      <c r="G6" s="30" t="inlineStr">
        <is>
          <t>IG + FB + TikTok photo + GBP</t>
        </is>
      </c>
      <c r="H6" s="30" t="inlineStr">
        <is>
          <t>Trust &amp; Proof</t>
        </is>
      </c>
      <c r="I6" s="30" t="inlineStr">
        <is>
          <t>Great Work Is Invisible | You were not supposed to notice.</t>
        </is>
      </c>
      <c r="J6" s="30" t="inlineStr">
        <is>
          <t>She booked because her top lip disappeared when she smiled.
Not because she wanted bigger lips. She was very clear about that. One syringe,
placed along a lip line that was already there, and the shape she was born with
stayed exactly where it was.
If you scrolled past this without stopping, that is the result doing its job.
Good work does not announce itself.
Shared with her permission. Individual results vary.
#lipfilleroakville #fillersoakville #oakvillemedspa #burlingtonfiller #miltonlipfiller #mississaugamedspa #dermalfillers #naturallips #facialbalancing #aestheticnurse #luxurybeautybycleor #npcleo</t>
        </is>
      </c>
      <c r="K6" s="30" t="inlineStr">
        <is>
          <t>Message to book</t>
        </is>
      </c>
      <c r="L6" s="30" t="inlineStr">
        <is>
          <t>Set B</t>
        </is>
      </c>
      <c r="M6" s="30" t="inlineStr">
        <is>
          <t>Before and after card in editorial template. Crop to treatment area, no faces</t>
        </is>
      </c>
      <c r="N6" s="24" t="inlineStr">
        <is>
          <t>img_9908 (before), img_9912 (after)</t>
        </is>
      </c>
      <c r="O6" s="24" t="inlineStr">
        <is>
          <t>Not needed</t>
        </is>
      </c>
      <c r="P6" s="34" t="inlineStr">
        <is>
          <t>Open folder</t>
        </is>
      </c>
      <c r="Q6" s="33" t="inlineStr">
        <is>
          <t>View image (jpg)</t>
        </is>
      </c>
      <c r="R6" s="24">
        <f>IMAGE("https://raw.githubusercontent.com/RepoKing23/InstagramCarousel/claude/med-spa-carousel-ideas-sim9wz/content/2026-08-22-great-work-is-invisible/images/before-after-result.jpg")</f>
        <v/>
      </c>
      <c r="S6" s="30" t="inlineStr">
        <is>
          <t>Ready</t>
        </is>
      </c>
      <c r="T6" s="30" t="n"/>
      <c r="U6" s="30" t="n"/>
      <c r="V6" s="30" t="n"/>
      <c r="W6" s="30" t="n"/>
      <c r="X6" s="30" t="n"/>
      <c r="Y6" s="30" t="n"/>
      <c r="Z6" s="24" t="inlineStr">
        <is>
          <t>One syringe of lip filler, with her own lip shape kept exactly where it was. Natural results are the whole point of how we practise. Shared with client consent, individual results vary. Serving Oakville, Burlington, Milton and Mississauga.</t>
        </is>
      </c>
      <c r="AA6" s="24" t="inlineStr">
        <is>
          <t>Learn more &gt; Instagram</t>
        </is>
      </c>
      <c r="AB6" s="33" t="inlineStr">
        <is>
          <t>View GBP image (jpg)</t>
        </is>
      </c>
    </row>
    <row r="7" ht="57.45" customHeight="1" s="14">
      <c r="A7" s="27" t="n">
        <v>46258</v>
      </c>
      <c r="B7" s="28" t="inlineStr">
        <is>
          <t>Mon</t>
        </is>
      </c>
      <c r="C7" s="28" t="n">
        <v>2</v>
      </c>
      <c r="D7" s="28" t="inlineStr">
        <is>
          <t>Botox, Honestly (Launch)</t>
        </is>
      </c>
      <c r="E7" s="28" t="inlineStr">
        <is>
          <t>Carousel</t>
        </is>
      </c>
      <c r="F7" s="24" t="inlineStr">
        <is>
          <t>Light</t>
        </is>
      </c>
      <c r="G7" s="28" t="inlineStr">
        <is>
          <t>Instagram feed + GBP</t>
        </is>
      </c>
      <c r="H7" s="28" t="inlineStr">
        <is>
          <t>Education</t>
        </is>
      </c>
      <c r="I7" s="28" t="inlineStr">
        <is>
          <t>Your First Visit, Step by Step | Nervous about your first appointment? Here is exactly what happens.</t>
        </is>
      </c>
      <c r="J7" s="28" t="inlineStr">
        <is>
          <t>Most people arrive nervous and leave asking why they waited so long.
Usually that is because nobody told them what actually happens. So here it is,
start to finish, including the part where we agree on the areas, the units and
the price before anything gets opened.
The treatment itself is the short part. Ten to fifteen minutes for most people.
Everything before it is what makes the difference.
Swipe through. If you are still nervous at the end, send me the question you
are embarrassed to ask. I have heard it before.
#botoxoakville #oakvillemedspa #burlingtonbotox #miltonmedspa #mississaugainjector #haltonregion #preventativebotox #botoxcanada #nursepractitionerinjector #naturalresults #luxurybeautybycleor #npcleo</t>
        </is>
      </c>
      <c r="K7" s="28" t="inlineStr">
        <is>
          <t>DM to book a consult</t>
        </is>
      </c>
      <c r="L7" s="28" t="inlineStr">
        <is>
          <t>Set A</t>
        </is>
      </c>
      <c r="M7" s="28" t="inlineStr">
        <is>
          <t>Design in editorial template + treatment room photos</t>
        </is>
      </c>
      <c r="N7" s="24" t="n"/>
      <c r="O7" s="24" t="inlineStr">
        <is>
          <t>https://github.com/RepoKing23/InstagramCarousel/tree/claude/med-spa-carousel-ideas-sim9wz/content/2026-08-24-your-first-visit-step-by</t>
        </is>
      </c>
      <c r="P7" s="32" t="inlineStr">
        <is>
          <t>Open folder</t>
        </is>
      </c>
      <c r="Q7" s="33" t="inlineStr">
        <is>
          <t>View 8 slides (jpg)</t>
        </is>
      </c>
      <c r="R7" s="24">
        <f>IMAGE("https://raw.githubusercontent.com/RepoKing23/InstagramCarousel/claude/med-spa-carousel-ideas-sim9wz/content/2026-08-24-your-first-visit-step-by/images/slide-1.jpg")</f>
        <v/>
      </c>
      <c r="S7" s="28" t="inlineStr">
        <is>
          <t>Ready</t>
        </is>
      </c>
      <c r="T7" s="28" t="n"/>
      <c r="U7" s="28" t="n"/>
      <c r="V7" s="28" t="n"/>
      <c r="W7" s="28" t="n"/>
      <c r="X7" s="28" t="n"/>
      <c r="Y7" s="28" t="n"/>
      <c r="Z7" s="24" t="inlineStr">
        <is>
          <t>Nervous about your first appointment? A real consultation, your face mapped in motion, then the areas and the price agreed before anything is opened. The treatment itself takes about ten minutes. Serving Oakville, Burlington, Milton and Mississauga.</t>
        </is>
      </c>
      <c r="AA7" s="24" t="inlineStr">
        <is>
          <t>Learn more &gt; Instagram</t>
        </is>
      </c>
      <c r="AB7" s="33" t="inlineStr">
        <is>
          <t>View GBP image (jpg)</t>
        </is>
      </c>
    </row>
    <row r="8" ht="57.45" customHeight="1" s="14">
      <c r="A8" s="29" t="n">
        <v>46259</v>
      </c>
      <c r="B8" s="30" t="inlineStr">
        <is>
          <t>Tue</t>
        </is>
      </c>
      <c r="C8" s="30" t="n">
        <v>2</v>
      </c>
      <c r="D8" s="30" t="inlineStr">
        <is>
          <t>Botox, Honestly (Launch)</t>
        </is>
      </c>
      <c r="E8" s="30" t="inlineStr">
        <is>
          <t>Single Image</t>
        </is>
      </c>
      <c r="F8" s="24" t="inlineStr">
        <is>
          <t>Dark</t>
        </is>
      </c>
      <c r="G8" s="30" t="inlineStr">
        <is>
          <t>IG + FB + TikTok photo + GBP</t>
        </is>
      </c>
      <c r="H8" s="30" t="inlineStr">
        <is>
          <t>Trust &amp; Proof</t>
        </is>
      </c>
      <c r="I8" s="30" t="inlineStr">
        <is>
          <t>Why I Do Not Post Prices | Every clinic gets this DM. Almost nobody answers it honestly.</t>
        </is>
      </c>
      <c r="J8" s="30" t="inlineStr">
        <is>
          <t>Every clinic gets this DM. Almost nobody answers it honestly.
Units are not a menu item. Two people who want the same result can need very
different doses, so one flat price either overcharges you or under treats you.
And cheap injectables end up being the most expensive thing in this industry,
because correcting bad work takes more time and more product than doing it
properly the first time.
What you do get is a number before anything starts. At your consult, in writing,
after I have actually looked at your face. Nothing is opened until you have
agreed to it.
Ask me anything about cost. I will not dodge it.
#oakvillemedspa #burlingtonmedspa #miltonontario #mississaugabeauty #haltonregion #honestinjector #naturalresults #aestheticnurse #nursepractitioner #medspacanada #luxurybeautybycleor #npcleo</t>
        </is>
      </c>
      <c r="K8" s="30" t="inlineStr">
        <is>
          <t>DM the word PRICE</t>
        </is>
      </c>
      <c r="L8" s="30" t="inlineStr">
        <is>
          <t>Set C</t>
        </is>
      </c>
      <c r="M8" s="30" t="inlineStr">
        <is>
          <t>Single image, dark variant. Type led, no photo</t>
        </is>
      </c>
      <c r="N8" s="24" t="n"/>
      <c r="O8" s="24" t="inlineStr">
        <is>
          <t>https://github.com/RepoKing23/InstagramCarousel/tree/claude/med-spa-carousel-ideas-sim9wz/content/2026-08-25-why-i-do-not-post</t>
        </is>
      </c>
      <c r="P8" s="34" t="inlineStr">
        <is>
          <t>Open folder</t>
        </is>
      </c>
      <c r="Q8" s="33" t="inlineStr">
        <is>
          <t>View image (jpg)</t>
        </is>
      </c>
      <c r="R8" s="24">
        <f>IMAGE("https://raw.githubusercontent.com/RepoKing23/InstagramCarousel/claude/med-spa-carousel-ideas-sim9wz/content/2026-08-25-why-i-do-not-post/images/post.jpg")</f>
        <v/>
      </c>
      <c r="S8" s="30" t="inlineStr">
        <is>
          <t>Ready</t>
        </is>
      </c>
      <c r="T8" s="30" t="n"/>
      <c r="U8" s="30" t="n"/>
      <c r="V8" s="30" t="n"/>
      <c r="W8" s="30" t="n"/>
      <c r="X8" s="30" t="n"/>
      <c r="Y8" s="30" t="n"/>
      <c r="Z8" s="24" t="inlineStr">
        <is>
          <t>Why we do not post a price list. Doses differ from face to face, so one flat price either overcharges you or under treats you. You get a written number at your consult, before anything is opened. Serving Oakville, Burlington, Milton and Mississauga.</t>
        </is>
      </c>
      <c r="AA8" s="24" t="inlineStr">
        <is>
          <t>Learn more &gt; Instagram</t>
        </is>
      </c>
      <c r="AB8" s="33" t="inlineStr">
        <is>
          <t>View GBP image (jpg)</t>
        </is>
      </c>
    </row>
    <row r="9" ht="57.45" customHeight="1" s="14">
      <c r="A9" s="27" t="n">
        <v>46261</v>
      </c>
      <c r="B9" s="28" t="inlineStr">
        <is>
          <t>Thu</t>
        </is>
      </c>
      <c r="C9" s="28" t="n">
        <v>2</v>
      </c>
      <c r="D9" s="28" t="inlineStr">
        <is>
          <t>Botox, Honestly (Launch)</t>
        </is>
      </c>
      <c r="E9" s="28" t="inlineStr">
        <is>
          <t>Carousel</t>
        </is>
      </c>
      <c r="F9" s="24" t="inlineStr">
        <is>
          <t>Photo</t>
        </is>
      </c>
      <c r="G9" s="28" t="inlineStr">
        <is>
          <t>Instagram feed + GBP</t>
        </is>
      </c>
      <c r="H9" s="28" t="inlineStr">
        <is>
          <t>Personality &amp; BTS</t>
        </is>
      </c>
      <c r="I9" s="28" t="inlineStr">
        <is>
          <t>Meet NP Cleo: The Face Behind the Glow | Real education. Real results. Real care.</t>
        </is>
      </c>
      <c r="J9" s="28" t="inlineStr">
        <is>
          <t>I got tired of fixing work that never should have happened.
That is the honest reason this clinic exists. Most people who sit in my chair
are not asking for a different face. They want to stop looking tired, and
somewhere along the way the industry decided more was always the answer.
So I go slow. I dose conservatively, I build over sessions, and I say not yet
more often than people expect. I have never once regretted that.
Nurse practitioner. Every appointment injected by me, never handed off to
somebody you have not met.
#oakville #oakvillebusiness #burlingtonontario #miltonontario #mississauga #haltonregion #womeninbusiness #nursepractitioner #aestheticnurse #medspalife #luxurybeautybycleor #npcleo</t>
        </is>
      </c>
      <c r="K9" s="28" t="inlineStr">
        <is>
          <t>DM the word CONSULT</t>
        </is>
      </c>
      <c r="L9" s="28" t="inlineStr">
        <is>
          <t>Set D</t>
        </is>
      </c>
      <c r="M9" s="28" t="inlineStr">
        <is>
          <t>Portrait photos of Cleo (reuse cleo.png + new shots)</t>
        </is>
      </c>
      <c r="N9" s="24" t="n"/>
      <c r="O9" s="24" t="inlineStr">
        <is>
          <t>https://github.com/RepoKing23/InstagramCarousel/tree/claude/med-spa-carousel-ideas-sim9wz/content/2026-08-27-meet-np-cleo-the-face</t>
        </is>
      </c>
      <c r="P9" s="32" t="inlineStr">
        <is>
          <t>Open folder</t>
        </is>
      </c>
      <c r="Q9" s="33" t="inlineStr">
        <is>
          <t>View 5 slides (jpg)</t>
        </is>
      </c>
      <c r="R9" s="24">
        <f>IMAGE("https://raw.githubusercontent.com/RepoKing23/InstagramCarousel/claude/med-spa-carousel-ideas-sim9wz/content/2026-08-27-meet-np-cleo-the-face/images/slide-1.jpg")</f>
        <v/>
      </c>
      <c r="S9" s="28" t="inlineStr">
        <is>
          <t>Ready</t>
        </is>
      </c>
      <c r="T9" s="28" t="n"/>
      <c r="U9" s="28" t="n"/>
      <c r="V9" s="28" t="n"/>
      <c r="W9" s="28" t="n"/>
      <c r="X9" s="28" t="n"/>
      <c r="Y9" s="28" t="n"/>
      <c r="Z9" s="24" t="inlineStr">
        <is>
          <t>Meet NP Cleo. Nurse practitioner and injector, and the person who will tell you no when the honest answer is not yet. Every appointment is injected by Cleo, never delegated. Serving Oakville, Burlington, Milton and Mississauga.</t>
        </is>
      </c>
      <c r="AA9" s="24" t="inlineStr">
        <is>
          <t>Learn more &gt; Instagram</t>
        </is>
      </c>
      <c r="AB9" s="33" t="inlineStr">
        <is>
          <t>View GBP image (jpg)</t>
        </is>
      </c>
    </row>
    <row r="10" ht="46.25" customHeight="1" s="14">
      <c r="A10" s="29" t="n">
        <v>46262</v>
      </c>
      <c r="B10" s="30" t="inlineStr">
        <is>
          <t>Fri</t>
        </is>
      </c>
      <c r="C10" s="30" t="n">
        <v>2</v>
      </c>
      <c r="D10" s="30" t="inlineStr">
        <is>
          <t>Botox, Honestly (Launch)</t>
        </is>
      </c>
      <c r="E10" s="30" t="inlineStr">
        <is>
          <t>Single Image</t>
        </is>
      </c>
      <c r="F10" s="24" t="inlineStr">
        <is>
          <t>Dark</t>
        </is>
      </c>
      <c r="G10" s="30" t="inlineStr">
        <is>
          <t>IG + FB + TikTok photo + GBP</t>
        </is>
      </c>
      <c r="H10" s="30" t="inlineStr">
        <is>
          <t>Personality &amp; BTS</t>
        </is>
      </c>
      <c r="I10" s="30" t="inlineStr">
        <is>
          <t>Welcome to the Treatment Room | Where calm meets careful.</t>
        </is>
      </c>
      <c r="J10" s="30" t="inlineStr">
        <is>
          <t>One person in the room at a time, and the door stays shut.
Nobody rushes the client before you, which means nobody rushes you either. You
get the whole appointment, the questions you were too shy to ask somewhere
else, and a plan we agree on before anything happens.
It is a quiet room on purpose. Decisions about your face deserve one.
In Oakville, and worth the short drive from Burlington, Milton or Mississauga.
#oakville #oakvillebusiness #burlingtonontario #miltonontario #mississauga #haltonregion #womeninbusiness #nursepractitioner #aestheticnurse #medspalife #luxurybeautybycleor #npcleo</t>
        </is>
      </c>
      <c r="K10" s="30" t="inlineStr">
        <is>
          <t>Come see it</t>
        </is>
      </c>
      <c r="L10" s="30" t="inlineStr">
        <is>
          <t>Set D</t>
        </is>
      </c>
      <c r="M10" s="30" t="inlineStr">
        <is>
          <t>Single image, dark photo led. Uses botox-prep.png framed on the room</t>
        </is>
      </c>
      <c r="N10" s="24" t="n"/>
      <c r="O10" s="24" t="inlineStr">
        <is>
          <t>https://github.com/RepoKing23/InstagramCarousel/tree/claude/med-spa-carousel-ideas-sim9wz/content/2026-08-28-welcome-to-the-treatment-room</t>
        </is>
      </c>
      <c r="P10" s="34" t="inlineStr">
        <is>
          <t>Open folder</t>
        </is>
      </c>
      <c r="Q10" s="33" t="inlineStr">
        <is>
          <t>View image (jpg)</t>
        </is>
      </c>
      <c r="R10" s="24">
        <f>IMAGE("https://raw.githubusercontent.com/RepoKing23/InstagramCarousel/claude/med-spa-carousel-ideas-sim9wz/content/2026-08-28-welcome-to-the-treatment-room/images/post.jpg")</f>
        <v/>
      </c>
      <c r="S10" s="30" t="inlineStr">
        <is>
          <t>Ready</t>
        </is>
      </c>
      <c r="T10" s="30" t="n"/>
      <c r="U10" s="30" t="n"/>
      <c r="V10" s="30" t="n"/>
      <c r="W10" s="30" t="n"/>
      <c r="X10" s="30" t="n"/>
      <c r="Y10" s="30" t="n"/>
      <c r="Z10" s="24" t="inlineStr">
        <is>
          <t>One client in the treatment room at a time. Nobody rushes the person before you, so nobody rushes you. Questions welcome, and a plan agreed before anything happens. Serving Oakville, Burlington, Milton and Mississauga.</t>
        </is>
      </c>
      <c r="AA10" s="24" t="inlineStr">
        <is>
          <t>Learn more &gt; Instagram</t>
        </is>
      </c>
      <c r="AB10" s="33" t="inlineStr">
        <is>
          <t>View GBP image (jpg)</t>
        </is>
      </c>
    </row>
    <row r="11" ht="46.25" customHeight="1" s="14">
      <c r="A11" s="29" t="n">
        <v>46263</v>
      </c>
      <c r="B11" s="30" t="inlineStr">
        <is>
          <t>Sat</t>
        </is>
      </c>
      <c r="C11" s="30" t="n">
        <v>2</v>
      </c>
      <c r="D11" s="30" t="inlineStr">
        <is>
          <t>Botox, Honestly (Launch)</t>
        </is>
      </c>
      <c r="E11" s="30" t="inlineStr">
        <is>
          <t>Single Image</t>
        </is>
      </c>
      <c r="F11" s="24" t="inlineStr">
        <is>
          <t>Light</t>
        </is>
      </c>
      <c r="G11" s="30" t="inlineStr">
        <is>
          <t>IG + FB + TikTok photo + GBP</t>
        </is>
      </c>
      <c r="H11" s="30" t="inlineStr">
        <is>
          <t>Trust &amp; Proof</t>
        </is>
      </c>
      <c r="I11" s="30" t="inlineStr">
        <is>
          <t>This or That: Rested vs Frozen | If people ask what you had done, the dose was wrong.</t>
        </is>
      </c>
      <c r="J11" s="30" t="inlineStr">
        <is>
          <t>If people ask what you had done, the dose was wrong.
The goal was never to erase your expressions. You should still frown at your
inbox and squint in the sun. Softer, not stiller.
Rested or frozen. Which were you actually hoping for? Tell me in the comments,
I read all of them.
#oakvillemedspa #burlingtonmedspa #miltonontario #mississaugabeauty #haltonregion #honestinjector #naturalresults #aestheticnurse #nursepractitioner #medspacanada #luxurybeautybycleor #npcleo</t>
        </is>
      </c>
      <c r="K11" s="30" t="inlineStr">
        <is>
          <t>Which one do you want?</t>
        </is>
      </c>
      <c r="L11" s="30" t="inlineStr">
        <is>
          <t>Set C</t>
        </is>
      </c>
      <c r="M11" s="30" t="inlineStr">
        <is>
          <t>Two-panel comparison card in brand style</t>
        </is>
      </c>
      <c r="N11" s="24" t="n"/>
      <c r="O11" s="24" t="inlineStr">
        <is>
          <t>https://github.com/RepoKing23/InstagramCarousel/tree/claude/med-spa-carousel-ideas-sim9wz/content/2026-08-29-this-or-that-rested-vs</t>
        </is>
      </c>
      <c r="P11" s="34" t="inlineStr">
        <is>
          <t>Open folder</t>
        </is>
      </c>
      <c r="Q11" s="33" t="inlineStr">
        <is>
          <t>View image (jpg)</t>
        </is>
      </c>
      <c r="R11" s="24">
        <f>IMAGE("https://raw.githubusercontent.com/RepoKing23/InstagramCarousel/claude/med-spa-carousel-ideas-sim9wz/content/2026-08-29-this-or-that-rested-vs/images/post.jpg")</f>
        <v/>
      </c>
      <c r="S11" s="30" t="inlineStr">
        <is>
          <t>Ready</t>
        </is>
      </c>
      <c r="T11" s="30" t="n"/>
      <c r="U11" s="30" t="n"/>
      <c r="V11" s="30" t="n"/>
      <c r="W11" s="30" t="n"/>
      <c r="X11" s="30" t="n"/>
      <c r="Y11" s="30" t="n"/>
      <c r="Z11" s="24" t="inlineStr">
        <is>
          <t>Rested, not frozen. You should still frown, squint and smile. If people ask what you had done instead of whether you slept well, the dose was wrong. Serving Oakville, Burlington, Milton and Mississauga.</t>
        </is>
      </c>
      <c r="AA11" s="24" t="inlineStr">
        <is>
          <t>Learn more &gt; Instagram</t>
        </is>
      </c>
      <c r="AB11" s="33" t="inlineStr">
        <is>
          <t>View GBP image (jpg)</t>
        </is>
      </c>
    </row>
    <row r="12" ht="57.45" customHeight="1" s="14">
      <c r="A12" s="27" t="n">
        <v>46265</v>
      </c>
      <c r="B12" s="28" t="inlineStr">
        <is>
          <t>Mon</t>
        </is>
      </c>
      <c r="C12" s="28" t="n">
        <v>3</v>
      </c>
      <c r="D12" s="28" t="inlineStr">
        <is>
          <t>Botox, Honestly (Launch)</t>
        </is>
      </c>
      <c r="E12" s="28" t="inlineStr">
        <is>
          <t>Carousel</t>
        </is>
      </c>
      <c r="F12" s="24" t="inlineStr">
        <is>
          <t>Photo</t>
        </is>
      </c>
      <c r="G12" s="28" t="inlineStr">
        <is>
          <t>Instagram feed + GBP</t>
        </is>
      </c>
      <c r="H12" s="28" t="inlineStr">
        <is>
          <t>Education</t>
        </is>
      </c>
      <c r="I12" s="28" t="inlineStr">
        <is>
          <t>Preventative Botox: When to Actually Start | Your friend who never seems to age? This is why.</t>
        </is>
      </c>
      <c r="J12" s="28" t="inlineStr">
        <is>
          <t>Your friend who never seems to age did not get lucky.
She started before there was anything to fix. That is the whole trick, and it
has very little to do with turning thirty.
Here is the test you can do right now. Make your strongest expression, then let
your face go completely still. If a line is still sitting there, that one is
setting in, and that is the conversation worth having.
Swipe for when to actually start. If you do not need it yet, I will tell you
that too.
#botoxoakville #oakvillemedspa #burlingtonbotox #miltonmedspa #mississaugainjector #haltonregion #preventativebotox #botoxcanada #nursepractitionerinjector #naturalresults #luxurybeautybycleor #npcleo</t>
        </is>
      </c>
      <c r="K12" s="28" t="inlineStr">
        <is>
          <t>DM the word START</t>
        </is>
      </c>
      <c r="L12" s="28" t="inlineStr">
        <is>
          <t>Set A</t>
        </is>
      </c>
      <c r="M12" s="28" t="inlineStr">
        <is>
          <t>Carousel, 7 slides. Photo cover using smile-portrait.png</t>
        </is>
      </c>
      <c r="N12" s="24" t="n"/>
      <c r="O12" s="24" t="inlineStr">
        <is>
          <t>https://github.com/RepoKing23/InstagramCarousel/tree/claude/med-spa-carousel-ideas-sim9wz/content/2026-08-31-preventative-botox-when-to-actually</t>
        </is>
      </c>
      <c r="P12" s="32" t="inlineStr">
        <is>
          <t>Open folder</t>
        </is>
      </c>
      <c r="Q12" s="33" t="inlineStr">
        <is>
          <t>View 7 slides (jpg)</t>
        </is>
      </c>
      <c r="R12" s="24">
        <f>IMAGE("https://raw.githubusercontent.com/RepoKing23/InstagramCarousel/claude/med-spa-carousel-ideas-sim9wz/content/2026-08-31-preventative-botox-when-to-actually/images/slide-1.jpg")</f>
        <v/>
      </c>
      <c r="S12" s="28" t="inlineStr">
        <is>
          <t>Ready</t>
        </is>
      </c>
      <c r="T12" s="28" t="n"/>
      <c r="U12" s="28" t="n"/>
      <c r="V12" s="28" t="n"/>
      <c r="W12" s="28" t="n"/>
      <c r="X12" s="28" t="n"/>
      <c r="Y12" s="28" t="n"/>
      <c r="Z12" s="24" t="inlineStr">
        <is>
          <t>When should you actually start preventative treatment? It is not about your age. Make your strongest expression, then relax completely. A line that stays is one that is setting in. Serving Oakville, Burlington, Milton and Mississauga.</t>
        </is>
      </c>
      <c r="AA12" s="24" t="inlineStr">
        <is>
          <t>Learn more &gt; Instagram</t>
        </is>
      </c>
      <c r="AB12" s="33" t="inlineStr">
        <is>
          <t>View GBP image (jpg)</t>
        </is>
      </c>
    </row>
    <row r="13" ht="57.45" customHeight="1" s="14">
      <c r="A13" s="29" t="n">
        <v>46266</v>
      </c>
      <c r="B13" s="30" t="inlineStr">
        <is>
          <t>Tue</t>
        </is>
      </c>
      <c r="C13" s="30" t="n">
        <v>3</v>
      </c>
      <c r="D13" s="30" t="inlineStr">
        <is>
          <t>Botox Education Month</t>
        </is>
      </c>
      <c r="E13" s="30" t="inlineStr">
        <is>
          <t>Single Image</t>
        </is>
      </c>
      <c r="F13" s="24" t="inlineStr">
        <is>
          <t>Dark</t>
        </is>
      </c>
      <c r="G13" s="30" t="inlineStr">
        <is>
          <t>IG + FB + TikTok photo + GBP</t>
        </is>
      </c>
      <c r="H13" s="30" t="inlineStr">
        <is>
          <t>Education</t>
        </is>
      </c>
      <c r="I13" s="30" t="inlineStr">
        <is>
          <t>Service Spotlight: Preventative Botox | Start before the lines do.</t>
        </is>
      </c>
      <c r="J13" s="30" t="inlineStr">
        <is>
          <t>The friend who never seems to age did not find a miracle cream. She started early and kept it subtle.
#botox #botoxeducation #botoxmyths #preventativebotox #antiwrinkleinjections #nurseinjector #medspa #naturalbotox #botoxbeforeandafter #aestheticnurse</t>
        </is>
      </c>
      <c r="K13" s="30" t="inlineStr">
        <is>
          <t>DM PREVENT to talk</t>
        </is>
      </c>
      <c r="L13" s="30" t="inlineStr">
        <is>
          <t>Set A</t>
        </is>
      </c>
      <c r="M13" s="30" t="inlineStr">
        <is>
          <t>Single image: young client or product photo + hook</t>
        </is>
      </c>
      <c r="N13" s="24" t="n"/>
      <c r="O13" s="24" t="inlineStr">
        <is>
          <t>https://github.com/RepoKing23/InstagramCarousel/tree/claude/med-spa-carousel-ideas-sim9wz/content/2026-09-01-service-spotlight-preventative-botox</t>
        </is>
      </c>
      <c r="P13" s="34" t="inlineStr">
        <is>
          <t>Open folder</t>
        </is>
      </c>
      <c r="Q13" s="24" t="inlineStr">
        <is>
          <t>Not designed yet</t>
        </is>
      </c>
      <c r="R13" s="24" t="n"/>
      <c r="S13" s="30" t="inlineStr">
        <is>
          <t>Idea</t>
        </is>
      </c>
      <c r="T13" s="30" t="n"/>
      <c r="U13" s="30" t="n"/>
      <c r="V13" s="30" t="n"/>
      <c r="W13" s="30" t="n"/>
      <c r="X13" s="30" t="n"/>
      <c r="Y13" s="30" t="n"/>
      <c r="Z13" s="24" t="n"/>
      <c r="AA13" s="24" t="n"/>
      <c r="AB13" s="24" t="inlineStr">
        <is>
          <t>Not designed yet</t>
        </is>
      </c>
    </row>
    <row r="14" ht="57.45" customHeight="1" s="14">
      <c r="A14" s="27" t="n">
        <v>46268</v>
      </c>
      <c r="B14" s="28" t="inlineStr">
        <is>
          <t>Thu</t>
        </is>
      </c>
      <c r="C14" s="28" t="n">
        <v>3</v>
      </c>
      <c r="D14" s="28" t="inlineStr">
        <is>
          <t>Botox Education Month</t>
        </is>
      </c>
      <c r="E14" s="28" t="inlineStr">
        <is>
          <t>Carousel</t>
        </is>
      </c>
      <c r="F14" s="24" t="inlineStr">
        <is>
          <t>Light</t>
        </is>
      </c>
      <c r="G14" s="28" t="inlineStr">
        <is>
          <t>Instagram feed + GBP</t>
        </is>
      </c>
      <c r="H14" s="28" t="inlineStr">
        <is>
          <t>Education</t>
        </is>
      </c>
      <c r="I14" s="28" t="inlineStr">
        <is>
          <t>What 20 Units Actually Looks Like | Unit math, finally explained.</t>
        </is>
      </c>
      <c r="J14" s="28" t="inlineStr">
        <is>
          <t>You have seen the price per unit. But what does 20 units actually do? Here is the honest breakdown of dosing, areas, and why cheaper per unit is not cheaper overall.
#botox #botoxeducation #botoxmyths #preventativebotox #antiwrinkleinjections #nurseinjector #medspa #naturalbotox #botoxbeforeandafter #aestheticnurse</t>
        </is>
      </c>
      <c r="K14" s="28" t="inlineStr">
        <is>
          <t>Save this for your consult</t>
        </is>
      </c>
      <c r="L14" s="28" t="inlineStr">
        <is>
          <t>Set A</t>
        </is>
      </c>
      <c r="M14" s="28" t="inlineStr">
        <is>
          <t>Design in editorial template + dosing diagram</t>
        </is>
      </c>
      <c r="N14" s="24" t="n"/>
      <c r="O14" s="24" t="inlineStr">
        <is>
          <t>https://github.com/RepoKing23/InstagramCarousel/tree/claude/med-spa-carousel-ideas-sim9wz/content/2026-09-03-what-20-units-actually-looks</t>
        </is>
      </c>
      <c r="P14" s="32" t="inlineStr">
        <is>
          <t>Open folder</t>
        </is>
      </c>
      <c r="Q14" s="24" t="inlineStr">
        <is>
          <t>Not designed yet</t>
        </is>
      </c>
      <c r="R14" s="24" t="n"/>
      <c r="S14" s="28" t="inlineStr">
        <is>
          <t>Idea</t>
        </is>
      </c>
      <c r="T14" s="28" t="n"/>
      <c r="U14" s="28" t="n"/>
      <c r="V14" s="28" t="n"/>
      <c r="W14" s="28" t="n"/>
      <c r="X14" s="28" t="n"/>
      <c r="Y14" s="28" t="n"/>
      <c r="Z14" s="24" t="n"/>
      <c r="AA14" s="24" t="n"/>
      <c r="AB14" s="24" t="inlineStr">
        <is>
          <t>Not designed yet</t>
        </is>
      </c>
    </row>
    <row r="15" ht="57.45" customHeight="1" s="14">
      <c r="A15" s="29" t="n">
        <v>46269</v>
      </c>
      <c r="B15" s="30" t="inlineStr">
        <is>
          <t>Fri</t>
        </is>
      </c>
      <c r="C15" s="30" t="n">
        <v>3</v>
      </c>
      <c r="D15" s="30" t="inlineStr">
        <is>
          <t>Botox Education Month</t>
        </is>
      </c>
      <c r="E15" s="30" t="inlineStr">
        <is>
          <t>Single Image</t>
        </is>
      </c>
      <c r="F15" s="24" t="inlineStr">
        <is>
          <t>Light</t>
        </is>
      </c>
      <c r="G15" s="30" t="inlineStr">
        <is>
          <t>IG + FB + TikTok photo + GBP</t>
        </is>
      </c>
      <c r="H15" s="30" t="inlineStr">
        <is>
          <t>Personality &amp; BTS</t>
        </is>
      </c>
      <c r="I15" s="30" t="inlineStr">
        <is>
          <t>Meet Your Injector | RN(EC). Botox obsessed. Brutally honest.</t>
        </is>
      </c>
      <c r="J15" s="30" t="inlineStr">
        <is>
          <t>Your face deserves a nurse practitioner who tells the truth about what you need and what you do not. Hi, I am Cleo. 💛
#npinjector #nursepractitioner #medspalife #luxurybeauty #aestheticnurse #skincareexpert #beautyclinic #selfcare #naturalresults #honestbeauty</t>
        </is>
      </c>
      <c r="K15" s="30" t="inlineStr">
        <is>
          <t>Say hi in the comments</t>
        </is>
      </c>
      <c r="L15" s="30" t="inlineStr">
        <is>
          <t>Set C</t>
        </is>
      </c>
      <c r="M15" s="30" t="inlineStr">
        <is>
          <t>Single image: Cleo portrait + credentials hook</t>
        </is>
      </c>
      <c r="N15" s="24" t="n"/>
      <c r="O15" s="24" t="inlineStr">
        <is>
          <t>https://github.com/RepoKing23/InstagramCarousel/tree/claude/med-spa-carousel-ideas-sim9wz/content/2026-09-04-meet-your-injector</t>
        </is>
      </c>
      <c r="P15" s="34" t="inlineStr">
        <is>
          <t>Open folder</t>
        </is>
      </c>
      <c r="Q15" s="24" t="inlineStr">
        <is>
          <t>Not designed yet</t>
        </is>
      </c>
      <c r="R15" s="24" t="n"/>
      <c r="S15" s="30" t="inlineStr">
        <is>
          <t>Idea</t>
        </is>
      </c>
      <c r="T15" s="30" t="n"/>
      <c r="U15" s="30" t="n"/>
      <c r="V15" s="30" t="n"/>
      <c r="W15" s="30" t="n"/>
      <c r="X15" s="30" t="n"/>
      <c r="Y15" s="30" t="n"/>
      <c r="Z15" s="24" t="n"/>
      <c r="AA15" s="24" t="n"/>
      <c r="AB15" s="24" t="inlineStr">
        <is>
          <t>Not designed yet</t>
        </is>
      </c>
    </row>
    <row r="16" ht="46.25" customHeight="1" s="14">
      <c r="A16" s="29" t="n">
        <v>46270</v>
      </c>
      <c r="B16" s="30" t="inlineStr">
        <is>
          <t>Sat</t>
        </is>
      </c>
      <c r="C16" s="30" t="n">
        <v>3</v>
      </c>
      <c r="D16" s="30" t="inlineStr">
        <is>
          <t>Botox Education Month</t>
        </is>
      </c>
      <c r="E16" s="30" t="inlineStr">
        <is>
          <t>Single Image</t>
        </is>
      </c>
      <c r="F16" s="24" t="inlineStr">
        <is>
          <t>Light</t>
        </is>
      </c>
      <c r="G16" s="30" t="inlineStr">
        <is>
          <t>IG + FB + TikTok photo + GBP</t>
        </is>
      </c>
      <c r="H16" s="30" t="inlineStr">
        <is>
          <t>Education</t>
        </is>
      </c>
      <c r="I16" s="30" t="inlineStr">
        <is>
          <t>Quote: Prevention Beats Erasing | Prevention beats erasing. Ask your friend who started early.</t>
        </is>
      </c>
      <c r="J16" s="30" t="inlineStr">
        <is>
          <t>Lines are easier to prevent than to erase. Save this reminder.
#npinjector #nursepractitioner #medspalife #luxurybeauty #aestheticnurse #skincareexpert #beautyclinic #selfcare #naturalresults #honestbeauty</t>
        </is>
      </c>
      <c r="K16" s="30" t="inlineStr">
        <is>
          <t>Save this</t>
        </is>
      </c>
      <c r="L16" s="30" t="inlineStr">
        <is>
          <t>Set C</t>
        </is>
      </c>
      <c r="M16" s="30" t="inlineStr">
        <is>
          <t>Quote card in brand style</t>
        </is>
      </c>
      <c r="N16" s="24" t="n"/>
      <c r="O16" s="24" t="inlineStr">
        <is>
          <t>https://github.com/RepoKing23/InstagramCarousel/tree/claude/med-spa-carousel-ideas-sim9wz/content/2026-09-05-quote-prevention-beats-erasing</t>
        </is>
      </c>
      <c r="P16" s="34" t="inlineStr">
        <is>
          <t>Open folder</t>
        </is>
      </c>
      <c r="Q16" s="24" t="inlineStr">
        <is>
          <t>Not designed yet</t>
        </is>
      </c>
      <c r="R16" s="24" t="n"/>
      <c r="S16" s="30" t="inlineStr">
        <is>
          <t>Idea</t>
        </is>
      </c>
      <c r="T16" s="30" t="n"/>
      <c r="U16" s="30" t="n"/>
      <c r="V16" s="30" t="n"/>
      <c r="W16" s="30" t="n"/>
      <c r="X16" s="30" t="n"/>
      <c r="Y16" s="30" t="n"/>
      <c r="Z16" s="24" t="n"/>
      <c r="AA16" s="24" t="n"/>
      <c r="AB16" s="24" t="inlineStr">
        <is>
          <t>Not designed yet</t>
        </is>
      </c>
    </row>
    <row r="17" ht="57.45" customHeight="1" s="14">
      <c r="A17" s="27" t="n">
        <v>46272</v>
      </c>
      <c r="B17" s="28" t="inlineStr">
        <is>
          <t>Mon</t>
        </is>
      </c>
      <c r="C17" s="28" t="n">
        <v>4</v>
      </c>
      <c r="D17" s="28" t="inlineStr">
        <is>
          <t>Botox Education Month</t>
        </is>
      </c>
      <c r="E17" s="28" t="inlineStr">
        <is>
          <t>Carousel</t>
        </is>
      </c>
      <c r="F17" s="24" t="inlineStr">
        <is>
          <t>Dark</t>
        </is>
      </c>
      <c r="G17" s="28" t="inlineStr">
        <is>
          <t>Instagram feed + GBP</t>
        </is>
      </c>
      <c r="H17" s="28" t="inlineStr">
        <is>
          <t>Education</t>
        </is>
      </c>
      <c r="I17" s="28" t="inlineStr">
        <is>
          <t>Botox vs Dysport: The Real Difference | Same family. Different personalities.</t>
        </is>
      </c>
      <c r="J17" s="28" t="inlineStr">
        <is>
          <t>The most Googled question in aesthetics, answered honestly. Slide 5 explains why you should never compare prices unit to unit. Save this for later.
#botox #botoxeducation #botoxmyths #preventativebotox #antiwrinkleinjections #nurseinjector #medspa #naturalbotox #botoxbeforeandafter #aestheticnurse</t>
        </is>
      </c>
      <c r="K17" s="28" t="inlineStr">
        <is>
          <t>Book a consult. Link in bio</t>
        </is>
      </c>
      <c r="L17" s="28" t="inlineStr">
        <is>
          <t>Set A</t>
        </is>
      </c>
      <c r="M17" s="28" t="inlineStr">
        <is>
          <t>Design in editorial template</t>
        </is>
      </c>
      <c r="N17" s="24" t="n"/>
      <c r="O17" s="24" t="inlineStr">
        <is>
          <t>https://github.com/RepoKing23/InstagramCarousel/tree/claude/med-spa-carousel-ideas-sim9wz/content/2026-09-07-botox-vs-dysport-the-real</t>
        </is>
      </c>
      <c r="P17" s="32" t="inlineStr">
        <is>
          <t>Open folder</t>
        </is>
      </c>
      <c r="Q17" s="24" t="inlineStr">
        <is>
          <t>Not designed yet</t>
        </is>
      </c>
      <c r="R17" s="24" t="n"/>
      <c r="S17" s="28" t="inlineStr">
        <is>
          <t>Idea</t>
        </is>
      </c>
      <c r="T17" s="28" t="n"/>
      <c r="U17" s="28" t="n"/>
      <c r="V17" s="28" t="n"/>
      <c r="W17" s="28" t="n"/>
      <c r="X17" s="28" t="n"/>
      <c r="Y17" s="28" t="n"/>
      <c r="Z17" s="24" t="n"/>
      <c r="AA17" s="24" t="n"/>
      <c r="AB17" s="24" t="inlineStr">
        <is>
          <t>Not designed yet</t>
        </is>
      </c>
    </row>
    <row r="18" ht="57.45" customHeight="1" s="14">
      <c r="A18" s="29" t="n">
        <v>46273</v>
      </c>
      <c r="B18" s="30" t="inlineStr">
        <is>
          <t>Tue</t>
        </is>
      </c>
      <c r="C18" s="30" t="n">
        <v>4</v>
      </c>
      <c r="D18" s="30" t="inlineStr">
        <is>
          <t>Botox Education Month</t>
        </is>
      </c>
      <c r="E18" s="30" t="inlineStr">
        <is>
          <t>Single Image</t>
        </is>
      </c>
      <c r="F18" s="24" t="inlineStr">
        <is>
          <t>Light</t>
        </is>
      </c>
      <c r="G18" s="30" t="inlineStr">
        <is>
          <t>IG + FB + TikTok photo + GBP</t>
        </is>
      </c>
      <c r="H18" s="30" t="inlineStr">
        <is>
          <t>Education</t>
        </is>
      </c>
      <c r="I18" s="30" t="inlineStr">
        <is>
          <t>Botox vs Dysport at a Glance | Same family. Different personalities.</t>
        </is>
      </c>
      <c r="J18" s="30" t="inlineStr">
        <is>
          <t>Dysport kicks in faster and spreads wider. Botox is precise. The right one depends on your face, not the price list.
#botox #botoxeducation #botoxmyths #preventativebotox #antiwrinkleinjections #nurseinjector #medspa #naturalbotox #botoxbeforeandafter #aestheticnurse</t>
        </is>
      </c>
      <c r="K18" s="30" t="inlineStr">
        <is>
          <t>Full breakdown on our feed</t>
        </is>
      </c>
      <c r="L18" s="30" t="inlineStr">
        <is>
          <t>Set A</t>
        </is>
      </c>
      <c r="M18" s="30" t="inlineStr">
        <is>
          <t>Single image: side-by-side comparison card</t>
        </is>
      </c>
      <c r="N18" s="24" t="n"/>
      <c r="O18" s="24" t="inlineStr">
        <is>
          <t>https://github.com/RepoKing23/InstagramCarousel/tree/claude/med-spa-carousel-ideas-sim9wz/content/2026-09-08-botox-vs-dysport-at-a</t>
        </is>
      </c>
      <c r="P18" s="34" t="inlineStr">
        <is>
          <t>Open folder</t>
        </is>
      </c>
      <c r="Q18" s="24" t="inlineStr">
        <is>
          <t>Not designed yet</t>
        </is>
      </c>
      <c r="R18" s="24" t="n"/>
      <c r="S18" s="30" t="inlineStr">
        <is>
          <t>Idea</t>
        </is>
      </c>
      <c r="T18" s="30" t="n"/>
      <c r="U18" s="30" t="n"/>
      <c r="V18" s="30" t="n"/>
      <c r="W18" s="30" t="n"/>
      <c r="X18" s="30" t="n"/>
      <c r="Y18" s="30" t="n"/>
      <c r="Z18" s="24" t="n"/>
      <c r="AA18" s="24" t="n"/>
      <c r="AB18" s="24" t="inlineStr">
        <is>
          <t>Not designed yet</t>
        </is>
      </c>
    </row>
    <row r="19" ht="57.45" customHeight="1" s="14">
      <c r="A19" s="27" t="n">
        <v>46275</v>
      </c>
      <c r="B19" s="28" t="inlineStr">
        <is>
          <t>Thu</t>
        </is>
      </c>
      <c r="C19" s="28" t="n">
        <v>4</v>
      </c>
      <c r="D19" s="28" t="inlineStr">
        <is>
          <t>Botox Education Month</t>
        </is>
      </c>
      <c r="E19" s="28" t="inlineStr">
        <is>
          <t>Carousel</t>
        </is>
      </c>
      <c r="F19" s="24" t="inlineStr">
        <is>
          <t>Light</t>
        </is>
      </c>
      <c r="G19" s="28" t="inlineStr">
        <is>
          <t>Instagram feed + GBP</t>
        </is>
      </c>
      <c r="H19" s="28" t="inlineStr">
        <is>
          <t>Education</t>
        </is>
      </c>
      <c r="I19" s="28" t="inlineStr">
        <is>
          <t>Botox Aftercare: The First 48 Hours | You got Botox. Now what?</t>
        </is>
      </c>
      <c r="J19" s="28" t="inlineStr">
        <is>
          <t>The first 48 hours matter more than most people think. Here is exactly what to do, what to skip, and when to call me. Bookmark this one.
#botox #botoxeducation #botoxmyths #preventativebotox #antiwrinkleinjections #nurseinjector #medspa #naturalbotox #botoxbeforeandafter #aestheticnurse</t>
        </is>
      </c>
      <c r="K19" s="28" t="inlineStr">
        <is>
          <t>Save this guide</t>
        </is>
      </c>
      <c r="L19" s="28" t="inlineStr">
        <is>
          <t>Set A</t>
        </is>
      </c>
      <c r="M19" s="28" t="inlineStr">
        <is>
          <t>Design in editorial template</t>
        </is>
      </c>
      <c r="N19" s="24" t="n"/>
      <c r="O19" s="24" t="inlineStr">
        <is>
          <t>https://github.com/RepoKing23/InstagramCarousel/tree/claude/med-spa-carousel-ideas-sim9wz/content/2026-09-10-botox-aftercare-the-first-48</t>
        </is>
      </c>
      <c r="P19" s="32" t="inlineStr">
        <is>
          <t>Open folder</t>
        </is>
      </c>
      <c r="Q19" s="24" t="inlineStr">
        <is>
          <t>Not designed yet</t>
        </is>
      </c>
      <c r="R19" s="24" t="n"/>
      <c r="S19" s="28" t="inlineStr">
        <is>
          <t>Idea</t>
        </is>
      </c>
      <c r="T19" s="28" t="n"/>
      <c r="U19" s="28" t="n"/>
      <c r="V19" s="28" t="n"/>
      <c r="W19" s="28" t="n"/>
      <c r="X19" s="28" t="n"/>
      <c r="Y19" s="28" t="n"/>
      <c r="Z19" s="24" t="n"/>
      <c r="AA19" s="24" t="n"/>
      <c r="AB19" s="24" t="inlineStr">
        <is>
          <t>Not designed yet</t>
        </is>
      </c>
    </row>
    <row r="20" ht="57.45" customHeight="1" s="14">
      <c r="A20" s="29" t="n">
        <v>46276</v>
      </c>
      <c r="B20" s="30" t="inlineStr">
        <is>
          <t>Fri</t>
        </is>
      </c>
      <c r="C20" s="30" t="n">
        <v>4</v>
      </c>
      <c r="D20" s="30" t="inlineStr">
        <is>
          <t>Botox Education Month</t>
        </is>
      </c>
      <c r="E20" s="30" t="inlineStr">
        <is>
          <t>Single Image</t>
        </is>
      </c>
      <c r="F20" s="24" t="inlineStr">
        <is>
          <t>Light</t>
        </is>
      </c>
      <c r="G20" s="30" t="inlineStr">
        <is>
          <t>IG + FB + TikTok photo + GBP</t>
        </is>
      </c>
      <c r="H20" s="30" t="inlineStr">
        <is>
          <t>Trust &amp; Proof</t>
        </is>
      </c>
      <c r="I20" s="30" t="inlineStr">
        <is>
          <t>The Face Map | Every face gets a plan.</t>
        </is>
      </c>
      <c r="J20" s="30" t="inlineStr">
        <is>
          <t>Nothing touches your skin before I map your anatomy, your movement, and your goals. Planning is the treatment.
#npinjector #nursepractitioner #medspalife #luxurybeauty #aestheticnurse #skincareexpert #beautyclinic #selfcare #naturalresults #honestbeauty</t>
        </is>
      </c>
      <c r="K20" s="30" t="inlineStr">
        <is>
          <t>Book your mapping. Link in bio</t>
        </is>
      </c>
      <c r="L20" s="30" t="inlineStr">
        <is>
          <t>Set C</t>
        </is>
      </c>
      <c r="M20" s="30" t="inlineStr">
        <is>
          <t>Single image: assessment photo + hook</t>
        </is>
      </c>
      <c r="N20" s="24" t="n"/>
      <c r="O20" s="24" t="inlineStr">
        <is>
          <t>https://github.com/RepoKing23/InstagramCarousel/tree/claude/med-spa-carousel-ideas-sim9wz/content/2026-09-11-the-face-map</t>
        </is>
      </c>
      <c r="P20" s="34" t="inlineStr">
        <is>
          <t>Open folder</t>
        </is>
      </c>
      <c r="Q20" s="24" t="inlineStr">
        <is>
          <t>Not designed yet</t>
        </is>
      </c>
      <c r="R20" s="24" t="n"/>
      <c r="S20" s="30" t="inlineStr">
        <is>
          <t>Idea</t>
        </is>
      </c>
      <c r="T20" s="30" t="n"/>
      <c r="U20" s="30" t="n"/>
      <c r="V20" s="30" t="n"/>
      <c r="W20" s="30" t="n"/>
      <c r="X20" s="30" t="n"/>
      <c r="Y20" s="30" t="n"/>
      <c r="Z20" s="24" t="n"/>
      <c r="AA20" s="24" t="n"/>
      <c r="AB20" s="24" t="inlineStr">
        <is>
          <t>Not designed yet</t>
        </is>
      </c>
    </row>
    <row r="21" ht="57.45" customHeight="1" s="14">
      <c r="A21" s="29" t="n">
        <v>46277</v>
      </c>
      <c r="B21" s="30" t="inlineStr">
        <is>
          <t>Sat</t>
        </is>
      </c>
      <c r="C21" s="30" t="n">
        <v>4</v>
      </c>
      <c r="D21" s="30" t="inlineStr">
        <is>
          <t>Botox Education Month</t>
        </is>
      </c>
      <c r="E21" s="30" t="inlineStr">
        <is>
          <t>Single Image</t>
        </is>
      </c>
      <c r="F21" s="24" t="inlineStr">
        <is>
          <t>Dark</t>
        </is>
      </c>
      <c r="G21" s="30" t="inlineStr">
        <is>
          <t>IG + FB + TikTok photo + GBP</t>
        </is>
      </c>
      <c r="H21" s="30" t="inlineStr">
        <is>
          <t>Education</t>
        </is>
      </c>
      <c r="I21" s="30" t="inlineStr">
        <is>
          <t>FAQ: Does Botox Hurt? | Honest answer, no fluff.</t>
        </is>
      </c>
      <c r="J21" s="30" t="inlineStr">
        <is>
          <t>Honestly? Less than plucking a brow. Tiny needle, a few seconds per area, and numbing if you want it. Most people say wait, that was it?
#npinjector #nursepractitioner #medspalife #luxurybeauty #aestheticnurse #skincareexpert #beautyclinic #selfcare #naturalresults #honestbeauty</t>
        </is>
      </c>
      <c r="K21" s="30" t="inlineStr">
        <is>
          <t>More questions? DM me</t>
        </is>
      </c>
      <c r="L21" s="30" t="inlineStr">
        <is>
          <t>Set C</t>
        </is>
      </c>
      <c r="M21" s="30" t="inlineStr">
        <is>
          <t>FAQ card in brand style</t>
        </is>
      </c>
      <c r="N21" s="24" t="n"/>
      <c r="O21" s="24" t="inlineStr">
        <is>
          <t>https://github.com/RepoKing23/InstagramCarousel/tree/claude/med-spa-carousel-ideas-sim9wz/content/2026-09-12-faq-does-botox-hurt</t>
        </is>
      </c>
      <c r="P21" s="34" t="inlineStr">
        <is>
          <t>Open folder</t>
        </is>
      </c>
      <c r="Q21" s="24" t="inlineStr">
        <is>
          <t>Not designed yet</t>
        </is>
      </c>
      <c r="R21" s="24" t="n"/>
      <c r="S21" s="30" t="inlineStr">
        <is>
          <t>Idea</t>
        </is>
      </c>
      <c r="T21" s="30" t="n"/>
      <c r="U21" s="30" t="n"/>
      <c r="V21" s="30" t="n"/>
      <c r="W21" s="30" t="n"/>
      <c r="X21" s="30" t="n"/>
      <c r="Y21" s="30" t="n"/>
      <c r="Z21" s="24" t="n"/>
      <c r="AA21" s="24" t="n"/>
      <c r="AB21" s="24" t="inlineStr">
        <is>
          <t>Not designed yet</t>
        </is>
      </c>
    </row>
    <row r="22" ht="57.45" customHeight="1" s="14">
      <c r="A22" s="27" t="n">
        <v>46279</v>
      </c>
      <c r="B22" s="28" t="inlineStr">
        <is>
          <t>Mon</t>
        </is>
      </c>
      <c r="C22" s="28" t="n">
        <v>5</v>
      </c>
      <c r="D22" s="28" t="inlineStr">
        <is>
          <t>Botox Education Month</t>
        </is>
      </c>
      <c r="E22" s="28" t="inlineStr">
        <is>
          <t>Carousel</t>
        </is>
      </c>
      <c r="F22" s="24" t="inlineStr">
        <is>
          <t>Dark</t>
        </is>
      </c>
      <c r="G22" s="28" t="inlineStr">
        <is>
          <t>Instagram feed + GBP</t>
        </is>
      </c>
      <c r="H22" s="28" t="inlineStr">
        <is>
          <t>Trust &amp; Proof</t>
        </is>
      </c>
      <c r="I22" s="28" t="inlineStr">
        <is>
          <t>5 Things Botox Can't Do | Honest expectations, always.</t>
        </is>
      </c>
      <c r="J22" s="28" t="inlineStr">
        <is>
          <t>Botox is amazing at what it does. But it cannot do everything, and anyone who says otherwise is selling you something. Here is what it fixes and what needs a different plan.
#botox #botoxeducation #botoxmyths #preventativebotox #antiwrinkleinjections #nurseinjector #medspa #naturalbotox #botoxbeforeandafter #aestheticnurse</t>
        </is>
      </c>
      <c r="K22" s="28" t="inlineStr">
        <is>
          <t>Comment your questions</t>
        </is>
      </c>
      <c r="L22" s="28" t="inlineStr">
        <is>
          <t>Set A</t>
        </is>
      </c>
      <c r="M22" s="28" t="inlineStr">
        <is>
          <t>Design in editorial template</t>
        </is>
      </c>
      <c r="N22" s="24" t="n"/>
      <c r="O22" s="24" t="inlineStr">
        <is>
          <t>https://github.com/RepoKing23/InstagramCarousel/tree/claude/med-spa-carousel-ideas-sim9wz/content/2026-09-14-5-things-botox-can-t</t>
        </is>
      </c>
      <c r="P22" s="32" t="inlineStr">
        <is>
          <t>Open folder</t>
        </is>
      </c>
      <c r="Q22" s="24" t="inlineStr">
        <is>
          <t>Not designed yet</t>
        </is>
      </c>
      <c r="R22" s="24" t="n"/>
      <c r="S22" s="28" t="inlineStr">
        <is>
          <t>Idea</t>
        </is>
      </c>
      <c r="T22" s="28" t="n"/>
      <c r="U22" s="28" t="n"/>
      <c r="V22" s="28" t="n"/>
      <c r="W22" s="28" t="n"/>
      <c r="X22" s="28" t="n"/>
      <c r="Y22" s="28" t="n"/>
      <c r="Z22" s="24" t="n"/>
      <c r="AA22" s="24" t="n"/>
      <c r="AB22" s="24" t="inlineStr">
        <is>
          <t>Not designed yet</t>
        </is>
      </c>
    </row>
    <row r="23" ht="57.45" customHeight="1" s="14">
      <c r="A23" s="29" t="n">
        <v>46280</v>
      </c>
      <c r="B23" s="30" t="inlineStr">
        <is>
          <t>Tue</t>
        </is>
      </c>
      <c r="C23" s="30" t="n">
        <v>5</v>
      </c>
      <c r="D23" s="30" t="inlineStr">
        <is>
          <t>Botox Education Month</t>
        </is>
      </c>
      <c r="E23" s="30" t="inlineStr">
        <is>
          <t>Single Image</t>
        </is>
      </c>
      <c r="F23" s="24" t="inlineStr">
        <is>
          <t>Light</t>
        </is>
      </c>
      <c r="G23" s="30" t="inlineStr">
        <is>
          <t>IG + FB + TikTok photo + GBP</t>
        </is>
      </c>
      <c r="H23" s="30" t="inlineStr">
        <is>
          <t>Education</t>
        </is>
      </c>
      <c r="I23" s="30" t="inlineStr">
        <is>
          <t>What Botox Can't Fix | Honest expectations, always.</t>
        </is>
      </c>
      <c r="J23" s="30" t="inlineStr">
        <is>
          <t>Sagging skin, volume loss, texture. Botox is not the tool for everything, and I would rather tell you that now than take your money and disappoint you.
#botox #botoxeducation #botoxmyths #preventativebotox #antiwrinkleinjections #nurseinjector #medspa #naturalbotox #botoxbeforeandafter #aestheticnurse</t>
        </is>
      </c>
      <c r="K23" s="30" t="inlineStr">
        <is>
          <t>Save this</t>
        </is>
      </c>
      <c r="L23" s="30" t="inlineStr">
        <is>
          <t>Set A</t>
        </is>
      </c>
      <c r="M23" s="30" t="inlineStr">
        <is>
          <t>Single image: myth-vs-reality card</t>
        </is>
      </c>
      <c r="N23" s="24" t="n"/>
      <c r="O23" s="24" t="inlineStr">
        <is>
          <t>https://github.com/RepoKing23/InstagramCarousel/tree/claude/med-spa-carousel-ideas-sim9wz/content/2026-09-15-what-botox-can-t-fix</t>
        </is>
      </c>
      <c r="P23" s="34" t="inlineStr">
        <is>
          <t>Open folder</t>
        </is>
      </c>
      <c r="Q23" s="24" t="inlineStr">
        <is>
          <t>Not designed yet</t>
        </is>
      </c>
      <c r="R23" s="24" t="n"/>
      <c r="S23" s="30" t="inlineStr">
        <is>
          <t>Idea</t>
        </is>
      </c>
      <c r="T23" s="30" t="n"/>
      <c r="U23" s="30" t="n"/>
      <c r="V23" s="30" t="n"/>
      <c r="W23" s="30" t="n"/>
      <c r="X23" s="30" t="n"/>
      <c r="Y23" s="30" t="n"/>
      <c r="Z23" s="24" t="n"/>
      <c r="AA23" s="24" t="n"/>
      <c r="AB23" s="24" t="inlineStr">
        <is>
          <t>Not designed yet</t>
        </is>
      </c>
    </row>
    <row r="24" ht="57.45" customHeight="1" s="14">
      <c r="A24" s="27" t="n">
        <v>46282</v>
      </c>
      <c r="B24" s="28" t="inlineStr">
        <is>
          <t>Thu</t>
        </is>
      </c>
      <c r="C24" s="28" t="n">
        <v>5</v>
      </c>
      <c r="D24" s="28" t="inlineStr">
        <is>
          <t>Botox Education Month</t>
        </is>
      </c>
      <c r="E24" s="28" t="inlineStr">
        <is>
          <t>Carousel</t>
        </is>
      </c>
      <c r="F24" s="24" t="inlineStr">
        <is>
          <t>Light</t>
        </is>
      </c>
      <c r="G24" s="28" t="inlineStr">
        <is>
          <t>Instagram feed + GBP</t>
        </is>
      </c>
      <c r="H24" s="28" t="inlineStr">
        <is>
          <t>Trust &amp; Proof</t>
        </is>
      </c>
      <c r="I24" s="28" t="inlineStr">
        <is>
          <t>Still You, Just Refreshed | You won't look done. You'll look rested.</t>
        </is>
      </c>
      <c r="J24" s="28" t="inlineStr">
        <is>
          <t>The 2026 standard is not transformation. It is restoration. My goal is that people ask if you have been on vacation, not what you had done. 💛
#npinjector #nursepractitioner #medspalife #luxurybeauty #aestheticnurse #skincareexpert #beautyclinic #selfcare #naturalresults #honestbeauty</t>
        </is>
      </c>
      <c r="K24" s="28" t="inlineStr">
        <is>
          <t>DM GLOW to start</t>
        </is>
      </c>
      <c r="L24" s="28" t="inlineStr">
        <is>
          <t>Set C</t>
        </is>
      </c>
      <c r="M24" s="28" t="inlineStr">
        <is>
          <t>Template exists (design/slides.html), needs photos</t>
        </is>
      </c>
      <c r="N24" s="24" t="n"/>
      <c r="O24" s="24" t="inlineStr">
        <is>
          <t>https://github.com/RepoKing23/InstagramCarousel/tree/claude/med-spa-carousel-ideas-sim9wz/content/2026-09-17-still-you-just-refreshed</t>
        </is>
      </c>
      <c r="P24" s="32" t="inlineStr">
        <is>
          <t>Open folder</t>
        </is>
      </c>
      <c r="Q24" s="24" t="inlineStr">
        <is>
          <t>Not designed yet</t>
        </is>
      </c>
      <c r="R24" s="24" t="n"/>
      <c r="S24" s="28" t="inlineStr">
        <is>
          <t>Idea</t>
        </is>
      </c>
      <c r="T24" s="28" t="n"/>
      <c r="U24" s="28" t="n"/>
      <c r="V24" s="28" t="n"/>
      <c r="W24" s="28" t="n"/>
      <c r="X24" s="28" t="n"/>
      <c r="Y24" s="28" t="n"/>
      <c r="Z24" s="24" t="n"/>
      <c r="AA24" s="24" t="n"/>
      <c r="AB24" s="24" t="inlineStr">
        <is>
          <t>Not designed yet</t>
        </is>
      </c>
    </row>
    <row r="25" ht="57.45" customHeight="1" s="14">
      <c r="A25" s="29" t="n">
        <v>46283</v>
      </c>
      <c r="B25" s="30" t="inlineStr">
        <is>
          <t>Fri</t>
        </is>
      </c>
      <c r="C25" s="30" t="n">
        <v>5</v>
      </c>
      <c r="D25" s="30" t="inlineStr">
        <is>
          <t>Botox Education Month</t>
        </is>
      </c>
      <c r="E25" s="30" t="inlineStr">
        <is>
          <t>Single Image</t>
        </is>
      </c>
      <c r="F25" s="24" t="inlineStr">
        <is>
          <t>Light</t>
        </is>
      </c>
      <c r="G25" s="30" t="inlineStr">
        <is>
          <t>IG + FB + TikTok photo + GBP</t>
        </is>
      </c>
      <c r="H25" s="30" t="inlineStr">
        <is>
          <t>Education</t>
        </is>
      </c>
      <c r="I25" s="30" t="inlineStr">
        <is>
          <t>Myth vs Truth: The Frozen Face | The classic fear, debunked.</t>
        </is>
      </c>
      <c r="J25" s="30" t="inlineStr">
        <is>
          <t>MYTH: Botox freezes your face. TRUTH: correct dosing softens movement while you keep every expression that makes you, you.
#botox #botoxeducation #botoxmyths #preventativebotox #antiwrinkleinjections #nurseinjector #medspa #naturalbotox #botoxbeforeandafter #aestheticnurse</t>
        </is>
      </c>
      <c r="K25" s="30" t="inlineStr">
        <is>
          <t>Share with a friend</t>
        </is>
      </c>
      <c r="L25" s="30" t="inlineStr">
        <is>
          <t>Set A</t>
        </is>
      </c>
      <c r="M25" s="30" t="inlineStr">
        <is>
          <t>Single image: myth vs truth split card</t>
        </is>
      </c>
      <c r="N25" s="24" t="n"/>
      <c r="O25" s="24" t="inlineStr">
        <is>
          <t>https://github.com/RepoKing23/InstagramCarousel/tree/claude/med-spa-carousel-ideas-sim9wz/content/2026-09-18-myth-vs-truth-the-frozen</t>
        </is>
      </c>
      <c r="P25" s="34" t="inlineStr">
        <is>
          <t>Open folder</t>
        </is>
      </c>
      <c r="Q25" s="24" t="inlineStr">
        <is>
          <t>Not designed yet</t>
        </is>
      </c>
      <c r="R25" s="24" t="n"/>
      <c r="S25" s="30" t="inlineStr">
        <is>
          <t>Idea</t>
        </is>
      </c>
      <c r="T25" s="30" t="n"/>
      <c r="U25" s="30" t="n"/>
      <c r="V25" s="30" t="n"/>
      <c r="W25" s="30" t="n"/>
      <c r="X25" s="30" t="n"/>
      <c r="Y25" s="30" t="n"/>
      <c r="Z25" s="24" t="n"/>
      <c r="AA25" s="24" t="n"/>
      <c r="AB25" s="24" t="inlineStr">
        <is>
          <t>Not designed yet</t>
        </is>
      </c>
    </row>
    <row r="26" ht="57.45" customHeight="1" s="14">
      <c r="A26" s="29" t="n">
        <v>46284</v>
      </c>
      <c r="B26" s="30" t="inlineStr">
        <is>
          <t>Sat</t>
        </is>
      </c>
      <c r="C26" s="30" t="n">
        <v>5</v>
      </c>
      <c r="D26" s="30" t="inlineStr">
        <is>
          <t>Botox Education Month</t>
        </is>
      </c>
      <c r="E26" s="30" t="inlineStr">
        <is>
          <t>Single Image</t>
        </is>
      </c>
      <c r="F26" s="24" t="inlineStr">
        <is>
          <t>Dark</t>
        </is>
      </c>
      <c r="G26" s="30" t="inlineStr">
        <is>
          <t>IG + FB + TikTok photo + GBP</t>
        </is>
      </c>
      <c r="H26" s="30" t="inlineStr">
        <is>
          <t>Trust &amp; Proof</t>
        </is>
      </c>
      <c r="I26" s="30" t="inlineStr">
        <is>
          <t>Client Words: Natural Results | Nobody guessed. That was the whole point.</t>
        </is>
      </c>
      <c r="J26" s="30" t="inlineStr">
        <is>
          <t>Nobody could tell. They just kept saying I looked happy and rested. That is the whole goal. 💛 (Shared with permission.)
#npinjector #nursepractitioner #medspalife #luxurybeauty #aestheticnurse #skincareexpert #beautyclinic #selfcare #naturalresults #honestbeauty</t>
        </is>
      </c>
      <c r="K26" s="30" t="inlineStr">
        <is>
          <t>Your turn. Link in bio</t>
        </is>
      </c>
      <c r="L26" s="30" t="inlineStr">
        <is>
          <t>Set C</t>
        </is>
      </c>
      <c r="M26" s="30" t="inlineStr">
        <is>
          <t>Testimonial quote card (with consent)</t>
        </is>
      </c>
      <c r="N26" s="24" t="n"/>
      <c r="O26" s="24" t="inlineStr">
        <is>
          <t>https://github.com/RepoKing23/InstagramCarousel/tree/claude/med-spa-carousel-ideas-sim9wz/content/2026-09-19-client-words-natural-results</t>
        </is>
      </c>
      <c r="P26" s="34" t="inlineStr">
        <is>
          <t>Open folder</t>
        </is>
      </c>
      <c r="Q26" s="24" t="inlineStr">
        <is>
          <t>Not designed yet</t>
        </is>
      </c>
      <c r="R26" s="24" t="n"/>
      <c r="S26" s="30" t="inlineStr">
        <is>
          <t>Idea</t>
        </is>
      </c>
      <c r="T26" s="30" t="n"/>
      <c r="U26" s="30" t="n"/>
      <c r="V26" s="30" t="n"/>
      <c r="W26" s="30" t="n"/>
      <c r="X26" s="30" t="n"/>
      <c r="Y26" s="30" t="n"/>
      <c r="Z26" s="24" t="n"/>
      <c r="AA26" s="24" t="n"/>
      <c r="AB26" s="24" t="inlineStr">
        <is>
          <t>Not designed yet</t>
        </is>
      </c>
    </row>
    <row r="27" ht="57.45" customHeight="1" s="14">
      <c r="A27" s="27" t="n">
        <v>46286</v>
      </c>
      <c r="B27" s="28" t="inlineStr">
        <is>
          <t>Mon</t>
        </is>
      </c>
      <c r="C27" s="28" t="n">
        <v>6</v>
      </c>
      <c r="D27" s="28" t="inlineStr">
        <is>
          <t>Botox Education Month</t>
        </is>
      </c>
      <c r="E27" s="28" t="inlineStr">
        <is>
          <t>Carousel</t>
        </is>
      </c>
      <c r="F27" s="24" t="inlineStr">
        <is>
          <t>Light</t>
        </is>
      </c>
      <c r="G27" s="28" t="inlineStr">
        <is>
          <t>Instagram feed + GBP</t>
        </is>
      </c>
      <c r="H27" s="28" t="inlineStr">
        <is>
          <t>Education</t>
        </is>
      </c>
      <c r="I27" s="28" t="inlineStr">
        <is>
          <t>Botox or Filler? You Might Be Asking for the Wrong One | Lines or volume? They are not the same problem.</t>
        </is>
      </c>
      <c r="J27" s="28" t="inlineStr">
        <is>
          <t>Half the DMs I get ask for the wrong treatment. Here is the simple way to know whether your concern is about movement or volume, and what that means for your plan.
#dermalfiller #lipfiller #cheekfiller #naturalfiller #facialbalancing #lipfillernatural #aestheticnurse #medspa #fillerjourney #lipgoals</t>
        </is>
      </c>
      <c r="K27" s="28" t="inlineStr">
        <is>
          <t>DM CONSULT and I will help</t>
        </is>
      </c>
      <c r="L27" s="28" t="inlineStr">
        <is>
          <t>Set B</t>
        </is>
      </c>
      <c r="M27" s="28" t="inlineStr">
        <is>
          <t>Design in editorial template</t>
        </is>
      </c>
      <c r="N27" s="24" t="n"/>
      <c r="O27" s="24" t="inlineStr">
        <is>
          <t>https://github.com/RepoKing23/InstagramCarousel/tree/claude/med-spa-carousel-ideas-sim9wz/content/2026-09-21-botox-or-filler-you-might</t>
        </is>
      </c>
      <c r="P27" s="32" t="inlineStr">
        <is>
          <t>Open folder</t>
        </is>
      </c>
      <c r="Q27" s="24" t="inlineStr">
        <is>
          <t>Not designed yet</t>
        </is>
      </c>
      <c r="R27" s="24" t="n"/>
      <c r="S27" s="28" t="inlineStr">
        <is>
          <t>Idea</t>
        </is>
      </c>
      <c r="T27" s="28" t="n"/>
      <c r="U27" s="28" t="n"/>
      <c r="V27" s="28" t="n"/>
      <c r="W27" s="28" t="n"/>
      <c r="X27" s="28" t="n"/>
      <c r="Y27" s="28" t="n"/>
      <c r="Z27" s="24" t="n"/>
      <c r="AA27" s="24" t="n"/>
      <c r="AB27" s="24" t="inlineStr">
        <is>
          <t>Not designed yet</t>
        </is>
      </c>
    </row>
    <row r="28" ht="57.45" customHeight="1" s="14">
      <c r="A28" s="29" t="n">
        <v>46287</v>
      </c>
      <c r="B28" s="30" t="inlineStr">
        <is>
          <t>Tue</t>
        </is>
      </c>
      <c r="C28" s="30" t="n">
        <v>6</v>
      </c>
      <c r="D28" s="30" t="inlineStr">
        <is>
          <t>Botox Education Month</t>
        </is>
      </c>
      <c r="E28" s="30" t="inlineStr">
        <is>
          <t>Single Image</t>
        </is>
      </c>
      <c r="F28" s="24" t="inlineStr">
        <is>
          <t>Light</t>
        </is>
      </c>
      <c r="G28" s="30" t="inlineStr">
        <is>
          <t>IG + FB + TikTok photo + GBP</t>
        </is>
      </c>
      <c r="H28" s="30" t="inlineStr">
        <is>
          <t>Education</t>
        </is>
      </c>
      <c r="I28" s="30" t="inlineStr">
        <is>
          <t>Lines vs Volume | Which one is your concern?</t>
        </is>
      </c>
      <c r="J28" s="30" t="inlineStr">
        <is>
          <t>Smile in the mirror. Movement lines need Botox. Lost volume needs filler. The answer decides your plan.
#dermalfiller #lipfiller #cheekfiller #naturalfiller #facialbalancing #lipfillernatural #aestheticnurse #medspa #fillerjourney #lipgoals</t>
        </is>
      </c>
      <c r="K28" s="30" t="inlineStr">
        <is>
          <t>DM CONSULT for help</t>
        </is>
      </c>
      <c r="L28" s="30" t="inlineStr">
        <is>
          <t>Set B</t>
        </is>
      </c>
      <c r="M28" s="30" t="inlineStr">
        <is>
          <t>Single image: two-column explainer card</t>
        </is>
      </c>
      <c r="N28" s="24" t="n"/>
      <c r="O28" s="24" t="inlineStr">
        <is>
          <t>https://github.com/RepoKing23/InstagramCarousel/tree/claude/med-spa-carousel-ideas-sim9wz/content/2026-09-22-lines-vs-volume</t>
        </is>
      </c>
      <c r="P28" s="34" t="inlineStr">
        <is>
          <t>Open folder</t>
        </is>
      </c>
      <c r="Q28" s="24" t="inlineStr">
        <is>
          <t>Not designed yet</t>
        </is>
      </c>
      <c r="R28" s="24" t="n"/>
      <c r="S28" s="30" t="inlineStr">
        <is>
          <t>Idea</t>
        </is>
      </c>
      <c r="T28" s="30" t="n"/>
      <c r="U28" s="30" t="n"/>
      <c r="V28" s="30" t="n"/>
      <c r="W28" s="30" t="n"/>
      <c r="X28" s="30" t="n"/>
      <c r="Y28" s="30" t="n"/>
      <c r="Z28" s="24" t="n"/>
      <c r="AA28" s="24" t="n"/>
      <c r="AB28" s="24" t="inlineStr">
        <is>
          <t>Not designed yet</t>
        </is>
      </c>
    </row>
    <row r="29" ht="57.45" customHeight="1" s="14">
      <c r="A29" s="27" t="n">
        <v>46289</v>
      </c>
      <c r="B29" s="28" t="inlineStr">
        <is>
          <t>Thu</t>
        </is>
      </c>
      <c r="C29" s="28" t="n">
        <v>6</v>
      </c>
      <c r="D29" s="28" t="inlineStr">
        <is>
          <t>Botox Education Month</t>
        </is>
      </c>
      <c r="E29" s="28" t="inlineStr">
        <is>
          <t>Carousel</t>
        </is>
      </c>
      <c r="F29" s="24" t="inlineStr">
        <is>
          <t>Light</t>
        </is>
      </c>
      <c r="G29" s="28" t="inlineStr">
        <is>
          <t>Instagram feed + GBP</t>
        </is>
      </c>
      <c r="H29" s="28" t="inlineStr">
        <is>
          <t>Personality &amp; BTS</t>
        </is>
      </c>
      <c r="I29" s="28" t="inlineStr">
        <is>
          <t>Ask NP Cleo: Your Questions, Answered Honestly | You asked. I answered. No filter.</t>
        </is>
      </c>
      <c r="J29" s="28" t="inlineStr">
        <is>
          <t>This month you sent amazing questions. Here are the honest answers, including the one nobody else will give you about cheap Botox. Keep them coming. 👇
#npinjector #nursepractitioner #medspalife #luxurybeauty #aestheticnurse #skincareexpert #beautyclinic #selfcare #naturalresults #honestbeauty</t>
        </is>
      </c>
      <c r="K29" s="28" t="inlineStr">
        <is>
          <t>Drop your question below</t>
        </is>
      </c>
      <c r="L29" s="28" t="inlineStr">
        <is>
          <t>Set C</t>
        </is>
      </c>
      <c r="M29" s="28" t="inlineStr">
        <is>
          <t>Design Q&amp;A layout from real DM questions</t>
        </is>
      </c>
      <c r="N29" s="24" t="n"/>
      <c r="O29" s="24" t="inlineStr">
        <is>
          <t>https://github.com/RepoKing23/InstagramCarousel/tree/claude/med-spa-carousel-ideas-sim9wz/content/2026-09-24-ask-np-cleo-your-questions</t>
        </is>
      </c>
      <c r="P29" s="32" t="inlineStr">
        <is>
          <t>Open folder</t>
        </is>
      </c>
      <c r="Q29" s="24" t="inlineStr">
        <is>
          <t>Not designed yet</t>
        </is>
      </c>
      <c r="R29" s="24" t="n"/>
      <c r="S29" s="28" t="inlineStr">
        <is>
          <t>Idea</t>
        </is>
      </c>
      <c r="T29" s="28" t="n"/>
      <c r="U29" s="28" t="n"/>
      <c r="V29" s="28" t="n"/>
      <c r="W29" s="28" t="n"/>
      <c r="X29" s="28" t="n"/>
      <c r="Y29" s="28" t="n"/>
      <c r="Z29" s="24" t="n"/>
      <c r="AA29" s="24" t="n"/>
      <c r="AB29" s="24" t="inlineStr">
        <is>
          <t>Not designed yet</t>
        </is>
      </c>
    </row>
    <row r="30" ht="57.45" customHeight="1" s="14">
      <c r="A30" s="29" t="n">
        <v>46290</v>
      </c>
      <c r="B30" s="30" t="inlineStr">
        <is>
          <t>Fri</t>
        </is>
      </c>
      <c r="C30" s="30" t="n">
        <v>6</v>
      </c>
      <c r="D30" s="30" t="inlineStr">
        <is>
          <t>Botox Education Month</t>
        </is>
      </c>
      <c r="E30" s="30" t="inlineStr">
        <is>
          <t>Single Image</t>
        </is>
      </c>
      <c r="F30" s="24" t="inlineStr">
        <is>
          <t>Dark</t>
        </is>
      </c>
      <c r="G30" s="30" t="inlineStr">
        <is>
          <t>IG + FB + TikTok photo + GBP</t>
        </is>
      </c>
      <c r="H30" s="30" t="inlineStr">
        <is>
          <t>Personality &amp; BTS</t>
        </is>
      </c>
      <c r="I30" s="30" t="inlineStr">
        <is>
          <t>Your DMs, Answered | The question everyone asks quietly.</t>
        </is>
      </c>
      <c r="J30" s="30" t="inlineStr">
        <is>
          <t>You asked: will people know I had work done? Honest answer: only if you want them to. Subtle is the standard here.
#npinjector #nursepractitioner #medspalife #luxurybeauty #aestheticnurse #skincareexpert #beautyclinic #selfcare #naturalresults #honestbeauty</t>
        </is>
      </c>
      <c r="K30" s="30" t="inlineStr">
        <is>
          <t>Send your question</t>
        </is>
      </c>
      <c r="L30" s="30" t="inlineStr">
        <is>
          <t>Set C</t>
        </is>
      </c>
      <c r="M30" s="30" t="inlineStr">
        <is>
          <t>Single image: Q&amp;A card in brand style</t>
        </is>
      </c>
      <c r="N30" s="24" t="n"/>
      <c r="O30" s="24" t="inlineStr">
        <is>
          <t>https://github.com/RepoKing23/InstagramCarousel/tree/claude/med-spa-carousel-ideas-sim9wz/content/2026-09-25-your-dms-answered</t>
        </is>
      </c>
      <c r="P30" s="34" t="inlineStr">
        <is>
          <t>Open folder</t>
        </is>
      </c>
      <c r="Q30" s="24" t="inlineStr">
        <is>
          <t>Not designed yet</t>
        </is>
      </c>
      <c r="R30" s="24" t="n"/>
      <c r="S30" s="30" t="inlineStr">
        <is>
          <t>Idea</t>
        </is>
      </c>
      <c r="T30" s="30" t="n"/>
      <c r="U30" s="30" t="n"/>
      <c r="V30" s="30" t="n"/>
      <c r="W30" s="30" t="n"/>
      <c r="X30" s="30" t="n"/>
      <c r="Y30" s="30" t="n"/>
      <c r="Z30" s="24" t="n"/>
      <c r="AA30" s="24" t="n"/>
      <c r="AB30" s="24" t="inlineStr">
        <is>
          <t>Not designed yet</t>
        </is>
      </c>
    </row>
    <row r="31" ht="57.45" customHeight="1" s="14">
      <c r="A31" s="29" t="n">
        <v>46291</v>
      </c>
      <c r="B31" s="30" t="inlineStr">
        <is>
          <t>Sat</t>
        </is>
      </c>
      <c r="C31" s="30" t="n">
        <v>6</v>
      </c>
      <c r="D31" s="30" t="inlineStr">
        <is>
          <t>Botox Education Month</t>
        </is>
      </c>
      <c r="E31" s="30" t="inlineStr">
        <is>
          <t>Single Image</t>
        </is>
      </c>
      <c r="F31" s="24" t="inlineStr">
        <is>
          <t>Dark</t>
        </is>
      </c>
      <c r="G31" s="30" t="inlineStr">
        <is>
          <t>IG + FB + TikTok photo + GBP</t>
        </is>
      </c>
      <c r="H31" s="30" t="inlineStr">
        <is>
          <t>Personality &amp; BTS</t>
        </is>
      </c>
      <c r="I31" s="30" t="inlineStr">
        <is>
          <t>Poll: What Should NP Cleo Cover Next? | You pick what I cover next month.</t>
        </is>
      </c>
      <c r="J31" s="30" t="inlineStr">
        <is>
          <t>October is filler month. What do you want the truth about first: lips, cheeks, or under eyes? Vote. 👇
#npinjector #nursepractitioner #medspalife #luxurybeauty #aestheticnurse #skincareexpert #beautyclinic #selfcare #naturalresults #honestbeauty</t>
        </is>
      </c>
      <c r="K31" s="30" t="inlineStr">
        <is>
          <t>Vote in comments</t>
        </is>
      </c>
      <c r="L31" s="30" t="inlineStr">
        <is>
          <t>Set C</t>
        </is>
      </c>
      <c r="M31" s="30" t="inlineStr">
        <is>
          <t>Poll card + matching story poll</t>
        </is>
      </c>
      <c r="N31" s="24" t="n"/>
      <c r="O31" s="24" t="inlineStr">
        <is>
          <t>https://github.com/RepoKing23/InstagramCarousel/tree/claude/med-spa-carousel-ideas-sim9wz/content/2026-09-26-poll-what-should-np-cleo</t>
        </is>
      </c>
      <c r="P31" s="34" t="inlineStr">
        <is>
          <t>Open folder</t>
        </is>
      </c>
      <c r="Q31" s="24" t="inlineStr">
        <is>
          <t>Not designed yet</t>
        </is>
      </c>
      <c r="R31" s="24" t="n"/>
      <c r="S31" s="30" t="inlineStr">
        <is>
          <t>Idea</t>
        </is>
      </c>
      <c r="T31" s="30" t="n"/>
      <c r="U31" s="30" t="n"/>
      <c r="V31" s="30" t="n"/>
      <c r="W31" s="30" t="n"/>
      <c r="X31" s="30" t="n"/>
      <c r="Y31" s="30" t="n"/>
      <c r="Z31" s="24" t="n"/>
      <c r="AA31" s="24" t="n"/>
      <c r="AB31" s="24" t="inlineStr">
        <is>
          <t>Not designed yet</t>
        </is>
      </c>
    </row>
    <row r="32" ht="57.45" customHeight="1" s="14">
      <c r="A32" s="27" t="n">
        <v>46293</v>
      </c>
      <c r="B32" s="28" t="inlineStr">
        <is>
          <t>Mon</t>
        </is>
      </c>
      <c r="C32" s="28" t="n">
        <v>7</v>
      </c>
      <c r="D32" s="28" t="inlineStr">
        <is>
          <t>Botox Education Month</t>
        </is>
      </c>
      <c r="E32" s="28" t="inlineStr">
        <is>
          <t>Carousel</t>
        </is>
      </c>
      <c r="F32" s="24" t="inlineStr">
        <is>
          <t>Light</t>
        </is>
      </c>
      <c r="G32" s="28" t="inlineStr">
        <is>
          <t>Instagram feed + GBP</t>
        </is>
      </c>
      <c r="H32" s="28" t="inlineStr">
        <is>
          <t>Education</t>
        </is>
      </c>
      <c r="I32" s="28" t="inlineStr">
        <is>
          <t>How Long Does Botox Really Last? | The honest timeline, month by month.</t>
        </is>
      </c>
      <c r="J32" s="28" t="inlineStr">
        <is>
          <t>Anyone promising six months is overpromising. Here is the real timeline, what makes it fade faster, and how to make results last longer.
#botox #botoxeducation #botoxmyths #preventativebotox #antiwrinkleinjections #nurseinjector #medspa #naturalbotox #botoxbeforeandafter #aestheticnurse</t>
        </is>
      </c>
      <c r="K32" s="28" t="inlineStr">
        <is>
          <t>Save this timeline</t>
        </is>
      </c>
      <c r="L32" s="28" t="inlineStr">
        <is>
          <t>Set A</t>
        </is>
      </c>
      <c r="M32" s="28" t="inlineStr">
        <is>
          <t>Design timeline layout in editorial template</t>
        </is>
      </c>
      <c r="N32" s="24" t="n"/>
      <c r="O32" s="24" t="inlineStr">
        <is>
          <t>https://github.com/RepoKing23/InstagramCarousel/tree/claude/med-spa-carousel-ideas-sim9wz/content/2026-09-28-how-long-does-botox-really</t>
        </is>
      </c>
      <c r="P32" s="32" t="inlineStr">
        <is>
          <t>Open folder</t>
        </is>
      </c>
      <c r="Q32" s="24" t="inlineStr">
        <is>
          <t>Not designed yet</t>
        </is>
      </c>
      <c r="R32" s="24" t="n"/>
      <c r="S32" s="28" t="inlineStr">
        <is>
          <t>Idea</t>
        </is>
      </c>
      <c r="T32" s="28" t="n"/>
      <c r="U32" s="28" t="n"/>
      <c r="V32" s="28" t="n"/>
      <c r="W32" s="28" t="n"/>
      <c r="X32" s="28" t="n"/>
      <c r="Y32" s="28" t="n"/>
      <c r="Z32" s="24" t="n"/>
      <c r="AA32" s="24" t="n"/>
      <c r="AB32" s="24" t="inlineStr">
        <is>
          <t>Not designed yet</t>
        </is>
      </c>
    </row>
    <row r="33" ht="57.45" customHeight="1" s="14">
      <c r="A33" s="29" t="n">
        <v>46294</v>
      </c>
      <c r="B33" s="30" t="inlineStr">
        <is>
          <t>Tue</t>
        </is>
      </c>
      <c r="C33" s="30" t="n">
        <v>7</v>
      </c>
      <c r="D33" s="30" t="inlineStr">
        <is>
          <t>Botox Education Month</t>
        </is>
      </c>
      <c r="E33" s="30" t="inlineStr">
        <is>
          <t>Single Image</t>
        </is>
      </c>
      <c r="F33" s="24" t="inlineStr">
        <is>
          <t>Light</t>
        </is>
      </c>
      <c r="G33" s="30" t="inlineStr">
        <is>
          <t>IG + FB + TikTok photo + GBP</t>
        </is>
      </c>
      <c r="H33" s="30" t="inlineStr">
        <is>
          <t>Education</t>
        </is>
      </c>
      <c r="I33" s="30" t="inlineStr">
        <is>
          <t>The 3-Month Botox Timeline | Week by week, what to expect.</t>
        </is>
      </c>
      <c r="J33" s="30" t="inlineStr">
        <is>
          <t>Day 3 it starts. Week 2 it settles. Month 3 it softens. Save this so you know exactly what is normal.
#botox #botoxeducation #botoxmyths #preventativebotox #antiwrinkleinjections #nurseinjector #medspa #naturalbotox #botoxbeforeandafter #aestheticnurse</t>
        </is>
      </c>
      <c r="K33" s="30" t="inlineStr">
        <is>
          <t>Save this timeline</t>
        </is>
      </c>
      <c r="L33" s="30" t="inlineStr">
        <is>
          <t>Set A</t>
        </is>
      </c>
      <c r="M33" s="30" t="inlineStr">
        <is>
          <t>Single image: timeline infographic card</t>
        </is>
      </c>
      <c r="N33" s="24" t="n"/>
      <c r="O33" s="24" t="inlineStr">
        <is>
          <t>https://github.com/RepoKing23/InstagramCarousel/tree/claude/med-spa-carousel-ideas-sim9wz/content/2026-09-29-the-3-month-botox-timeline</t>
        </is>
      </c>
      <c r="P33" s="34" t="inlineStr">
        <is>
          <t>Open folder</t>
        </is>
      </c>
      <c r="Q33" s="24" t="inlineStr">
        <is>
          <t>Not designed yet</t>
        </is>
      </c>
      <c r="R33" s="24" t="n"/>
      <c r="S33" s="30" t="inlineStr">
        <is>
          <t>Idea</t>
        </is>
      </c>
      <c r="T33" s="30" t="n"/>
      <c r="U33" s="30" t="n"/>
      <c r="V33" s="30" t="n"/>
      <c r="W33" s="30" t="n"/>
      <c r="X33" s="30" t="n"/>
      <c r="Y33" s="30" t="n"/>
      <c r="Z33" s="24" t="n"/>
      <c r="AA33" s="24" t="n"/>
      <c r="AB33" s="24" t="inlineStr">
        <is>
          <t>Not designed yet</t>
        </is>
      </c>
    </row>
    <row r="34" ht="57.45" customHeight="1" s="14">
      <c r="A34" s="27" t="n">
        <v>46296</v>
      </c>
      <c r="B34" s="28" t="inlineStr">
        <is>
          <t>Thu</t>
        </is>
      </c>
      <c r="C34" s="28" t="n">
        <v>7</v>
      </c>
      <c r="D34" s="28" t="inlineStr">
        <is>
          <t>Fillers, Naturally</t>
        </is>
      </c>
      <c r="E34" s="28" t="inlineStr">
        <is>
          <t>Carousel</t>
        </is>
      </c>
      <c r="F34" s="24" t="inlineStr">
        <is>
          <t>Light</t>
        </is>
      </c>
      <c r="G34" s="28" t="inlineStr">
        <is>
          <t>Instagram feed + GBP</t>
        </is>
      </c>
      <c r="H34" s="28" t="inlineStr">
        <is>
          <t>Trust &amp; Proof</t>
        </is>
      </c>
      <c r="I34" s="28" t="inlineStr">
        <is>
          <t>Why We Sometimes Say No | A provider who says yes to everyone is a red flag.</t>
        </is>
      </c>
      <c r="J34" s="28" t="inlineStr">
        <is>
          <t>I have turned people away, and they thanked me later. Here is why honest candidacy matters and what it says about any provider who never says no.
#npinjector #nursepractitioner #medspalife #luxurybeauty #aestheticnurse #skincareexpert #beautyclinic #selfcare #naturalresults #honestbeauty</t>
        </is>
      </c>
      <c r="K34" s="28" t="inlineStr">
        <is>
          <t>Book an honest consult</t>
        </is>
      </c>
      <c r="L34" s="28" t="inlineStr">
        <is>
          <t>Set C</t>
        </is>
      </c>
      <c r="M34" s="28" t="inlineStr">
        <is>
          <t>Design in editorial template</t>
        </is>
      </c>
      <c r="N34" s="24" t="n"/>
      <c r="O34" s="24" t="inlineStr">
        <is>
          <t>https://github.com/RepoKing23/InstagramCarousel/tree/claude/med-spa-carousel-ideas-sim9wz/content/2026-10-01-why-we-sometimes-say-no</t>
        </is>
      </c>
      <c r="P34" s="32" t="inlineStr">
        <is>
          <t>Open folder</t>
        </is>
      </c>
      <c r="Q34" s="24" t="inlineStr">
        <is>
          <t>Not designed yet</t>
        </is>
      </c>
      <c r="R34" s="24" t="n"/>
      <c r="S34" s="28" t="inlineStr">
        <is>
          <t>Idea</t>
        </is>
      </c>
      <c r="T34" s="28" t="n"/>
      <c r="U34" s="28" t="n"/>
      <c r="V34" s="28" t="n"/>
      <c r="W34" s="28" t="n"/>
      <c r="X34" s="28" t="n"/>
      <c r="Y34" s="28" t="n"/>
      <c r="Z34" s="24" t="n"/>
      <c r="AA34" s="24" t="n"/>
      <c r="AB34" s="24" t="inlineStr">
        <is>
          <t>Not designed yet</t>
        </is>
      </c>
    </row>
    <row r="35" ht="57.45" customHeight="1" s="14">
      <c r="A35" s="29" t="n">
        <v>46297</v>
      </c>
      <c r="B35" s="30" t="inlineStr">
        <is>
          <t>Fri</t>
        </is>
      </c>
      <c r="C35" s="30" t="n">
        <v>7</v>
      </c>
      <c r="D35" s="30" t="inlineStr">
        <is>
          <t>Fillers, Naturally</t>
        </is>
      </c>
      <c r="E35" s="30" t="inlineStr">
        <is>
          <t>Single Image</t>
        </is>
      </c>
      <c r="F35" s="24" t="inlineStr">
        <is>
          <t>Dark</t>
        </is>
      </c>
      <c r="G35" s="30" t="inlineStr">
        <is>
          <t>IG + FB + TikTok photo + GBP</t>
        </is>
      </c>
      <c r="H35" s="30" t="inlineStr">
        <is>
          <t>Trust &amp; Proof</t>
        </is>
      </c>
      <c r="I35" s="30" t="inlineStr">
        <is>
          <t>What I Tell Every First-Timer | The pep talk before every first appointment.</t>
        </is>
      </c>
      <c r="J35" s="30" t="inlineStr">
        <is>
          <t>You do not need to know the treatment names. You just need to show up honest about your goals. I handle the rest. 💛
#npinjector #nursepractitioner #medspalife #luxurybeauty #aestheticnurse #skincareexpert #beautyclinic #selfcare #naturalresults #honestbeauty</t>
        </is>
      </c>
      <c r="K35" s="30" t="inlineStr">
        <is>
          <t>Book your first visit</t>
        </is>
      </c>
      <c r="L35" s="30" t="inlineStr">
        <is>
          <t>Set C</t>
        </is>
      </c>
      <c r="M35" s="30" t="inlineStr">
        <is>
          <t>Single image: Cleo photo + quote overlay</t>
        </is>
      </c>
      <c r="N35" s="24" t="n"/>
      <c r="O35" s="24" t="inlineStr">
        <is>
          <t>https://github.com/RepoKing23/InstagramCarousel/tree/claude/med-spa-carousel-ideas-sim9wz/content/2026-10-02-what-i-tell-every-first</t>
        </is>
      </c>
      <c r="P35" s="34" t="inlineStr">
        <is>
          <t>Open folder</t>
        </is>
      </c>
      <c r="Q35" s="24" t="inlineStr">
        <is>
          <t>Not designed yet</t>
        </is>
      </c>
      <c r="R35" s="24" t="n"/>
      <c r="S35" s="30" t="inlineStr">
        <is>
          <t>Idea</t>
        </is>
      </c>
      <c r="T35" s="30" t="n"/>
      <c r="U35" s="30" t="n"/>
      <c r="V35" s="30" t="n"/>
      <c r="W35" s="30" t="n"/>
      <c r="X35" s="30" t="n"/>
      <c r="Y35" s="30" t="n"/>
      <c r="Z35" s="24" t="n"/>
      <c r="AA35" s="24" t="n"/>
      <c r="AB35" s="24" t="inlineStr">
        <is>
          <t>Not designed yet</t>
        </is>
      </c>
    </row>
    <row r="36" ht="46.25" customHeight="1" s="14">
      <c r="A36" s="29" t="n">
        <v>46298</v>
      </c>
      <c r="B36" s="30" t="inlineStr">
        <is>
          <t>Sat</t>
        </is>
      </c>
      <c r="C36" s="30" t="n">
        <v>7</v>
      </c>
      <c r="D36" s="30" t="inlineStr">
        <is>
          <t>Fillers, Naturally</t>
        </is>
      </c>
      <c r="E36" s="30" t="inlineStr">
        <is>
          <t>Single Image</t>
        </is>
      </c>
      <c r="F36" s="24" t="inlineStr">
        <is>
          <t>Light</t>
        </is>
      </c>
      <c r="G36" s="30" t="inlineStr">
        <is>
          <t>IG + FB + TikTok photo + GBP</t>
        </is>
      </c>
      <c r="H36" s="30" t="inlineStr">
        <is>
          <t>Trust &amp; Proof</t>
        </is>
      </c>
      <c r="I36" s="30" t="inlineStr">
        <is>
          <t>Quote: No Is Protection | No is a full sentence, and sometimes it is the treatment plan.</t>
        </is>
      </c>
      <c r="J36" s="30" t="inlineStr">
        <is>
          <t>An honest provider will sometimes tell you no. That is protection, not rejection.
#npinjector #nursepractitioner #medspalife #luxurybeauty #aestheticnurse #skincareexpert #beautyclinic #selfcare #naturalresults #honestbeauty</t>
        </is>
      </c>
      <c r="K36" s="30" t="inlineStr">
        <is>
          <t>Share this</t>
        </is>
      </c>
      <c r="L36" s="30" t="inlineStr">
        <is>
          <t>Set C</t>
        </is>
      </c>
      <c r="M36" s="30" t="inlineStr">
        <is>
          <t>Quote card in brand style</t>
        </is>
      </c>
      <c r="N36" s="24" t="n"/>
      <c r="O36" s="24" t="inlineStr">
        <is>
          <t>https://github.com/RepoKing23/InstagramCarousel/tree/claude/med-spa-carousel-ideas-sim9wz/content/2026-10-03-quote-no-is-protection</t>
        </is>
      </c>
      <c r="P36" s="34" t="inlineStr">
        <is>
          <t>Open folder</t>
        </is>
      </c>
      <c r="Q36" s="24" t="inlineStr">
        <is>
          <t>Not designed yet</t>
        </is>
      </c>
      <c r="R36" s="24" t="n"/>
      <c r="S36" s="30" t="inlineStr">
        <is>
          <t>Idea</t>
        </is>
      </c>
      <c r="T36" s="30" t="n"/>
      <c r="U36" s="30" t="n"/>
      <c r="V36" s="30" t="n"/>
      <c r="W36" s="30" t="n"/>
      <c r="X36" s="30" t="n"/>
      <c r="Y36" s="30" t="n"/>
      <c r="Z36" s="24" t="n"/>
      <c r="AA36" s="24" t="n"/>
      <c r="AB36" s="24" t="inlineStr">
        <is>
          <t>Not designed yet</t>
        </is>
      </c>
    </row>
    <row r="37" ht="57.45" customHeight="1" s="14">
      <c r="A37" s="27" t="n">
        <v>46300</v>
      </c>
      <c r="B37" s="28" t="inlineStr">
        <is>
          <t>Mon</t>
        </is>
      </c>
      <c r="C37" s="28" t="n">
        <v>8</v>
      </c>
      <c r="D37" s="28" t="inlineStr">
        <is>
          <t>Fillers, Naturally</t>
        </is>
      </c>
      <c r="E37" s="28" t="inlineStr">
        <is>
          <t>Carousel</t>
        </is>
      </c>
      <c r="F37" s="24" t="inlineStr">
        <is>
          <t>Light</t>
        </is>
      </c>
      <c r="G37" s="28" t="inlineStr">
        <is>
          <t>Instagram feed + GBP</t>
        </is>
      </c>
      <c r="H37" s="28" t="inlineStr">
        <is>
          <t>Education</t>
        </is>
      </c>
      <c r="I37" s="28" t="inlineStr">
        <is>
          <t>Filler Won't Make You Look Fake. Bad Technique Does. | The fear is real. The cause is not what you think.</t>
        </is>
      </c>
      <c r="J37" s="28" t="inlineStr">
        <is>
          <t>Every overdone face you have seen came from heavy hands, not from filler itself. Great work is invisible. You have seen it a hundred times without knowing.
#dermalfiller #lipfiller #cheekfiller #naturalfiller #facialbalancing #lipfillernatural #aestheticnurse #medspa #fillerjourney #lipgoals</t>
        </is>
      </c>
      <c r="K37" s="28" t="inlineStr">
        <is>
          <t>DM FILLER for a consult</t>
        </is>
      </c>
      <c r="L37" s="28" t="inlineStr">
        <is>
          <t>Set B</t>
        </is>
      </c>
      <c r="M37" s="28" t="inlineStr">
        <is>
          <t>Design in editorial template. October filler month opener</t>
        </is>
      </c>
      <c r="N37" s="24" t="n"/>
      <c r="O37" s="24" t="inlineStr">
        <is>
          <t>https://github.com/RepoKing23/InstagramCarousel/tree/claude/med-spa-carousel-ideas-sim9wz/content/2026-10-05-filler-won-t-make-you</t>
        </is>
      </c>
      <c r="P37" s="32" t="inlineStr">
        <is>
          <t>Open folder</t>
        </is>
      </c>
      <c r="Q37" s="24" t="inlineStr">
        <is>
          <t>Not designed yet</t>
        </is>
      </c>
      <c r="R37" s="24" t="n"/>
      <c r="S37" s="28" t="inlineStr">
        <is>
          <t>Idea</t>
        </is>
      </c>
      <c r="T37" s="28" t="n"/>
      <c r="U37" s="28" t="n"/>
      <c r="V37" s="28" t="n"/>
      <c r="W37" s="28" t="n"/>
      <c r="X37" s="28" t="n"/>
      <c r="Y37" s="28" t="n"/>
      <c r="Z37" s="24" t="n"/>
      <c r="AA37" s="24" t="n"/>
      <c r="AB37" s="24" t="inlineStr">
        <is>
          <t>Not designed yet</t>
        </is>
      </c>
    </row>
    <row r="38" ht="57.45" customHeight="1" s="14">
      <c r="A38" s="29" t="n">
        <v>46301</v>
      </c>
      <c r="B38" s="30" t="inlineStr">
        <is>
          <t>Tue</t>
        </is>
      </c>
      <c r="C38" s="30" t="n">
        <v>8</v>
      </c>
      <c r="D38" s="30" t="inlineStr">
        <is>
          <t>Fillers, Naturally</t>
        </is>
      </c>
      <c r="E38" s="30" t="inlineStr">
        <is>
          <t>Single Image</t>
        </is>
      </c>
      <c r="F38" s="24" t="inlineStr">
        <is>
          <t>Dark</t>
        </is>
      </c>
      <c r="G38" s="30" t="inlineStr">
        <is>
          <t>IG + FB + TikTok photo + GBP</t>
        </is>
      </c>
      <c r="H38" s="30" t="inlineStr">
        <is>
          <t>Education</t>
        </is>
      </c>
      <c r="I38" s="30" t="inlineStr">
        <is>
          <t>Service Spotlight: Dermal Filler | Volume where you lost it. Nowhere else.</t>
        </is>
      </c>
      <c r="J38" s="30" t="inlineStr">
        <is>
          <t>Filler is not about changing your face. It is about restoring what time quietly took. October is filler month. 👀
#dermalfiller #lipfiller #cheekfiller #naturalfiller #facialbalancing #lipfillernatural #aestheticnurse #medspa #fillerjourney #lipgoals</t>
        </is>
      </c>
      <c r="K38" s="30" t="inlineStr">
        <is>
          <t>DM FILLER to start</t>
        </is>
      </c>
      <c r="L38" s="30" t="inlineStr">
        <is>
          <t>Set B</t>
        </is>
      </c>
      <c r="M38" s="30" t="inlineStr">
        <is>
          <t>Single image: filler product or treatment photo + hook</t>
        </is>
      </c>
      <c r="N38" s="24" t="n"/>
      <c r="O38" s="24" t="inlineStr">
        <is>
          <t>https://github.com/RepoKing23/InstagramCarousel/tree/claude/med-spa-carousel-ideas-sim9wz/content/2026-10-06-service-spotlight-dermal-filler</t>
        </is>
      </c>
      <c r="P38" s="34" t="inlineStr">
        <is>
          <t>Open folder</t>
        </is>
      </c>
      <c r="Q38" s="24" t="inlineStr">
        <is>
          <t>Not designed yet</t>
        </is>
      </c>
      <c r="R38" s="24" t="n"/>
      <c r="S38" s="30" t="inlineStr">
        <is>
          <t>Idea</t>
        </is>
      </c>
      <c r="T38" s="30" t="n"/>
      <c r="U38" s="30" t="n"/>
      <c r="V38" s="30" t="n"/>
      <c r="W38" s="30" t="n"/>
      <c r="X38" s="30" t="n"/>
      <c r="Y38" s="30" t="n"/>
      <c r="Z38" s="24" t="n"/>
      <c r="AA38" s="24" t="n"/>
      <c r="AB38" s="24" t="inlineStr">
        <is>
          <t>Not designed yet</t>
        </is>
      </c>
    </row>
    <row r="39" ht="57.45" customHeight="1" s="14">
      <c r="A39" s="27" t="n">
        <v>46303</v>
      </c>
      <c r="B39" s="28" t="inlineStr">
        <is>
          <t>Thu</t>
        </is>
      </c>
      <c r="C39" s="28" t="n">
        <v>8</v>
      </c>
      <c r="D39" s="28" t="inlineStr">
        <is>
          <t>Fillers, Naturally</t>
        </is>
      </c>
      <c r="E39" s="28" t="inlineStr">
        <is>
          <t>Carousel</t>
        </is>
      </c>
      <c r="F39" s="24" t="inlineStr">
        <is>
          <t>Photo</t>
        </is>
      </c>
      <c r="G39" s="28" t="inlineStr">
        <is>
          <t>Instagram feed + GBP</t>
        </is>
      </c>
      <c r="H39" s="28" t="inlineStr">
        <is>
          <t>Education</t>
        </is>
      </c>
      <c r="I39" s="28" t="inlineStr">
        <is>
          <t>Lip Filler: Natural vs Overdone | The difference is the injector.</t>
        </is>
      </c>
      <c r="J39" s="28" t="inlineStr">
        <is>
          <t>Soft, balanced, still you. Here is what separates natural lip results from the duck lips everyone fears, and the questions to ask before anyone touches your lips.
#dermalfiller #lipfiller #cheekfiller #naturalfiller #facialbalancing #lipfillernatural #aestheticnurse #medspa #fillerjourney #lipgoals</t>
        </is>
      </c>
      <c r="K39" s="28" t="inlineStr">
        <is>
          <t>Save before you book anywhere</t>
        </is>
      </c>
      <c r="L39" s="28" t="inlineStr">
        <is>
          <t>Set B</t>
        </is>
      </c>
      <c r="M39" s="28" t="inlineStr">
        <is>
          <t>READY: before and after result card in this post's folder</t>
        </is>
      </c>
      <c r="N39" s="24" t="inlineStr">
        <is>
          <t>img_9908 (before), img_9912 (after)</t>
        </is>
      </c>
      <c r="O39" s="24" t="inlineStr">
        <is>
          <t>Not needed</t>
        </is>
      </c>
      <c r="P39" s="32" t="inlineStr">
        <is>
          <t>Open folder</t>
        </is>
      </c>
      <c r="Q39" s="33" t="inlineStr">
        <is>
          <t>View image (jpg)</t>
        </is>
      </c>
      <c r="R39" s="24">
        <f>IMAGE("https://raw.githubusercontent.com/RepoKing23/InstagramCarousel/claude/med-spa-carousel-ideas-sim9wz/content/2026-10-08-lip-filler-natural-vs-overdone/images/before-after-result.jpg")</f>
        <v/>
      </c>
      <c r="S39" s="28" t="inlineStr">
        <is>
          <t>Ready</t>
        </is>
      </c>
      <c r="T39" s="28" t="n"/>
      <c r="U39" s="28" t="n"/>
      <c r="V39" s="28" t="n"/>
      <c r="W39" s="28" t="n"/>
      <c r="X39" s="28" t="n"/>
      <c r="Y39" s="28" t="n"/>
      <c r="Z39" s="24" t="n"/>
      <c r="AA39" s="24" t="n"/>
      <c r="AB39" s="24" t="inlineStr">
        <is>
          <t>Not designed yet</t>
        </is>
      </c>
    </row>
    <row r="40" ht="46.25" customHeight="1" s="14">
      <c r="A40" s="29" t="n">
        <v>46304</v>
      </c>
      <c r="B40" s="30" t="inlineStr">
        <is>
          <t>Fri</t>
        </is>
      </c>
      <c r="C40" s="30" t="n">
        <v>8</v>
      </c>
      <c r="D40" s="30" t="inlineStr">
        <is>
          <t>Fillers, Naturally</t>
        </is>
      </c>
      <c r="E40" s="30" t="inlineStr">
        <is>
          <t>Single Image</t>
        </is>
      </c>
      <c r="F40" s="24" t="inlineStr">
        <is>
          <t>Dark</t>
        </is>
      </c>
      <c r="G40" s="30" t="inlineStr">
        <is>
          <t>IG + FB + TikTok photo + GBP</t>
        </is>
      </c>
      <c r="H40" s="30" t="inlineStr">
        <is>
          <t>Personality &amp; BTS</t>
        </is>
      </c>
      <c r="I40" s="30" t="inlineStr">
        <is>
          <t>Inside the Filler Appointment | Planned to the last drop.</t>
        </is>
      </c>
      <c r="J40" s="30" t="inlineStr">
        <is>
          <t>Cannulas, numbing, and a plan drawn before we start. This is what careful looks like.
#dermalfiller #lipfiller #cheekfiller #naturalfiller #facialbalancing #lipfillernatural #aestheticnurse #medspa #fillerjourney #lipgoals</t>
        </is>
      </c>
      <c r="K40" s="30" t="inlineStr">
        <is>
          <t>Follow for filler month</t>
        </is>
      </c>
      <c r="L40" s="30" t="inlineStr">
        <is>
          <t>Set B</t>
        </is>
      </c>
      <c r="M40" s="30" t="inlineStr">
        <is>
          <t>Single image: filler prep photo + hook</t>
        </is>
      </c>
      <c r="N40" s="24" t="n"/>
      <c r="O40" s="24" t="inlineStr">
        <is>
          <t>https://github.com/RepoKing23/InstagramCarousel/tree/claude/med-spa-carousel-ideas-sim9wz/content/2026-10-09-inside-the-filler-appointment</t>
        </is>
      </c>
      <c r="P40" s="34" t="inlineStr">
        <is>
          <t>Open folder</t>
        </is>
      </c>
      <c r="Q40" s="24" t="inlineStr">
        <is>
          <t>Not designed yet</t>
        </is>
      </c>
      <c r="R40" s="24" t="n"/>
      <c r="S40" s="30" t="inlineStr">
        <is>
          <t>Idea</t>
        </is>
      </c>
      <c r="T40" s="30" t="n"/>
      <c r="U40" s="30" t="n"/>
      <c r="V40" s="30" t="n"/>
      <c r="W40" s="30" t="n"/>
      <c r="X40" s="30" t="n"/>
      <c r="Y40" s="30" t="n"/>
      <c r="Z40" s="24" t="n"/>
      <c r="AA40" s="24" t="n"/>
      <c r="AB40" s="24" t="inlineStr">
        <is>
          <t>Not designed yet</t>
        </is>
      </c>
    </row>
    <row r="41" ht="46.25" customHeight="1" s="14">
      <c r="A41" s="29" t="n">
        <v>46305</v>
      </c>
      <c r="B41" s="30" t="inlineStr">
        <is>
          <t>Sat</t>
        </is>
      </c>
      <c r="C41" s="30" t="n">
        <v>8</v>
      </c>
      <c r="D41" s="30" t="inlineStr">
        <is>
          <t>Fillers, Naturally</t>
        </is>
      </c>
      <c r="E41" s="30" t="inlineStr">
        <is>
          <t>Before/After</t>
        </is>
      </c>
      <c r="F41" s="24" t="inlineStr">
        <is>
          <t>Photo</t>
        </is>
      </c>
      <c r="G41" s="30" t="inlineStr">
        <is>
          <t>IG + FB + TikTok photo + GBP</t>
        </is>
      </c>
      <c r="H41" s="30" t="inlineStr">
        <is>
          <t>Trust &amp; Proof</t>
        </is>
      </c>
      <c r="I41" s="30" t="inlineStr">
        <is>
          <t>Subtle Is the New Dramatic | The quote, proved.</t>
        </is>
      </c>
      <c r="J41" s="30" t="inlineStr">
        <is>
          <t>Subtle is the new dramatic. The best work whispers. This is one syringe, healed and settled, on a client who did not want anyone to know. Individual results vary. Shared with consent. 💛
#npinjector #nursepractitioner #medspalife #luxurybeauty #aestheticnurse #skincareexpert #beautyclinic #selfcare #naturalresults #honestbeauty</t>
        </is>
      </c>
      <c r="K41" s="30" t="inlineStr">
        <is>
          <t>Save this</t>
        </is>
      </c>
      <c r="L41" s="30" t="inlineStr">
        <is>
          <t>Set C</t>
        </is>
      </c>
      <c r="M41" s="30" t="inlineStr">
        <is>
          <t>Before and after card in editorial template. Crop to treatment area, no faces</t>
        </is>
      </c>
      <c r="N41" s="24" t="inlineStr">
        <is>
          <t>img_1119 (before), img_1123 (after)</t>
        </is>
      </c>
      <c r="O41" s="24" t="inlineStr">
        <is>
          <t>On file</t>
        </is>
      </c>
      <c r="P41" s="34" t="inlineStr">
        <is>
          <t>Open folder</t>
        </is>
      </c>
      <c r="Q41" s="33" t="inlineStr">
        <is>
          <t>View image (jpg)</t>
        </is>
      </c>
      <c r="R41" s="24">
        <f>IMAGE("https://raw.githubusercontent.com/RepoKing23/InstagramCarousel/claude/med-spa-carousel-ideas-sim9wz/content/2026-10-10-subtle-is-the-new-dramatic/images/before-after-result.jpg")</f>
        <v/>
      </c>
      <c r="S41" s="30" t="inlineStr">
        <is>
          <t>Ready</t>
        </is>
      </c>
      <c r="T41" s="30" t="n"/>
      <c r="U41" s="30" t="n"/>
      <c r="V41" s="30" t="n"/>
      <c r="W41" s="30" t="n"/>
      <c r="X41" s="30" t="n"/>
      <c r="Y41" s="30" t="n"/>
      <c r="Z41" s="24" t="n"/>
      <c r="AA41" s="24" t="n"/>
      <c r="AB41" s="24" t="inlineStr">
        <is>
          <t>Not designed yet</t>
        </is>
      </c>
    </row>
    <row r="42" ht="57.45" customHeight="1" s="14">
      <c r="A42" s="27" t="n">
        <v>46307</v>
      </c>
      <c r="B42" s="28" t="inlineStr">
        <is>
          <t>Mon</t>
        </is>
      </c>
      <c r="C42" s="28" t="n">
        <v>9</v>
      </c>
      <c r="D42" s="28" t="inlineStr">
        <is>
          <t>Fillers, Naturally</t>
        </is>
      </c>
      <c r="E42" s="28" t="inlineStr">
        <is>
          <t>Carousel</t>
        </is>
      </c>
      <c r="F42" s="24" t="inlineStr">
        <is>
          <t>Light</t>
        </is>
      </c>
      <c r="G42" s="28" t="inlineStr">
        <is>
          <t>Instagram feed + GBP</t>
        </is>
      </c>
      <c r="H42" s="28" t="inlineStr">
        <is>
          <t>Education</t>
        </is>
      </c>
      <c r="I42" s="28" t="inlineStr">
        <is>
          <t>Cheek Filler: The Secret Nobody Talks About | The treatment behind the best natural glow-ups.</t>
        </is>
      </c>
      <c r="J42" s="28" t="inlineStr">
        <is>
          <t>Everyone asks about lips. But cheek filler is quietly behind some of the most natural transformations you have seen. Here is how facial balancing works.
#dermalfiller #lipfiller #cheekfiller #naturalfiller #facialbalancing #lipfillernatural #aestheticnurse #medspa #fillerjourney #lipgoals</t>
        </is>
      </c>
      <c r="K42" s="28" t="inlineStr">
        <is>
          <t>DM CHEEKS to learn more</t>
        </is>
      </c>
      <c r="L42" s="28" t="inlineStr">
        <is>
          <t>Set B</t>
        </is>
      </c>
      <c r="M42" s="28" t="inlineStr">
        <is>
          <t>Design in editorial template</t>
        </is>
      </c>
      <c r="N42" s="24" t="n"/>
      <c r="O42" s="24" t="inlineStr">
        <is>
          <t>https://github.com/RepoKing23/InstagramCarousel/tree/claude/med-spa-carousel-ideas-sim9wz/content/2026-10-12-cheek-filler-the-secret-nobody</t>
        </is>
      </c>
      <c r="P42" s="32" t="inlineStr">
        <is>
          <t>Open folder</t>
        </is>
      </c>
      <c r="Q42" s="24" t="inlineStr">
        <is>
          <t>Not designed yet</t>
        </is>
      </c>
      <c r="R42" s="24" t="n"/>
      <c r="S42" s="28" t="inlineStr">
        <is>
          <t>Idea</t>
        </is>
      </c>
      <c r="T42" s="28" t="n"/>
      <c r="U42" s="28" t="n"/>
      <c r="V42" s="28" t="n"/>
      <c r="W42" s="28" t="n"/>
      <c r="X42" s="28" t="n"/>
      <c r="Y42" s="28" t="n"/>
      <c r="Z42" s="24" t="n"/>
      <c r="AA42" s="24" t="n"/>
      <c r="AB42" s="24" t="inlineStr">
        <is>
          <t>Not designed yet</t>
        </is>
      </c>
    </row>
    <row r="43" ht="57.45" customHeight="1" s="14">
      <c r="A43" s="29" t="n">
        <v>46308</v>
      </c>
      <c r="B43" s="30" t="inlineStr">
        <is>
          <t>Tue</t>
        </is>
      </c>
      <c r="C43" s="30" t="n">
        <v>9</v>
      </c>
      <c r="D43" s="30" t="inlineStr">
        <is>
          <t>Fillers, Naturally</t>
        </is>
      </c>
      <c r="E43" s="30" t="inlineStr">
        <is>
          <t>Single Image</t>
        </is>
      </c>
      <c r="F43" s="24" t="inlineStr">
        <is>
          <t>Light</t>
        </is>
      </c>
      <c r="G43" s="30" t="inlineStr">
        <is>
          <t>IG + FB + TikTok photo + GBP</t>
        </is>
      </c>
      <c r="H43" s="30" t="inlineStr">
        <is>
          <t>Education</t>
        </is>
      </c>
      <c r="I43" s="30" t="inlineStr">
        <is>
          <t>Service Spotlight: Cheek Filler | The lift nobody talks about.</t>
        </is>
      </c>
      <c r="J43" s="30" t="inlineStr">
        <is>
          <t>Lifted, refreshed, never puffy. Cheek filler is quietly behind the most natural glow-ups you have seen.
#dermalfiller #lipfiller #cheekfiller #naturalfiller #facialbalancing #lipfillernatural #aestheticnurse #medspa #fillerjourney #lipgoals</t>
        </is>
      </c>
      <c r="K43" s="30" t="inlineStr">
        <is>
          <t>DM CHEEKS to learn more</t>
        </is>
      </c>
      <c r="L43" s="30" t="inlineStr">
        <is>
          <t>Set B</t>
        </is>
      </c>
      <c r="M43" s="30" t="inlineStr">
        <is>
          <t>Single image: cheek treatment photo + hook</t>
        </is>
      </c>
      <c r="N43" s="24" t="n"/>
      <c r="O43" s="24" t="inlineStr">
        <is>
          <t>https://github.com/RepoKing23/InstagramCarousel/tree/claude/med-spa-carousel-ideas-sim9wz/content/2026-10-13-service-spotlight-cheek-filler</t>
        </is>
      </c>
      <c r="P43" s="34" t="inlineStr">
        <is>
          <t>Open folder</t>
        </is>
      </c>
      <c r="Q43" s="24" t="inlineStr">
        <is>
          <t>Not designed yet</t>
        </is>
      </c>
      <c r="R43" s="24" t="n"/>
      <c r="S43" s="30" t="inlineStr">
        <is>
          <t>Idea</t>
        </is>
      </c>
      <c r="T43" s="30" t="n"/>
      <c r="U43" s="30" t="n"/>
      <c r="V43" s="30" t="n"/>
      <c r="W43" s="30" t="n"/>
      <c r="X43" s="30" t="n"/>
      <c r="Y43" s="30" t="n"/>
      <c r="Z43" s="24" t="n"/>
      <c r="AA43" s="24" t="n"/>
      <c r="AB43" s="24" t="inlineStr">
        <is>
          <t>Not designed yet</t>
        </is>
      </c>
    </row>
    <row r="44" ht="57.45" customHeight="1" s="14">
      <c r="A44" s="27" t="n">
        <v>46310</v>
      </c>
      <c r="B44" s="28" t="inlineStr">
        <is>
          <t>Thu</t>
        </is>
      </c>
      <c r="C44" s="28" t="n">
        <v>9</v>
      </c>
      <c r="D44" s="28" t="inlineStr">
        <is>
          <t>Fillers, Naturally</t>
        </is>
      </c>
      <c r="E44" s="28" t="inlineStr">
        <is>
          <t>Carousel</t>
        </is>
      </c>
      <c r="F44" s="24" t="inlineStr">
        <is>
          <t>Photo</t>
        </is>
      </c>
      <c r="G44" s="28" t="inlineStr">
        <is>
          <t>Instagram feed + GBP</t>
        </is>
      </c>
      <c r="H44" s="28" t="inlineStr">
        <is>
          <t>Trust &amp; Proof</t>
        </is>
      </c>
      <c r="I44" s="28" t="inlineStr">
        <is>
          <t>Real Lips. Real Results. | Four clients. One syringe each.</t>
        </is>
      </c>
      <c r="J44" s="28" t="inlineStr">
        <is>
          <t>No filters, no angles, no tricks. Four real clients, one syringe each, photographed in the same light on the same day. Swipe to see what natural actually looks like. Individual results vary. All shared with consent.
#dermalfiller #lipfiller #cheekfiller #naturalfiller #facialbalancing #lipfillernatural #aestheticnurse #medspa #fillerjourney #lipgoals</t>
        </is>
      </c>
      <c r="K44" s="28" t="inlineStr">
        <is>
          <t>DM LIPS to book yours</t>
        </is>
      </c>
      <c r="L44" s="28" t="inlineStr">
        <is>
          <t>Set B</t>
        </is>
      </c>
      <c r="M44" s="28" t="inlineStr">
        <is>
          <t>Carousel: cover + 5 before and after slides + CTA. Crop to treatment area, no faces</t>
        </is>
      </c>
      <c r="N44" s="24" t="inlineStr">
        <is>
          <t>Pairs: 9908/9912, 0221/0233, 0962/0998, 1119/1123, 9848/9850</t>
        </is>
      </c>
      <c r="O44" s="24" t="inlineStr">
        <is>
          <t>On file</t>
        </is>
      </c>
      <c r="P44" s="32" t="inlineStr">
        <is>
          <t>Open folder</t>
        </is>
      </c>
      <c r="Q44" s="33" t="inlineStr">
        <is>
          <t>View 7 slides (jpg)</t>
        </is>
      </c>
      <c r="R44" s="24">
        <f>IMAGE("https://raw.githubusercontent.com/RepoKing23/InstagramCarousel/claude/med-spa-carousel-ideas-sim9wz/content/2026-10-15-real-lips-real-results/images/slide-1.jpg")</f>
        <v/>
      </c>
      <c r="S44" s="28" t="inlineStr">
        <is>
          <t>Ready</t>
        </is>
      </c>
      <c r="T44" s="28" t="n"/>
      <c r="U44" s="28" t="n"/>
      <c r="V44" s="28" t="n"/>
      <c r="W44" s="28" t="n"/>
      <c r="X44" s="28" t="n"/>
      <c r="Y44" s="28" t="n"/>
      <c r="Z44" s="24" t="n"/>
      <c r="AA44" s="24" t="n"/>
      <c r="AB44" s="24" t="inlineStr">
        <is>
          <t>Not designed yet</t>
        </is>
      </c>
    </row>
    <row r="45" ht="57.45" customHeight="1" s="14">
      <c r="A45" s="29" t="n">
        <v>46311</v>
      </c>
      <c r="B45" s="30" t="inlineStr">
        <is>
          <t>Fri</t>
        </is>
      </c>
      <c r="C45" s="30" t="n">
        <v>9</v>
      </c>
      <c r="D45" s="30" t="inlineStr">
        <is>
          <t>Fillers, Naturally</t>
        </is>
      </c>
      <c r="E45" s="30" t="inlineStr">
        <is>
          <t>Single Image</t>
        </is>
      </c>
      <c r="F45" s="24" t="inlineStr">
        <is>
          <t>Dark</t>
        </is>
      </c>
      <c r="G45" s="30" t="inlineStr">
        <is>
          <t>IG + FB + TikTok photo + GBP</t>
        </is>
      </c>
      <c r="H45" s="30" t="inlineStr">
        <is>
          <t>Education</t>
        </is>
      </c>
      <c r="I45" s="30" t="inlineStr">
        <is>
          <t>Facial Balancing 101 | One plan beats three syringes.</t>
        </is>
      </c>
      <c r="J45" s="30" t="inlineStr">
        <is>
          <t>One syringe in the right place beats three in the wrong ones. Balance first, volume second. Always.
#dermalfiller #lipfiller #cheekfiller #naturalfiller #facialbalancing #lipfillernatural #aestheticnurse #medspa #fillerjourney #lipgoals</t>
        </is>
      </c>
      <c r="K45" s="30" t="inlineStr">
        <is>
          <t>Book a balancing consult</t>
        </is>
      </c>
      <c r="L45" s="30" t="inlineStr">
        <is>
          <t>Set B</t>
        </is>
      </c>
      <c r="M45" s="30" t="inlineStr">
        <is>
          <t>Single image: face-map diagram card</t>
        </is>
      </c>
      <c r="N45" s="24" t="n"/>
      <c r="O45" s="24" t="inlineStr">
        <is>
          <t>https://github.com/RepoKing23/InstagramCarousel/tree/claude/med-spa-carousel-ideas-sim9wz/content/2026-10-16-facial-balancing-101</t>
        </is>
      </c>
      <c r="P45" s="34" t="inlineStr">
        <is>
          <t>Open folder</t>
        </is>
      </c>
      <c r="Q45" s="24" t="inlineStr">
        <is>
          <t>Not designed yet</t>
        </is>
      </c>
      <c r="R45" s="24" t="n"/>
      <c r="S45" s="30" t="inlineStr">
        <is>
          <t>Idea</t>
        </is>
      </c>
      <c r="T45" s="30" t="n"/>
      <c r="U45" s="30" t="n"/>
      <c r="V45" s="30" t="n"/>
      <c r="W45" s="30" t="n"/>
      <c r="X45" s="30" t="n"/>
      <c r="Y45" s="30" t="n"/>
      <c r="Z45" s="24" t="n"/>
      <c r="AA45" s="24" t="n"/>
      <c r="AB45" s="24" t="inlineStr">
        <is>
          <t>Not designed yet</t>
        </is>
      </c>
    </row>
    <row r="46" ht="57.45" customHeight="1" s="14">
      <c r="A46" s="29" t="n">
        <v>46312</v>
      </c>
      <c r="B46" s="30" t="inlineStr">
        <is>
          <t>Sat</t>
        </is>
      </c>
      <c r="C46" s="30" t="n">
        <v>9</v>
      </c>
      <c r="D46" s="30" t="inlineStr">
        <is>
          <t>Fillers, Naturally</t>
        </is>
      </c>
      <c r="E46" s="30" t="inlineStr">
        <is>
          <t>Single Image</t>
        </is>
      </c>
      <c r="F46" s="24" t="inlineStr">
        <is>
          <t>Light</t>
        </is>
      </c>
      <c r="G46" s="30" t="inlineStr">
        <is>
          <t>IG + FB + TikTok photo + GBP</t>
        </is>
      </c>
      <c r="H46" s="30" t="inlineStr">
        <is>
          <t>Education</t>
        </is>
      </c>
      <c r="I46" s="30" t="inlineStr">
        <is>
          <t>FAQ: How Much Filler Do I Need? | The honest answer.</t>
        </is>
      </c>
      <c r="J46" s="30" t="inlineStr">
        <is>
          <t>Less than Instagram makes you think. Most natural results start with one syringe or less. Here is why.
#npinjector #nursepractitioner #medspalife #luxurybeauty #aestheticnurse #skincareexpert #beautyclinic #selfcare #naturalresults #honestbeauty</t>
        </is>
      </c>
      <c r="K46" s="30" t="inlineStr">
        <is>
          <t>More FAQs? DM me</t>
        </is>
      </c>
      <c r="L46" s="30" t="inlineStr">
        <is>
          <t>Set C</t>
        </is>
      </c>
      <c r="M46" s="30" t="inlineStr">
        <is>
          <t>FAQ card in brand style</t>
        </is>
      </c>
      <c r="N46" s="24" t="n"/>
      <c r="O46" s="24" t="inlineStr">
        <is>
          <t>https://github.com/RepoKing23/InstagramCarousel/tree/claude/med-spa-carousel-ideas-sim9wz/content/2026-10-17-faq-how-much-filler-do</t>
        </is>
      </c>
      <c r="P46" s="34" t="inlineStr">
        <is>
          <t>Open folder</t>
        </is>
      </c>
      <c r="Q46" s="24" t="inlineStr">
        <is>
          <t>Not designed yet</t>
        </is>
      </c>
      <c r="R46" s="24" t="n"/>
      <c r="S46" s="30" t="inlineStr">
        <is>
          <t>Idea</t>
        </is>
      </c>
      <c r="T46" s="30" t="n"/>
      <c r="U46" s="30" t="n"/>
      <c r="V46" s="30" t="n"/>
      <c r="W46" s="30" t="n"/>
      <c r="X46" s="30" t="n"/>
      <c r="Y46" s="30" t="n"/>
      <c r="Z46" s="24" t="n"/>
      <c r="AA46" s="24" t="n"/>
      <c r="AB46" s="24" t="inlineStr">
        <is>
          <t>Not designed yet</t>
        </is>
      </c>
    </row>
    <row r="47" ht="57.45" customHeight="1" s="14">
      <c r="A47" s="27" t="n">
        <v>46314</v>
      </c>
      <c r="B47" s="28" t="inlineStr">
        <is>
          <t>Mon</t>
        </is>
      </c>
      <c r="C47" s="28" t="n">
        <v>10</v>
      </c>
      <c r="D47" s="28" t="inlineStr">
        <is>
          <t>Fillers, Naturally</t>
        </is>
      </c>
      <c r="E47" s="28" t="inlineStr">
        <is>
          <t>Carousel</t>
        </is>
      </c>
      <c r="F47" s="24" t="inlineStr">
        <is>
          <t>Light</t>
        </is>
      </c>
      <c r="G47" s="28" t="inlineStr">
        <is>
          <t>Instagram feed + GBP</t>
        </is>
      </c>
      <c r="H47" s="28" t="inlineStr">
        <is>
          <t>Education</t>
        </is>
      </c>
      <c r="I47" s="28" t="inlineStr">
        <is>
          <t>Filler Dissolves. Here Is the Real Timeline. | What they do not tell you about longevity.</t>
        </is>
      </c>
      <c r="J47" s="28" t="inlineStr">
        <is>
          <t>Filler is not forever, and honestly, that is a good thing. Here is how long each area really lasts and what keeping it up actually looks like.
#dermalfiller #lipfiller #cheekfiller #naturalfiller #facialbalancing #lipfillernatural #aestheticnurse #medspa #fillerjourney #lipgoals</t>
        </is>
      </c>
      <c r="K47" s="28" t="inlineStr">
        <is>
          <t>Book your plan. Link in bio</t>
        </is>
      </c>
      <c r="L47" s="28" t="inlineStr">
        <is>
          <t>Set B</t>
        </is>
      </c>
      <c r="M47" s="28" t="inlineStr">
        <is>
          <t>Design timeline layout</t>
        </is>
      </c>
      <c r="N47" s="24" t="n"/>
      <c r="O47" s="24" t="inlineStr">
        <is>
          <t>https://github.com/RepoKing23/InstagramCarousel/tree/claude/med-spa-carousel-ideas-sim9wz/content/2026-10-19-filler-dissolves-here-is-the</t>
        </is>
      </c>
      <c r="P47" s="32" t="inlineStr">
        <is>
          <t>Open folder</t>
        </is>
      </c>
      <c r="Q47" s="24" t="inlineStr">
        <is>
          <t>Not designed yet</t>
        </is>
      </c>
      <c r="R47" s="24" t="n"/>
      <c r="S47" s="28" t="inlineStr">
        <is>
          <t>Idea</t>
        </is>
      </c>
      <c r="T47" s="28" t="n"/>
      <c r="U47" s="28" t="n"/>
      <c r="V47" s="28" t="n"/>
      <c r="W47" s="28" t="n"/>
      <c r="X47" s="28" t="n"/>
      <c r="Y47" s="28" t="n"/>
      <c r="Z47" s="24" t="n"/>
      <c r="AA47" s="24" t="n"/>
      <c r="AB47" s="24" t="inlineStr">
        <is>
          <t>Not designed yet</t>
        </is>
      </c>
    </row>
    <row r="48" ht="57.45" customHeight="1" s="14">
      <c r="A48" s="29" t="n">
        <v>46315</v>
      </c>
      <c r="B48" s="30" t="inlineStr">
        <is>
          <t>Tue</t>
        </is>
      </c>
      <c r="C48" s="30" t="n">
        <v>10</v>
      </c>
      <c r="D48" s="30" t="inlineStr">
        <is>
          <t>Fillers, Naturally</t>
        </is>
      </c>
      <c r="E48" s="30" t="inlineStr">
        <is>
          <t>Single Image</t>
        </is>
      </c>
      <c r="F48" s="24" t="inlineStr">
        <is>
          <t>Dark</t>
        </is>
      </c>
      <c r="G48" s="30" t="inlineStr">
        <is>
          <t>IG + FB + TikTok photo + GBP</t>
        </is>
      </c>
      <c r="H48" s="30" t="inlineStr">
        <is>
          <t>Education</t>
        </is>
      </c>
      <c r="I48" s="30" t="inlineStr">
        <is>
          <t>The Filler Timeline | What happens as it fades.</t>
        </is>
      </c>
      <c r="J48" s="30" t="inlineStr">
        <is>
          <t>Filler does not vanish overnight and you will not deflate. It softens slowly, on a schedule you can plan around.
#dermalfiller #lipfiller #cheekfiller #naturalfiller #facialbalancing #lipfillernatural #aestheticnurse #medspa #fillerjourney #lipgoals</t>
        </is>
      </c>
      <c r="K48" s="30" t="inlineStr">
        <is>
          <t>Save this</t>
        </is>
      </c>
      <c r="L48" s="30" t="inlineStr">
        <is>
          <t>Set B</t>
        </is>
      </c>
      <c r="M48" s="30" t="inlineStr">
        <is>
          <t>Single image: timeline infographic card</t>
        </is>
      </c>
      <c r="N48" s="24" t="n"/>
      <c r="O48" s="24" t="inlineStr">
        <is>
          <t>https://github.com/RepoKing23/InstagramCarousel/tree/claude/med-spa-carousel-ideas-sim9wz/content/2026-10-20-the-filler-timeline</t>
        </is>
      </c>
      <c r="P48" s="34" t="inlineStr">
        <is>
          <t>Open folder</t>
        </is>
      </c>
      <c r="Q48" s="24" t="inlineStr">
        <is>
          <t>Not designed yet</t>
        </is>
      </c>
      <c r="R48" s="24" t="n"/>
      <c r="S48" s="30" t="inlineStr">
        <is>
          <t>Idea</t>
        </is>
      </c>
      <c r="T48" s="30" t="n"/>
      <c r="U48" s="30" t="n"/>
      <c r="V48" s="30" t="n"/>
      <c r="W48" s="30" t="n"/>
      <c r="X48" s="30" t="n"/>
      <c r="Y48" s="30" t="n"/>
      <c r="Z48" s="24" t="n"/>
      <c r="AA48" s="24" t="n"/>
      <c r="AB48" s="24" t="inlineStr">
        <is>
          <t>Not designed yet</t>
        </is>
      </c>
    </row>
    <row r="49" ht="57.45" customHeight="1" s="14">
      <c r="A49" s="27" t="n">
        <v>46317</v>
      </c>
      <c r="B49" s="28" t="inlineStr">
        <is>
          <t>Thu</t>
        </is>
      </c>
      <c r="C49" s="28" t="n">
        <v>10</v>
      </c>
      <c r="D49" s="28" t="inlineStr">
        <is>
          <t>Fillers, Naturally</t>
        </is>
      </c>
      <c r="E49" s="28" t="inlineStr">
        <is>
          <t>Carousel</t>
        </is>
      </c>
      <c r="F49" s="24" t="inlineStr">
        <is>
          <t>Photo</t>
        </is>
      </c>
      <c r="G49" s="28" t="inlineStr">
        <is>
          <t>Instagram feed + GBP</t>
        </is>
      </c>
      <c r="H49" s="28" t="inlineStr">
        <is>
          <t>Education</t>
        </is>
      </c>
      <c r="I49" s="28" t="inlineStr">
        <is>
          <t>Lip Filler Aftercare: Your First Week | Swelling is normal. Panic is optional.</t>
        </is>
      </c>
      <c r="J49" s="28" t="inlineStr">
        <is>
          <t>Day 1 looks different from day 7. Here is the honest day-by-day so you know exactly what is normal and when to reach out. Save this before your appointment.
#dermalfiller #lipfiller #cheekfiller #naturalfiller #facialbalancing #lipfillernatural #aestheticnurse #medspa #fillerjourney #lipgoals</t>
        </is>
      </c>
      <c r="K49" s="28" t="inlineStr">
        <is>
          <t>Save this guide</t>
        </is>
      </c>
      <c r="L49" s="28" t="inlineStr">
        <is>
          <t>Set B</t>
        </is>
      </c>
      <c r="M49" s="28" t="inlineStr">
        <is>
          <t>Carousel: day by day. Day zero card built from the img_9848 / img_9850 pair. Crop to treatment area, no faces</t>
        </is>
      </c>
      <c r="N49" s="24" t="inlineStr">
        <is>
          <t>img_9848 (before) + img_9850 (right after); img_7715, whatsapp composite</t>
        </is>
      </c>
      <c r="O49" s="24" t="inlineStr">
        <is>
          <t>On file</t>
        </is>
      </c>
      <c r="P49" s="32" t="inlineStr">
        <is>
          <t>Open folder</t>
        </is>
      </c>
      <c r="Q49" s="33" t="inlineStr">
        <is>
          <t>View image (jpg)</t>
        </is>
      </c>
      <c r="R49" s="24">
        <f>IMAGE("https://raw.githubusercontent.com/RepoKing23/InstagramCarousel/claude/med-spa-carousel-ideas-sim9wz/content/2026-10-22-lip-filler-aftercare-your-first/images/day-zero-before-after.jpg")</f>
        <v/>
      </c>
      <c r="S49" s="28" t="inlineStr">
        <is>
          <t>Design</t>
        </is>
      </c>
      <c r="T49" s="28" t="n"/>
      <c r="U49" s="28" t="n"/>
      <c r="V49" s="28" t="n"/>
      <c r="W49" s="28" t="n"/>
      <c r="X49" s="28" t="n"/>
      <c r="Y49" s="28" t="n"/>
      <c r="Z49" s="24" t="n"/>
      <c r="AA49" s="24" t="n"/>
      <c r="AB49" s="24" t="inlineStr">
        <is>
          <t>Not designed yet</t>
        </is>
      </c>
    </row>
    <row r="50" ht="57.45" customHeight="1" s="14">
      <c r="A50" s="29" t="n">
        <v>46318</v>
      </c>
      <c r="B50" s="30" t="inlineStr">
        <is>
          <t>Fri</t>
        </is>
      </c>
      <c r="C50" s="30" t="n">
        <v>10</v>
      </c>
      <c r="D50" s="30" t="inlineStr">
        <is>
          <t>Fillers, Naturally</t>
        </is>
      </c>
      <c r="E50" s="30" t="inlineStr">
        <is>
          <t>Single Image</t>
        </is>
      </c>
      <c r="F50" s="24" t="inlineStr">
        <is>
          <t>Dark</t>
        </is>
      </c>
      <c r="G50" s="30" t="inlineStr">
        <is>
          <t>IG + FB + TikTok photo + GBP</t>
        </is>
      </c>
      <c r="H50" s="30" t="inlineStr">
        <is>
          <t>Education</t>
        </is>
      </c>
      <c r="I50" s="30" t="inlineStr">
        <is>
          <t>Aftercare Essentials | Save this for after your appointment.</t>
        </is>
      </c>
      <c r="J50" s="30" t="inlineStr">
        <is>
          <t>Ice, no gym for 24 hours, sleep on your back, and message me with anything. That is it. Save this.
#dermalfiller #lipfiller #cheekfiller #naturalfiller #facialbalancing #lipfillernatural #aestheticnurse #medspa #fillerjourney #lipgoals</t>
        </is>
      </c>
      <c r="K50" s="30" t="inlineStr">
        <is>
          <t>Save + share</t>
        </is>
      </c>
      <c r="L50" s="30" t="inlineStr">
        <is>
          <t>Set B</t>
        </is>
      </c>
      <c r="M50" s="30" t="inlineStr">
        <is>
          <t>Single image: 4-point checklist card</t>
        </is>
      </c>
      <c r="N50" s="24" t="n"/>
      <c r="O50" s="24" t="inlineStr">
        <is>
          <t>https://github.com/RepoKing23/InstagramCarousel/tree/claude/med-spa-carousel-ideas-sim9wz/content/2026-10-23-aftercare-essentials</t>
        </is>
      </c>
      <c r="P50" s="34" t="inlineStr">
        <is>
          <t>Open folder</t>
        </is>
      </c>
      <c r="Q50" s="24" t="inlineStr">
        <is>
          <t>Not designed yet</t>
        </is>
      </c>
      <c r="R50" s="24" t="n"/>
      <c r="S50" s="30" t="inlineStr">
        <is>
          <t>Idea</t>
        </is>
      </c>
      <c r="T50" s="30" t="n"/>
      <c r="U50" s="30" t="n"/>
      <c r="V50" s="30" t="n"/>
      <c r="W50" s="30" t="n"/>
      <c r="X50" s="30" t="n"/>
      <c r="Y50" s="30" t="n"/>
      <c r="Z50" s="24" t="n"/>
      <c r="AA50" s="24" t="n"/>
      <c r="AB50" s="24" t="inlineStr">
        <is>
          <t>Not designed yet</t>
        </is>
      </c>
    </row>
    <row r="51" ht="57.45" customHeight="1" s="14">
      <c r="A51" s="29" t="n">
        <v>46319</v>
      </c>
      <c r="B51" s="30" t="inlineStr">
        <is>
          <t>Sat</t>
        </is>
      </c>
      <c r="C51" s="30" t="n">
        <v>10</v>
      </c>
      <c r="D51" s="30" t="inlineStr">
        <is>
          <t>Fillers, Naturally</t>
        </is>
      </c>
      <c r="E51" s="30" t="inlineStr">
        <is>
          <t>Before/After</t>
        </is>
      </c>
      <c r="F51" s="24" t="inlineStr">
        <is>
          <t>Photo</t>
        </is>
      </c>
      <c r="G51" s="30" t="inlineStr">
        <is>
          <t>IG + FB + TikTok photo + GBP</t>
        </is>
      </c>
      <c r="H51" s="30" t="inlineStr">
        <is>
          <t>Trust &amp; Proof</t>
        </is>
      </c>
      <c r="I51" s="30" t="inlineStr">
        <is>
          <t>Client Words: The Lip Glow-Up | Her words, her result.</t>
        </is>
      </c>
      <c r="J51" s="30" t="inlineStr">
        <is>
          <t>I finally got my lips done and nobody said filler. They said I looked prettier and could not say why. Here is the result she is talking about. Individual results vary. Shared with permission. 💛
#npinjector #nursepractitioner #medspalife #luxurybeauty #aestheticnurse #skincareexpert #beautyclinic #selfcare #naturalresults #honestbeauty</t>
        </is>
      </c>
      <c r="K51" s="30" t="inlineStr">
        <is>
          <t>Your turn. DM FILLER</t>
        </is>
      </c>
      <c r="L51" s="30" t="inlineStr">
        <is>
          <t>Set C</t>
        </is>
      </c>
      <c r="M51" s="30" t="inlineStr">
        <is>
          <t>Testimonial quote over before and after card. Crop to treatment area, no faces</t>
        </is>
      </c>
      <c r="N51" s="24" t="inlineStr">
        <is>
          <t>img_0962 (before), img_0998 (after)</t>
        </is>
      </c>
      <c r="O51" s="24" t="inlineStr">
        <is>
          <t>On file</t>
        </is>
      </c>
      <c r="P51" s="34" t="inlineStr">
        <is>
          <t>Open folder</t>
        </is>
      </c>
      <c r="Q51" s="33" t="inlineStr">
        <is>
          <t>View image (jpg)</t>
        </is>
      </c>
      <c r="R51" s="24">
        <f>IMAGE("https://raw.githubusercontent.com/RepoKing23/InstagramCarousel/claude/med-spa-carousel-ideas-sim9wz/content/2026-10-24-client-words-the-lip-glow/images/before-after-result.jpg")</f>
        <v/>
      </c>
      <c r="S51" s="30" t="inlineStr">
        <is>
          <t>Ready</t>
        </is>
      </c>
      <c r="T51" s="30" t="n"/>
      <c r="U51" s="30" t="n"/>
      <c r="V51" s="30" t="n"/>
      <c r="W51" s="30" t="n"/>
      <c r="X51" s="30" t="n"/>
      <c r="Y51" s="30" t="n"/>
      <c r="Z51" s="24" t="n"/>
      <c r="AA51" s="24" t="n"/>
      <c r="AB51" s="24" t="inlineStr">
        <is>
          <t>Not designed yet</t>
        </is>
      </c>
    </row>
    <row r="52" ht="57.45" customHeight="1" s="14">
      <c r="A52" s="27" t="n">
        <v>46321</v>
      </c>
      <c r="B52" s="28" t="inlineStr">
        <is>
          <t>Mon</t>
        </is>
      </c>
      <c r="C52" s="28" t="n">
        <v>11</v>
      </c>
      <c r="D52" s="28" t="inlineStr">
        <is>
          <t>Fillers, Naturally</t>
        </is>
      </c>
      <c r="E52" s="28" t="inlineStr">
        <is>
          <t>Carousel</t>
        </is>
      </c>
      <c r="F52" s="24" t="inlineStr">
        <is>
          <t>Light</t>
        </is>
      </c>
      <c r="G52" s="28" t="inlineStr">
        <is>
          <t>Instagram feed + GBP</t>
        </is>
      </c>
      <c r="H52" s="28" t="inlineStr">
        <is>
          <t>Education</t>
        </is>
      </c>
      <c r="I52" s="28" t="inlineStr">
        <is>
          <t>5 Filler Lies You Still Believe | The sequel you asked for.</t>
        </is>
      </c>
      <c r="J52" s="28" t="inlineStr">
        <is>
          <t>You loved the Botox edition, so here is the filler truth round. Slide 4 is the one that surprises everyone. Share it with your group chat.
#dermalfiller #lipfiller #cheekfiller #naturalfiller #facialbalancing #lipfillernatural #aestheticnurse #medspa #fillerjourney #lipgoals</t>
        </is>
      </c>
      <c r="K52" s="28" t="inlineStr">
        <is>
          <t>Share with a friend</t>
        </is>
      </c>
      <c r="L52" s="28" t="inlineStr">
        <is>
          <t>Set B</t>
        </is>
      </c>
      <c r="M52" s="28" t="inlineStr">
        <is>
          <t>Design in editorial template. Sequel to Botox lies</t>
        </is>
      </c>
      <c r="N52" s="24" t="n"/>
      <c r="O52" s="24" t="inlineStr">
        <is>
          <t>https://github.com/RepoKing23/InstagramCarousel/tree/claude/med-spa-carousel-ideas-sim9wz/content/2026-10-26-5-filler-lies-you-still</t>
        </is>
      </c>
      <c r="P52" s="32" t="inlineStr">
        <is>
          <t>Open folder</t>
        </is>
      </c>
      <c r="Q52" s="24" t="inlineStr">
        <is>
          <t>Not designed yet</t>
        </is>
      </c>
      <c r="R52" s="24" t="n"/>
      <c r="S52" s="28" t="inlineStr">
        <is>
          <t>Idea</t>
        </is>
      </c>
      <c r="T52" s="28" t="n"/>
      <c r="U52" s="28" t="n"/>
      <c r="V52" s="28" t="n"/>
      <c r="W52" s="28" t="n"/>
      <c r="X52" s="28" t="n"/>
      <c r="Y52" s="28" t="n"/>
      <c r="Z52" s="24" t="n"/>
      <c r="AA52" s="24" t="n"/>
      <c r="AB52" s="24" t="inlineStr">
        <is>
          <t>Not designed yet</t>
        </is>
      </c>
    </row>
    <row r="53" ht="57.45" customHeight="1" s="14">
      <c r="A53" s="29" t="n">
        <v>46322</v>
      </c>
      <c r="B53" s="30" t="inlineStr">
        <is>
          <t>Tue</t>
        </is>
      </c>
      <c r="C53" s="30" t="n">
        <v>11</v>
      </c>
      <c r="D53" s="30" t="inlineStr">
        <is>
          <t>Fillers, Naturally</t>
        </is>
      </c>
      <c r="E53" s="30" t="inlineStr">
        <is>
          <t>Single Image</t>
        </is>
      </c>
      <c r="F53" s="24" t="inlineStr">
        <is>
          <t>Dark</t>
        </is>
      </c>
      <c r="G53" s="30" t="inlineStr">
        <is>
          <t>IG + FB + TikTok photo + GBP</t>
        </is>
      </c>
      <c r="H53" s="30" t="inlineStr">
        <is>
          <t>Education</t>
        </is>
      </c>
      <c r="I53" s="30" t="inlineStr">
        <is>
          <t>Myth vs Truth: Filler Edition | The one everyone believes.</t>
        </is>
      </c>
      <c r="J53" s="30" t="inlineStr">
        <is>
          <t>MYTH: filler stretches your lips forever. TRUTH: treated well, your lips return to baseline as filler softens.
#dermalfiller #lipfiller #cheekfiller #naturalfiller #facialbalancing #lipfillernatural #aestheticnurse #medspa #fillerjourney #lipgoals</t>
        </is>
      </c>
      <c r="K53" s="30" t="inlineStr">
        <is>
          <t>Full carousel on our feed</t>
        </is>
      </c>
      <c r="L53" s="30" t="inlineStr">
        <is>
          <t>Set B</t>
        </is>
      </c>
      <c r="M53" s="30" t="inlineStr">
        <is>
          <t>Single image: myth vs truth split card</t>
        </is>
      </c>
      <c r="N53" s="24" t="n"/>
      <c r="O53" s="24" t="inlineStr">
        <is>
          <t>https://github.com/RepoKing23/InstagramCarousel/tree/claude/med-spa-carousel-ideas-sim9wz/content/2026-10-27-myth-vs-truth-filler-edition</t>
        </is>
      </c>
      <c r="P53" s="34" t="inlineStr">
        <is>
          <t>Open folder</t>
        </is>
      </c>
      <c r="Q53" s="24" t="inlineStr">
        <is>
          <t>Not designed yet</t>
        </is>
      </c>
      <c r="R53" s="24" t="n"/>
      <c r="S53" s="30" t="inlineStr">
        <is>
          <t>Idea</t>
        </is>
      </c>
      <c r="T53" s="30" t="n"/>
      <c r="U53" s="30" t="n"/>
      <c r="V53" s="30" t="n"/>
      <c r="W53" s="30" t="n"/>
      <c r="X53" s="30" t="n"/>
      <c r="Y53" s="30" t="n"/>
      <c r="Z53" s="24" t="n"/>
      <c r="AA53" s="24" t="n"/>
      <c r="AB53" s="24" t="inlineStr">
        <is>
          <t>Not designed yet</t>
        </is>
      </c>
    </row>
    <row r="54" ht="57.45" customHeight="1" s="14">
      <c r="A54" s="27" t="n">
        <v>46324</v>
      </c>
      <c r="B54" s="28" t="inlineStr">
        <is>
          <t>Thu</t>
        </is>
      </c>
      <c r="C54" s="28" t="n">
        <v>11</v>
      </c>
      <c r="D54" s="28" t="inlineStr">
        <is>
          <t>Fillers, Naturally</t>
        </is>
      </c>
      <c r="E54" s="28" t="inlineStr">
        <is>
          <t>Carousel</t>
        </is>
      </c>
      <c r="F54" s="24" t="inlineStr">
        <is>
          <t>Light</t>
        </is>
      </c>
      <c r="G54" s="28" t="inlineStr">
        <is>
          <t>Instagram feed + GBP</t>
        </is>
      </c>
      <c r="H54" s="28" t="inlineStr">
        <is>
          <t>Trust &amp; Proof</t>
        </is>
      </c>
      <c r="I54" s="28" t="inlineStr">
        <is>
          <t>Facial Balancing: Why We Treat Faces, Not Lines | Chasing lines is old school.</t>
        </is>
      </c>
      <c r="J54" s="28" t="inlineStr">
        <is>
          <t>Great aesthetics looks at the whole face: proportions, balance, harmony. Here is why the best results come from a plan, not a single syringe.
#dermalfiller #lipfiller #cheekfiller #naturalfiller #facialbalancing #lipfillernatural #aestheticnurse #medspa #fillerjourney #lipgoals</t>
        </is>
      </c>
      <c r="K54" s="28" t="inlineStr">
        <is>
          <t>DM BALANCE for a consult</t>
        </is>
      </c>
      <c r="L54" s="28" t="inlineStr">
        <is>
          <t>Set B</t>
        </is>
      </c>
      <c r="M54" s="28" t="inlineStr">
        <is>
          <t>Design in editorial template</t>
        </is>
      </c>
      <c r="N54" s="24" t="n"/>
      <c r="O54" s="24" t="inlineStr">
        <is>
          <t>https://github.com/RepoKing23/InstagramCarousel/tree/claude/med-spa-carousel-ideas-sim9wz/content/2026-10-29-facial-balancing-why-we-treat</t>
        </is>
      </c>
      <c r="P54" s="32" t="inlineStr">
        <is>
          <t>Open folder</t>
        </is>
      </c>
      <c r="Q54" s="24" t="inlineStr">
        <is>
          <t>Not designed yet</t>
        </is>
      </c>
      <c r="R54" s="24" t="n"/>
      <c r="S54" s="28" t="inlineStr">
        <is>
          <t>Idea</t>
        </is>
      </c>
      <c r="T54" s="28" t="n"/>
      <c r="U54" s="28" t="n"/>
      <c r="V54" s="28" t="n"/>
      <c r="W54" s="28" t="n"/>
      <c r="X54" s="28" t="n"/>
      <c r="Y54" s="28" t="n"/>
      <c r="Z54" s="24" t="n"/>
      <c r="AA54" s="24" t="n"/>
      <c r="AB54" s="24" t="inlineStr">
        <is>
          <t>Not designed yet</t>
        </is>
      </c>
    </row>
    <row r="55" ht="57.45" customHeight="1" s="14">
      <c r="A55" s="29" t="n">
        <v>46325</v>
      </c>
      <c r="B55" s="30" t="inlineStr">
        <is>
          <t>Fri</t>
        </is>
      </c>
      <c r="C55" s="30" t="n">
        <v>11</v>
      </c>
      <c r="D55" s="30" t="inlineStr">
        <is>
          <t>Fillers, Naturally</t>
        </is>
      </c>
      <c r="E55" s="30" t="inlineStr">
        <is>
          <t>Before/After</t>
        </is>
      </c>
      <c r="F55" s="24" t="inlineStr">
        <is>
          <t>Photo</t>
        </is>
      </c>
      <c r="G55" s="30" t="inlineStr">
        <is>
          <t>IG + FB + TikTok photo + GBP</t>
        </is>
      </c>
      <c r="H55" s="30" t="inlineStr">
        <is>
          <t>Trust &amp; Proof</t>
        </is>
      </c>
      <c r="I55" s="30" t="inlineStr">
        <is>
          <t>One Syringe. Balanced Lips. | Faces, not lines.</t>
        </is>
      </c>
      <c r="J55" s="30" t="inlineStr">
        <is>
          <t>Chasing individual lines is old school. Balance is why my clients look rested instead of done. One syringe, placed where her lip actually needed it. Individual results vary. Shared with consent.
#dermalfiller #lipfiller #cheekfiller #naturalfiller #facialbalancing #lipfillernatural #aestheticnurse #medspa #fillerjourney #lipgoals</t>
        </is>
      </c>
      <c r="K55" s="30" t="inlineStr">
        <is>
          <t>Book a consult. Link in bio</t>
        </is>
      </c>
      <c r="L55" s="30" t="inlineStr">
        <is>
          <t>Set B</t>
        </is>
      </c>
      <c r="M55" s="30" t="inlineStr">
        <is>
          <t>Before and after card in editorial template. Crop to treatment area, no faces</t>
        </is>
      </c>
      <c r="N55" s="24" t="inlineStr">
        <is>
          <t>img_0221 (before), img_0233 (after)</t>
        </is>
      </c>
      <c r="O55" s="24" t="inlineStr">
        <is>
          <t>On file</t>
        </is>
      </c>
      <c r="P55" s="34" t="inlineStr">
        <is>
          <t>Open folder</t>
        </is>
      </c>
      <c r="Q55" s="33" t="inlineStr">
        <is>
          <t>View image (jpg)</t>
        </is>
      </c>
      <c r="R55" s="24">
        <f>IMAGE("https://raw.githubusercontent.com/RepoKing23/InstagramCarousel/claude/med-spa-carousel-ideas-sim9wz/content/2026-10-30-one-syringe-balanced-lips/images/before-after-result.jpg")</f>
        <v/>
      </c>
      <c r="S55" s="30" t="inlineStr">
        <is>
          <t>Ready</t>
        </is>
      </c>
      <c r="T55" s="30" t="n"/>
      <c r="U55" s="30" t="n"/>
      <c r="V55" s="30" t="n"/>
      <c r="W55" s="30" t="n"/>
      <c r="X55" s="30" t="n"/>
      <c r="Y55" s="30" t="n"/>
      <c r="Z55" s="24" t="n"/>
      <c r="AA55" s="24" t="n"/>
      <c r="AB55" s="24" t="inlineStr">
        <is>
          <t>Not designed yet</t>
        </is>
      </c>
    </row>
    <row r="56" ht="57.45" customHeight="1" s="14">
      <c r="A56" s="29" t="n">
        <v>46326</v>
      </c>
      <c r="B56" s="30" t="inlineStr">
        <is>
          <t>Sat</t>
        </is>
      </c>
      <c r="C56" s="30" t="n">
        <v>11</v>
      </c>
      <c r="D56" s="30" t="inlineStr">
        <is>
          <t>Fillers, Naturally</t>
        </is>
      </c>
      <c r="E56" s="30" t="inlineStr">
        <is>
          <t>Single Image</t>
        </is>
      </c>
      <c r="F56" s="24" t="inlineStr">
        <is>
          <t>Light</t>
        </is>
      </c>
      <c r="G56" s="30" t="inlineStr">
        <is>
          <t>IG + FB + TikTok photo + GBP</t>
        </is>
      </c>
      <c r="H56" s="30" t="inlineStr">
        <is>
          <t>Personality &amp; BTS</t>
        </is>
      </c>
      <c r="I56" s="30" t="inlineStr">
        <is>
          <t>Ask Anything: Filler Edition | Ask me the filler question you have been sitting on.</t>
        </is>
      </c>
      <c r="J56" s="30" t="inlineStr">
        <is>
          <t>Filler month is almost over. Drop every remaining question below and I will answer all of them. No judgment. 👇
#npinjector #nursepractitioner #medspalife #luxurybeauty #aestheticnurse #skincareexpert #beautyclinic #selfcare #naturalresults #honestbeauty</t>
        </is>
      </c>
      <c r="K56" s="30" t="inlineStr">
        <is>
          <t>Comment your question</t>
        </is>
      </c>
      <c r="L56" s="30" t="inlineStr">
        <is>
          <t>Set C</t>
        </is>
      </c>
      <c r="M56" s="30" t="inlineStr">
        <is>
          <t>Engagement card in brand style</t>
        </is>
      </c>
      <c r="N56" s="24" t="n"/>
      <c r="O56" s="24" t="inlineStr">
        <is>
          <t>https://github.com/RepoKing23/InstagramCarousel/tree/claude/med-spa-carousel-ideas-sim9wz/content/2026-10-31-ask-anything-filler-edition</t>
        </is>
      </c>
      <c r="P56" s="34" t="inlineStr">
        <is>
          <t>Open folder</t>
        </is>
      </c>
      <c r="Q56" s="24" t="inlineStr">
        <is>
          <t>Not designed yet</t>
        </is>
      </c>
      <c r="R56" s="24" t="n"/>
      <c r="S56" s="30" t="inlineStr">
        <is>
          <t>Idea</t>
        </is>
      </c>
      <c r="T56" s="30" t="n"/>
      <c r="U56" s="30" t="n"/>
      <c r="V56" s="30" t="n"/>
      <c r="W56" s="30" t="n"/>
      <c r="X56" s="30" t="n"/>
      <c r="Y56" s="30" t="n"/>
      <c r="Z56" s="24" t="n"/>
      <c r="AA56" s="24" t="n"/>
      <c r="AB56" s="24" t="inlineStr">
        <is>
          <t>Not designed yet</t>
        </is>
      </c>
    </row>
    <row r="57" ht="57.45" customHeight="1" s="14">
      <c r="A57" s="27" t="n">
        <v>46328</v>
      </c>
      <c r="B57" s="28" t="inlineStr">
        <is>
          <t>Mon</t>
        </is>
      </c>
      <c r="C57" s="28" t="n">
        <v>12</v>
      </c>
      <c r="D57" s="28" t="inlineStr">
        <is>
          <t>Rested by the Holidays</t>
        </is>
      </c>
      <c r="E57" s="28" t="inlineStr">
        <is>
          <t>Carousel</t>
        </is>
      </c>
      <c r="F57" s="24" t="inlineStr">
        <is>
          <t>Dark</t>
        </is>
      </c>
      <c r="G57" s="28" t="inlineStr">
        <is>
          <t>Instagram feed + GBP</t>
        </is>
      </c>
      <c r="H57" s="28" t="inlineStr">
        <is>
          <t>Promo &amp; CTA</t>
        </is>
      </c>
      <c r="I57" s="28" t="inlineStr">
        <is>
          <t>Rested by the Holidays: Your Treatment Timeline | Party season is closer than you think.</t>
        </is>
      </c>
      <c r="J57" s="28" t="inlineStr">
        <is>
          <t>Botox needs 2 weeks to settle. Filler needs up to 4. If you want to glow in the December photos, here is exactly when to book each treatment. 🗓️
#holidayglow #treatyourself #giftcertificate #bookyourappointment #medspaspecial #glowupseason #selfcaregift #luxuryselfcare #holidayready #giftideas</t>
        </is>
      </c>
      <c r="K57" s="28" t="inlineStr">
        <is>
          <t>Book now. Link in bio</t>
        </is>
      </c>
      <c r="L57" s="28" t="inlineStr">
        <is>
          <t>Set E</t>
        </is>
      </c>
      <c r="M57" s="28" t="inlineStr">
        <is>
          <t>Design holiday timeline layout</t>
        </is>
      </c>
      <c r="N57" s="24" t="n"/>
      <c r="O57" s="24" t="inlineStr">
        <is>
          <t>https://github.com/RepoKing23/InstagramCarousel/tree/claude/med-spa-carousel-ideas-sim9wz/content/2026-11-02-rested-by-the-holidays-your</t>
        </is>
      </c>
      <c r="P57" s="32" t="inlineStr">
        <is>
          <t>Open folder</t>
        </is>
      </c>
      <c r="Q57" s="24" t="inlineStr">
        <is>
          <t>Not designed yet</t>
        </is>
      </c>
      <c r="R57" s="24" t="n"/>
      <c r="S57" s="28" t="inlineStr">
        <is>
          <t>Idea</t>
        </is>
      </c>
      <c r="T57" s="28" t="n"/>
      <c r="U57" s="28" t="n"/>
      <c r="V57" s="28" t="n"/>
      <c r="W57" s="28" t="n"/>
      <c r="X57" s="28" t="n"/>
      <c r="Y57" s="28" t="n"/>
      <c r="Z57" s="24" t="n"/>
      <c r="AA57" s="24" t="n"/>
      <c r="AB57" s="24" t="inlineStr">
        <is>
          <t>Not designed yet</t>
        </is>
      </c>
    </row>
    <row r="58" ht="57.45" customHeight="1" s="14">
      <c r="A58" s="29" t="n">
        <v>46329</v>
      </c>
      <c r="B58" s="30" t="inlineStr">
        <is>
          <t>Tue</t>
        </is>
      </c>
      <c r="C58" s="30" t="n">
        <v>12</v>
      </c>
      <c r="D58" s="30" t="inlineStr">
        <is>
          <t>Rested by the Holidays</t>
        </is>
      </c>
      <c r="E58" s="30" t="inlineStr">
        <is>
          <t>Single Image</t>
        </is>
      </c>
      <c r="F58" s="24" t="inlineStr">
        <is>
          <t>Dark</t>
        </is>
      </c>
      <c r="G58" s="30" t="inlineStr">
        <is>
          <t>IG + FB + TikTok photo + GBP</t>
        </is>
      </c>
      <c r="H58" s="30" t="inlineStr">
        <is>
          <t>Promo &amp; CTA</t>
        </is>
      </c>
      <c r="I58" s="30" t="inlineStr">
        <is>
          <t>Holiday Countdown: Book by These Dates | Work backwards from party season.</t>
        </is>
      </c>
      <c r="J58" s="30" t="inlineStr">
        <is>
          <t>Botox needs 2 weeks. Filler needs 4. If you want to glow in the December photos, these are your deadlines. 🗓️
#holidayglow #treatyourself #giftcertificate #bookyourappointment #medspaspecial #glowupseason #selfcaregift #luxuryselfcare #holidayready #giftideas</t>
        </is>
      </c>
      <c r="K58" s="30" t="inlineStr">
        <is>
          <t>Book now. Link in bio</t>
        </is>
      </c>
      <c r="L58" s="30" t="inlineStr">
        <is>
          <t>Set E</t>
        </is>
      </c>
      <c r="M58" s="30" t="inlineStr">
        <is>
          <t>Single image: countdown-dates card</t>
        </is>
      </c>
      <c r="N58" s="24" t="n"/>
      <c r="O58" s="24" t="inlineStr">
        <is>
          <t>https://github.com/RepoKing23/InstagramCarousel/tree/claude/med-spa-carousel-ideas-sim9wz/content/2026-11-03-holiday-countdown-book-by-these</t>
        </is>
      </c>
      <c r="P58" s="34" t="inlineStr">
        <is>
          <t>Open folder</t>
        </is>
      </c>
      <c r="Q58" s="24" t="inlineStr">
        <is>
          <t>Not designed yet</t>
        </is>
      </c>
      <c r="R58" s="24" t="n"/>
      <c r="S58" s="30" t="inlineStr">
        <is>
          <t>Idea</t>
        </is>
      </c>
      <c r="T58" s="30" t="n"/>
      <c r="U58" s="30" t="n"/>
      <c r="V58" s="30" t="n"/>
      <c r="W58" s="30" t="n"/>
      <c r="X58" s="30" t="n"/>
      <c r="Y58" s="30" t="n"/>
      <c r="Z58" s="24" t="n"/>
      <c r="AA58" s="24" t="n"/>
      <c r="AB58" s="24" t="inlineStr">
        <is>
          <t>Not designed yet</t>
        </is>
      </c>
    </row>
    <row r="59" ht="57.45" customHeight="1" s="14">
      <c r="A59" s="27" t="n">
        <v>46331</v>
      </c>
      <c r="B59" s="28" t="inlineStr">
        <is>
          <t>Thu</t>
        </is>
      </c>
      <c r="C59" s="28" t="n">
        <v>12</v>
      </c>
      <c r="D59" s="28" t="inlineStr">
        <is>
          <t>Rested by the Holidays</t>
        </is>
      </c>
      <c r="E59" s="28" t="inlineStr">
        <is>
          <t>Carousel</t>
        </is>
      </c>
      <c r="F59" s="24" t="inlineStr">
        <is>
          <t>Light</t>
        </is>
      </c>
      <c r="G59" s="28" t="inlineStr">
        <is>
          <t>Instagram feed + GBP</t>
        </is>
      </c>
      <c r="H59" s="28" t="inlineStr">
        <is>
          <t>Promo &amp; CTA</t>
        </is>
      </c>
      <c r="I59" s="28" t="inlineStr">
        <is>
          <t>Party Season Prep: What to Book and When | Your holiday glow, planned backwards.</t>
        </is>
      </c>
      <c r="J59" s="28" t="inlineStr">
        <is>
          <t>Work back from your event date and nothing is rushed, nothing is swollen, and everything looks like you. Here is the smart booking order.
#holidayglow #treatyourself #giftcertificate #bookyourappointment #medspaspecial #glowupseason #selfcaregift #luxuryselfcare #holidayready #giftideas</t>
        </is>
      </c>
      <c r="K59" s="28" t="inlineStr">
        <is>
          <t>DM HOLIDAY to book</t>
        </is>
      </c>
      <c r="L59" s="28" t="inlineStr">
        <is>
          <t>Set E</t>
        </is>
      </c>
      <c r="M59" s="28" t="inlineStr">
        <is>
          <t>Design in editorial template</t>
        </is>
      </c>
      <c r="N59" s="24" t="n"/>
      <c r="O59" s="24" t="inlineStr">
        <is>
          <t>https://github.com/RepoKing23/InstagramCarousel/tree/claude/med-spa-carousel-ideas-sim9wz/content/2026-11-05-party-season-prep-what-to</t>
        </is>
      </c>
      <c r="P59" s="32" t="inlineStr">
        <is>
          <t>Open folder</t>
        </is>
      </c>
      <c r="Q59" s="24" t="inlineStr">
        <is>
          <t>Not designed yet</t>
        </is>
      </c>
      <c r="R59" s="24" t="n"/>
      <c r="S59" s="28" t="inlineStr">
        <is>
          <t>Idea</t>
        </is>
      </c>
      <c r="T59" s="28" t="n"/>
      <c r="U59" s="28" t="n"/>
      <c r="V59" s="28" t="n"/>
      <c r="W59" s="28" t="n"/>
      <c r="X59" s="28" t="n"/>
      <c r="Y59" s="28" t="n"/>
      <c r="Z59" s="24" t="n"/>
      <c r="AA59" s="24" t="n"/>
      <c r="AB59" s="24" t="inlineStr">
        <is>
          <t>Not designed yet</t>
        </is>
      </c>
    </row>
    <row r="60" ht="57.45" customHeight="1" s="14">
      <c r="A60" s="29" t="n">
        <v>46332</v>
      </c>
      <c r="B60" s="30" t="inlineStr">
        <is>
          <t>Fri</t>
        </is>
      </c>
      <c r="C60" s="30" t="n">
        <v>12</v>
      </c>
      <c r="D60" s="30" t="inlineStr">
        <is>
          <t>Rested by the Holidays</t>
        </is>
      </c>
      <c r="E60" s="30" t="inlineStr">
        <is>
          <t>Carousel</t>
        </is>
      </c>
      <c r="F60" s="24" t="inlineStr">
        <is>
          <t>Photo</t>
        </is>
      </c>
      <c r="G60" s="30" t="inlineStr">
        <is>
          <t>Instagram feed + GBP</t>
        </is>
      </c>
      <c r="H60" s="30" t="inlineStr">
        <is>
          <t>Trust &amp; Proof</t>
        </is>
      </c>
      <c r="I60" s="30" t="inlineStr">
        <is>
          <t>One Result, Every Angle | No flattering angle. Every angle.</t>
        </is>
      </c>
      <c r="J60" s="30" t="inlineStr">
        <is>
          <t>Anyone can find one good angle. This is the same client, same lips, six angles, fully healed. That is the whole test. Individual results vary. Shared with consent.
#dermalfiller #lipfiller #cheekfiller #naturalfiller #facialbalancing #lipfillernatural #aestheticnurse #medspa #fillerjourney #lipgoals</t>
        </is>
      </c>
      <c r="K60" s="30" t="inlineStr">
        <is>
          <t>DM LIPS to book</t>
        </is>
      </c>
      <c r="L60" s="30" t="inlineStr">
        <is>
          <t>Set B</t>
        </is>
      </c>
      <c r="M60" s="30" t="inlineStr">
        <is>
          <t>Carousel: 6 angles of one healed result. Crop to treatment area, no faces</t>
        </is>
      </c>
      <c r="N60" s="24" t="inlineStr">
        <is>
          <t>img_4775, 4777, 4778, 4780, 4781, 4782</t>
        </is>
      </c>
      <c r="O60" s="24" t="inlineStr">
        <is>
          <t>On file</t>
        </is>
      </c>
      <c r="P60" s="34" t="inlineStr">
        <is>
          <t>Open folder</t>
        </is>
      </c>
      <c r="Q60" s="33" t="inlineStr">
        <is>
          <t>View 7 slides (jpg)</t>
        </is>
      </c>
      <c r="R60" s="24">
        <f>IMAGE("https://raw.githubusercontent.com/RepoKing23/InstagramCarousel/claude/med-spa-carousel-ideas-sim9wz/content/2026-11-06-one-result-every-angle/images/slide-1.jpg")</f>
        <v/>
      </c>
      <c r="S60" s="30" t="inlineStr">
        <is>
          <t>Ready</t>
        </is>
      </c>
      <c r="T60" s="30" t="n"/>
      <c r="U60" s="30" t="n"/>
      <c r="V60" s="30" t="n"/>
      <c r="W60" s="30" t="n"/>
      <c r="X60" s="30" t="n"/>
      <c r="Y60" s="30" t="n"/>
      <c r="Z60" s="24" t="n"/>
      <c r="AA60" s="24" t="n"/>
      <c r="AB60" s="24" t="inlineStr">
        <is>
          <t>Not designed yet</t>
        </is>
      </c>
    </row>
    <row r="61" ht="57.45" customHeight="1" s="14">
      <c r="A61" s="29" t="n">
        <v>46333</v>
      </c>
      <c r="B61" s="30" t="inlineStr">
        <is>
          <t>Sat</t>
        </is>
      </c>
      <c r="C61" s="30" t="n">
        <v>12</v>
      </c>
      <c r="D61" s="30" t="inlineStr">
        <is>
          <t>Rested by the Holidays</t>
        </is>
      </c>
      <c r="E61" s="30" t="inlineStr">
        <is>
          <t>Single Image</t>
        </is>
      </c>
      <c r="F61" s="24" t="inlineStr">
        <is>
          <t>Light</t>
        </is>
      </c>
      <c r="G61" s="30" t="inlineStr">
        <is>
          <t>IG + FB + TikTok photo + GBP</t>
        </is>
      </c>
      <c r="H61" s="30" t="inlineStr">
        <is>
          <t>Promo &amp; CTA</t>
        </is>
      </c>
      <c r="I61" s="30" t="inlineStr">
        <is>
          <t>Quote: Book the Appointment | Seasonal self-care push.</t>
        </is>
      </c>
      <c r="J61" s="30" t="inlineStr">
        <is>
          <t>You cannot pour from an empty cup. Book the appointment. Take the hour. You have earned it. 💛
#holidayglow #treatyourself #giftcertificate #bookyourappointment #medspaspecial #glowupseason #selfcaregift #luxuryselfcare #holidayready #giftideas</t>
        </is>
      </c>
      <c r="K61" s="30" t="inlineStr">
        <is>
          <t>Link in bio</t>
        </is>
      </c>
      <c r="L61" s="30" t="inlineStr">
        <is>
          <t>Set E</t>
        </is>
      </c>
      <c r="M61" s="30" t="inlineStr">
        <is>
          <t>Quote card in brand style</t>
        </is>
      </c>
      <c r="N61" s="24" t="n"/>
      <c r="O61" s="24" t="inlineStr">
        <is>
          <t>https://github.com/RepoKing23/InstagramCarousel/tree/claude/med-spa-carousel-ideas-sim9wz/content/2026-11-07-quote-book-the-appointment</t>
        </is>
      </c>
      <c r="P61" s="34" t="inlineStr">
        <is>
          <t>Open folder</t>
        </is>
      </c>
      <c r="Q61" s="24" t="inlineStr">
        <is>
          <t>Not designed yet</t>
        </is>
      </c>
      <c r="R61" s="24" t="n"/>
      <c r="S61" s="30" t="inlineStr">
        <is>
          <t>Idea</t>
        </is>
      </c>
      <c r="T61" s="30" t="n"/>
      <c r="U61" s="30" t="n"/>
      <c r="V61" s="30" t="n"/>
      <c r="W61" s="30" t="n"/>
      <c r="X61" s="30" t="n"/>
      <c r="Y61" s="30" t="n"/>
      <c r="Z61" s="24" t="n"/>
      <c r="AA61" s="24" t="n"/>
      <c r="AB61" s="24" t="inlineStr">
        <is>
          <t>Not designed yet</t>
        </is>
      </c>
    </row>
    <row r="62" ht="57.45" customHeight="1" s="14">
      <c r="A62" s="27" t="n">
        <v>46335</v>
      </c>
      <c r="B62" s="28" t="inlineStr">
        <is>
          <t>Mon</t>
        </is>
      </c>
      <c r="C62" s="28" t="n">
        <v>13</v>
      </c>
      <c r="D62" s="28" t="inlineStr">
        <is>
          <t>Rested by the Holidays</t>
        </is>
      </c>
      <c r="E62" s="28" t="inlineStr">
        <is>
          <t>Carousel</t>
        </is>
      </c>
      <c r="F62" s="24" t="inlineStr">
        <is>
          <t>Dark</t>
        </is>
      </c>
      <c r="G62" s="28" t="inlineStr">
        <is>
          <t>Instagram feed + GBP</t>
        </is>
      </c>
      <c r="H62" s="28" t="inlineStr">
        <is>
          <t>Promo &amp; CTA</t>
        </is>
      </c>
      <c r="I62" s="28" t="inlineStr">
        <is>
          <t>The Gift of Glow: Gift Certificates Are Here | The present nobody returns.</t>
        </is>
      </c>
      <c r="J62" s="28" t="inlineStr">
        <is>
          <t>Give the people you love something they actually want. Luxury Beauty gift certificates are available in any amount, wrapped and ready. 🎁
#holidayglow #treatyourself #giftcertificate #bookyourappointment #medspaspecial #glowupseason #selfcaregift #luxuryselfcare #holidayready #giftideas</t>
        </is>
      </c>
      <c r="K62" s="28" t="inlineStr">
        <is>
          <t>DM GIFT to order</t>
        </is>
      </c>
      <c r="L62" s="28" t="inlineStr">
        <is>
          <t>Set E</t>
        </is>
      </c>
      <c r="M62" s="28" t="inlineStr">
        <is>
          <t>Design gift certificate reveal layout</t>
        </is>
      </c>
      <c r="N62" s="24" t="n"/>
      <c r="O62" s="24" t="inlineStr">
        <is>
          <t>https://github.com/RepoKing23/InstagramCarousel/tree/claude/med-spa-carousel-ideas-sim9wz/content/2026-11-09-the-gift-of-glow-gift</t>
        </is>
      </c>
      <c r="P62" s="32" t="inlineStr">
        <is>
          <t>Open folder</t>
        </is>
      </c>
      <c r="Q62" s="24" t="inlineStr">
        <is>
          <t>Not designed yet</t>
        </is>
      </c>
      <c r="R62" s="24" t="n"/>
      <c r="S62" s="28" t="inlineStr">
        <is>
          <t>Idea</t>
        </is>
      </c>
      <c r="T62" s="28" t="n"/>
      <c r="U62" s="28" t="n"/>
      <c r="V62" s="28" t="n"/>
      <c r="W62" s="28" t="n"/>
      <c r="X62" s="28" t="n"/>
      <c r="Y62" s="28" t="n"/>
      <c r="Z62" s="24" t="n"/>
      <c r="AA62" s="24" t="n"/>
      <c r="AB62" s="24" t="inlineStr">
        <is>
          <t>Not designed yet</t>
        </is>
      </c>
    </row>
    <row r="63" ht="57.45" customHeight="1" s="14">
      <c r="A63" s="29" t="n">
        <v>46336</v>
      </c>
      <c r="B63" s="30" t="inlineStr">
        <is>
          <t>Tue</t>
        </is>
      </c>
      <c r="C63" s="30" t="n">
        <v>13</v>
      </c>
      <c r="D63" s="30" t="inlineStr">
        <is>
          <t>Rested by the Holidays</t>
        </is>
      </c>
      <c r="E63" s="30" t="inlineStr">
        <is>
          <t>Single Image</t>
        </is>
      </c>
      <c r="F63" s="24" t="inlineStr">
        <is>
          <t>Light</t>
        </is>
      </c>
      <c r="G63" s="30" t="inlineStr">
        <is>
          <t>IG + FB + TikTok photo + GBP</t>
        </is>
      </c>
      <c r="H63" s="30" t="inlineStr">
        <is>
          <t>Promo &amp; CTA</t>
        </is>
      </c>
      <c r="I63" s="30" t="inlineStr">
        <is>
          <t>Gift Certificates Are Here | The present nobody returns.</t>
        </is>
      </c>
      <c r="J63" s="30" t="inlineStr">
        <is>
          <t>In any amount, wrapped and beautiful. Give the people you love something they actually want. 🎁
#holidayglow #treatyourself #giftcertificate #bookyourappointment #medspaspecial #glowupseason #selfcaregift #luxuryselfcare #holidayready #giftideas</t>
        </is>
      </c>
      <c r="K63" s="30" t="inlineStr">
        <is>
          <t>DM GIFT to order</t>
        </is>
      </c>
      <c r="L63" s="30" t="inlineStr">
        <is>
          <t>Set E</t>
        </is>
      </c>
      <c r="M63" s="30" t="inlineStr">
        <is>
          <t>Single image: gift certificate photo + hook</t>
        </is>
      </c>
      <c r="N63" s="24" t="n"/>
      <c r="O63" s="24" t="inlineStr">
        <is>
          <t>https://github.com/RepoKing23/InstagramCarousel/tree/claude/med-spa-carousel-ideas-sim9wz/content/2026-11-10-gift-certificates-are-here</t>
        </is>
      </c>
      <c r="P63" s="34" t="inlineStr">
        <is>
          <t>Open folder</t>
        </is>
      </c>
      <c r="Q63" s="24" t="inlineStr">
        <is>
          <t>Not designed yet</t>
        </is>
      </c>
      <c r="R63" s="24" t="n"/>
      <c r="S63" s="30" t="inlineStr">
        <is>
          <t>Idea</t>
        </is>
      </c>
      <c r="T63" s="30" t="n"/>
      <c r="U63" s="30" t="n"/>
      <c r="V63" s="30" t="n"/>
      <c r="W63" s="30" t="n"/>
      <c r="X63" s="30" t="n"/>
      <c r="Y63" s="30" t="n"/>
      <c r="Z63" s="24" t="n"/>
      <c r="AA63" s="24" t="n"/>
      <c r="AB63" s="24" t="inlineStr">
        <is>
          <t>Not designed yet</t>
        </is>
      </c>
    </row>
    <row r="64" ht="57.45" customHeight="1" s="14">
      <c r="A64" s="27" t="n">
        <v>46338</v>
      </c>
      <c r="B64" s="28" t="inlineStr">
        <is>
          <t>Thu</t>
        </is>
      </c>
      <c r="C64" s="28" t="n">
        <v>13</v>
      </c>
      <c r="D64" s="28" t="inlineStr">
        <is>
          <t>Rested by the Holidays</t>
        </is>
      </c>
      <c r="E64" s="28" t="inlineStr">
        <is>
          <t>Carousel</t>
        </is>
      </c>
      <c r="F64" s="24" t="inlineStr">
        <is>
          <t>Light</t>
        </is>
      </c>
      <c r="G64" s="28" t="inlineStr">
        <is>
          <t>Instagram feed + GBP</t>
        </is>
      </c>
      <c r="H64" s="28" t="inlineStr">
        <is>
          <t>Trust &amp; Proof</t>
        </is>
      </c>
      <c r="I64" s="28" t="inlineStr">
        <is>
          <t>3 Months of Honest Answers: The Recap | Real education. Real results. Thank you.</t>
        </is>
      </c>
      <c r="J64" s="28" t="inlineStr">
        <is>
          <t>Since August we have busted myths, answered your questions, and kept every promise about natural results. Here are the posts you loved most, in case you missed one. 💛
#npinjector #nursepractitioner #medspalife #luxurybeauty #aestheticnurse #skincareexpert #beautyclinic #selfcare #naturalresults #honestbeauty</t>
        </is>
      </c>
      <c r="K64" s="28" t="inlineStr">
        <is>
          <t>Follow for what is next</t>
        </is>
      </c>
      <c r="L64" s="28" t="inlineStr">
        <is>
          <t>Set C</t>
        </is>
      </c>
      <c r="M64" s="28" t="inlineStr">
        <is>
          <t>Compile top slides from past carousels</t>
        </is>
      </c>
      <c r="N64" s="24" t="n"/>
      <c r="O64" s="24" t="inlineStr">
        <is>
          <t>https://github.com/RepoKing23/InstagramCarousel/tree/claude/med-spa-carousel-ideas-sim9wz/content/2026-11-12-3-months-of-honest-answers</t>
        </is>
      </c>
      <c r="P64" s="32" t="inlineStr">
        <is>
          <t>Open folder</t>
        </is>
      </c>
      <c r="Q64" s="24" t="inlineStr">
        <is>
          <t>Not designed yet</t>
        </is>
      </c>
      <c r="R64" s="24" t="n"/>
      <c r="S64" s="28" t="inlineStr">
        <is>
          <t>Idea</t>
        </is>
      </c>
      <c r="T64" s="28" t="n"/>
      <c r="U64" s="28" t="n"/>
      <c r="V64" s="28" t="n"/>
      <c r="W64" s="28" t="n"/>
      <c r="X64" s="28" t="n"/>
      <c r="Y64" s="28" t="n"/>
      <c r="Z64" s="24" t="n"/>
      <c r="AA64" s="24" t="n"/>
      <c r="AB64" s="24" t="inlineStr">
        <is>
          <t>Not designed yet</t>
        </is>
      </c>
    </row>
    <row r="65" ht="57.45" customHeight="1" s="14">
      <c r="A65" s="29" t="n">
        <v>46339</v>
      </c>
      <c r="B65" s="30" t="inlineStr">
        <is>
          <t>Fri</t>
        </is>
      </c>
      <c r="C65" s="30" t="n">
        <v>13</v>
      </c>
      <c r="D65" s="30" t="inlineStr">
        <is>
          <t>Rested by the Holidays</t>
        </is>
      </c>
      <c r="E65" s="30" t="inlineStr">
        <is>
          <t>Single Image</t>
        </is>
      </c>
      <c r="F65" s="24" t="inlineStr">
        <is>
          <t>Light</t>
        </is>
      </c>
      <c r="G65" s="30" t="inlineStr">
        <is>
          <t>IG + FB + TikTok photo + GBP</t>
        </is>
      </c>
      <c r="H65" s="30" t="inlineStr">
        <is>
          <t>Personality &amp; BTS</t>
        </is>
      </c>
      <c r="I65" s="30" t="inlineStr">
        <is>
          <t>Thank You: 3 Months of Honest Aesthetics | Three months of honest answers. Thank you for every one.</t>
        </is>
      </c>
      <c r="J65" s="30" t="inlineStr">
        <is>
          <t>Since August you have asked incredible questions and trusted us with the answers. Here is to honest aesthetics. Thank you. 💛
#npinjector #nursepractitioner #medspalife #luxurybeauty #aestheticnurse #skincareexpert #beautyclinic #selfcare #naturalresults #honestbeauty</t>
        </is>
      </c>
      <c r="K65" s="30" t="inlineStr">
        <is>
          <t>Follow for what is next</t>
        </is>
      </c>
      <c r="L65" s="30" t="inlineStr">
        <is>
          <t>Set C</t>
        </is>
      </c>
      <c r="M65" s="30" t="inlineStr">
        <is>
          <t>Single image: team or Cleo photo + thank you overlay</t>
        </is>
      </c>
      <c r="N65" s="24" t="n"/>
      <c r="O65" s="24" t="inlineStr">
        <is>
          <t>https://github.com/RepoKing23/InstagramCarousel/tree/claude/med-spa-carousel-ideas-sim9wz/content/2026-11-13-thank-you-3-months-of</t>
        </is>
      </c>
      <c r="P65" s="34" t="inlineStr">
        <is>
          <t>Open folder</t>
        </is>
      </c>
      <c r="Q65" s="24" t="inlineStr">
        <is>
          <t>Not designed yet</t>
        </is>
      </c>
      <c r="R65" s="24" t="n"/>
      <c r="S65" s="30" t="inlineStr">
        <is>
          <t>Idea</t>
        </is>
      </c>
      <c r="T65" s="30" t="n"/>
      <c r="U65" s="30" t="n"/>
      <c r="V65" s="30" t="n"/>
      <c r="W65" s="30" t="n"/>
      <c r="X65" s="30" t="n"/>
      <c r="Y65" s="30" t="n"/>
      <c r="Z65" s="24" t="n"/>
      <c r="AA65" s="24" t="n"/>
      <c r="AB65" s="24" t="inlineStr">
        <is>
          <t>Not designed yet</t>
        </is>
      </c>
    </row>
    <row r="66" ht="57.45" customHeight="1" s="14">
      <c r="A66" s="29" t="n">
        <v>46340</v>
      </c>
      <c r="B66" s="30" t="inlineStr">
        <is>
          <t>Sat</t>
        </is>
      </c>
      <c r="C66" s="30" t="n">
        <v>13</v>
      </c>
      <c r="D66" s="30" t="inlineStr">
        <is>
          <t>Rested by the Holidays</t>
        </is>
      </c>
      <c r="E66" s="30" t="inlineStr">
        <is>
          <t>Single Image</t>
        </is>
      </c>
      <c r="F66" s="24" t="inlineStr">
        <is>
          <t>Dark</t>
        </is>
      </c>
      <c r="G66" s="30" t="inlineStr">
        <is>
          <t>IG + FB + TikTok photo + GBP</t>
        </is>
      </c>
      <c r="H66" s="30" t="inlineStr">
        <is>
          <t>Promo &amp; CTA</t>
        </is>
      </c>
      <c r="I66" s="30" t="inlineStr">
        <is>
          <t>Tag Someone Who Deserves a Glow-Up Gift | Engagement + promo close.</t>
        </is>
      </c>
      <c r="J66" s="30" t="inlineStr">
        <is>
          <t>Know someone who never treats themselves? Tag them below. We will take care of the rest. 🎁
#holidayglow #treatyourself #giftcertificate #bookyourappointment #medspaspecial #glowupseason #selfcaregift #luxuryselfcare #holidayready #giftideas</t>
        </is>
      </c>
      <c r="K66" s="30" t="inlineStr">
        <is>
          <t>Tag a friend</t>
        </is>
      </c>
      <c r="L66" s="30" t="inlineStr">
        <is>
          <t>Set E</t>
        </is>
      </c>
      <c r="M66" s="30" t="inlineStr">
        <is>
          <t>Engagement card in brand style</t>
        </is>
      </c>
      <c r="N66" s="24" t="n"/>
      <c r="O66" s="24" t="inlineStr">
        <is>
          <t>https://github.com/RepoKing23/InstagramCarousel/tree/claude/med-spa-carousel-ideas-sim9wz/content/2026-11-14-tag-someone-who-deserves-a</t>
        </is>
      </c>
      <c r="P66" s="34" t="inlineStr">
        <is>
          <t>Open folder</t>
        </is>
      </c>
      <c r="Q66" s="24" t="inlineStr">
        <is>
          <t>Not designed yet</t>
        </is>
      </c>
      <c r="R66" s="24" t="n"/>
      <c r="S66" s="30" t="inlineStr">
        <is>
          <t>Idea</t>
        </is>
      </c>
      <c r="T66" s="30" t="n"/>
      <c r="U66" s="30" t="n"/>
      <c r="V66" s="30" t="n"/>
      <c r="W66" s="30" t="n"/>
      <c r="X66" s="30" t="n"/>
      <c r="Y66" s="30" t="n"/>
      <c r="Z66" s="24" t="n"/>
      <c r="AA66" s="24" t="n"/>
      <c r="AB66" s="24" t="inlineStr">
        <is>
          <t>Not designed yet</t>
        </is>
      </c>
    </row>
  </sheetData>
  <dataValidations count="1">
    <dataValidation sqref="P2:P66" showDropDown="0" showInputMessage="0" showErrorMessage="0" allowBlank="1" type="list">
      <formula1>"Idea,Design,Ready,Hold,Posted"</formula1>
    </dataValidation>
  </dataValidations>
  <hyperlinks>
    <hyperlink xmlns:r="http://schemas.openxmlformats.org/officeDocument/2006/relationships" ref="O2" r:id="rId1"/>
    <hyperlink xmlns:r="http://schemas.openxmlformats.org/officeDocument/2006/relationships" ref="P2" r:id="rId2"/>
    <hyperlink xmlns:r="http://schemas.openxmlformats.org/officeDocument/2006/relationships" ref="Q2" r:id="rId3"/>
    <hyperlink xmlns:r="http://schemas.openxmlformats.org/officeDocument/2006/relationships" ref="AA2" r:id="rId4"/>
    <hyperlink xmlns:r="http://schemas.openxmlformats.org/officeDocument/2006/relationships" ref="AB2" r:id="rId5"/>
    <hyperlink xmlns:r="http://schemas.openxmlformats.org/officeDocument/2006/relationships" ref="O3" r:id="rId6"/>
    <hyperlink xmlns:r="http://schemas.openxmlformats.org/officeDocument/2006/relationships" ref="P3" r:id="rId7"/>
    <hyperlink xmlns:r="http://schemas.openxmlformats.org/officeDocument/2006/relationships" ref="Q3" r:id="rId8"/>
    <hyperlink xmlns:r="http://schemas.openxmlformats.org/officeDocument/2006/relationships" ref="AA3" r:id="rId9"/>
    <hyperlink xmlns:r="http://schemas.openxmlformats.org/officeDocument/2006/relationships" ref="AB3" r:id="rId10"/>
    <hyperlink xmlns:r="http://schemas.openxmlformats.org/officeDocument/2006/relationships" ref="O4" r:id="rId11"/>
    <hyperlink xmlns:r="http://schemas.openxmlformats.org/officeDocument/2006/relationships" ref="P4" r:id="rId12"/>
    <hyperlink xmlns:r="http://schemas.openxmlformats.org/officeDocument/2006/relationships" ref="Q4" r:id="rId13"/>
    <hyperlink xmlns:r="http://schemas.openxmlformats.org/officeDocument/2006/relationships" ref="AA4" r:id="rId14"/>
    <hyperlink xmlns:r="http://schemas.openxmlformats.org/officeDocument/2006/relationships" ref="AB4" r:id="rId15"/>
    <hyperlink xmlns:r="http://schemas.openxmlformats.org/officeDocument/2006/relationships" ref="O5" r:id="rId16"/>
    <hyperlink xmlns:r="http://schemas.openxmlformats.org/officeDocument/2006/relationships" ref="P5" r:id="rId17"/>
    <hyperlink xmlns:r="http://schemas.openxmlformats.org/officeDocument/2006/relationships" ref="Q5" r:id="rId18"/>
    <hyperlink xmlns:r="http://schemas.openxmlformats.org/officeDocument/2006/relationships" ref="AA5" r:id="rId19"/>
    <hyperlink xmlns:r="http://schemas.openxmlformats.org/officeDocument/2006/relationships" ref="AB5" r:id="rId20"/>
    <hyperlink xmlns:r="http://schemas.openxmlformats.org/officeDocument/2006/relationships" ref="O6" r:id="rId21"/>
    <hyperlink xmlns:r="http://schemas.openxmlformats.org/officeDocument/2006/relationships" ref="P6" r:id="rId22"/>
    <hyperlink xmlns:r="http://schemas.openxmlformats.org/officeDocument/2006/relationships" ref="Q6" r:id="rId23"/>
    <hyperlink xmlns:r="http://schemas.openxmlformats.org/officeDocument/2006/relationships" ref="AA6" r:id="rId24"/>
    <hyperlink xmlns:r="http://schemas.openxmlformats.org/officeDocument/2006/relationships" ref="AB6" r:id="rId25"/>
    <hyperlink xmlns:r="http://schemas.openxmlformats.org/officeDocument/2006/relationships" ref="O7" r:id="rId26"/>
    <hyperlink xmlns:r="http://schemas.openxmlformats.org/officeDocument/2006/relationships" ref="P7" r:id="rId27"/>
    <hyperlink xmlns:r="http://schemas.openxmlformats.org/officeDocument/2006/relationships" ref="Q7" r:id="rId28"/>
    <hyperlink xmlns:r="http://schemas.openxmlformats.org/officeDocument/2006/relationships" ref="AA7" r:id="rId29"/>
    <hyperlink xmlns:r="http://schemas.openxmlformats.org/officeDocument/2006/relationships" ref="AB7" r:id="rId30"/>
    <hyperlink xmlns:r="http://schemas.openxmlformats.org/officeDocument/2006/relationships" ref="O8" r:id="rId31"/>
    <hyperlink xmlns:r="http://schemas.openxmlformats.org/officeDocument/2006/relationships" ref="P8" r:id="rId32"/>
    <hyperlink xmlns:r="http://schemas.openxmlformats.org/officeDocument/2006/relationships" ref="Q8" r:id="rId33"/>
    <hyperlink xmlns:r="http://schemas.openxmlformats.org/officeDocument/2006/relationships" ref="AA8" r:id="rId34"/>
    <hyperlink xmlns:r="http://schemas.openxmlformats.org/officeDocument/2006/relationships" ref="AB8" r:id="rId35"/>
    <hyperlink xmlns:r="http://schemas.openxmlformats.org/officeDocument/2006/relationships" ref="O9" r:id="rId36"/>
    <hyperlink xmlns:r="http://schemas.openxmlformats.org/officeDocument/2006/relationships" ref="P9" r:id="rId37"/>
    <hyperlink xmlns:r="http://schemas.openxmlformats.org/officeDocument/2006/relationships" ref="Q9" r:id="rId38"/>
    <hyperlink xmlns:r="http://schemas.openxmlformats.org/officeDocument/2006/relationships" ref="AA9" r:id="rId39"/>
    <hyperlink xmlns:r="http://schemas.openxmlformats.org/officeDocument/2006/relationships" ref="AB9" r:id="rId40"/>
    <hyperlink xmlns:r="http://schemas.openxmlformats.org/officeDocument/2006/relationships" ref="O10" r:id="rId41"/>
    <hyperlink xmlns:r="http://schemas.openxmlformats.org/officeDocument/2006/relationships" ref="P10" r:id="rId42"/>
    <hyperlink xmlns:r="http://schemas.openxmlformats.org/officeDocument/2006/relationships" ref="Q10" r:id="rId43"/>
    <hyperlink xmlns:r="http://schemas.openxmlformats.org/officeDocument/2006/relationships" ref="AA10" r:id="rId44"/>
    <hyperlink xmlns:r="http://schemas.openxmlformats.org/officeDocument/2006/relationships" ref="AB10" r:id="rId45"/>
    <hyperlink xmlns:r="http://schemas.openxmlformats.org/officeDocument/2006/relationships" ref="O11" r:id="rId46"/>
    <hyperlink xmlns:r="http://schemas.openxmlformats.org/officeDocument/2006/relationships" ref="P11" r:id="rId47"/>
    <hyperlink xmlns:r="http://schemas.openxmlformats.org/officeDocument/2006/relationships" ref="Q11" r:id="rId48"/>
    <hyperlink xmlns:r="http://schemas.openxmlformats.org/officeDocument/2006/relationships" ref="AA11" r:id="rId49"/>
    <hyperlink xmlns:r="http://schemas.openxmlformats.org/officeDocument/2006/relationships" ref="AB11" r:id="rId50"/>
    <hyperlink xmlns:r="http://schemas.openxmlformats.org/officeDocument/2006/relationships" ref="O12" r:id="rId51"/>
    <hyperlink xmlns:r="http://schemas.openxmlformats.org/officeDocument/2006/relationships" ref="P12" r:id="rId52"/>
    <hyperlink xmlns:r="http://schemas.openxmlformats.org/officeDocument/2006/relationships" ref="Q12" r:id="rId53"/>
    <hyperlink xmlns:r="http://schemas.openxmlformats.org/officeDocument/2006/relationships" ref="AA12" r:id="rId54"/>
    <hyperlink xmlns:r="http://schemas.openxmlformats.org/officeDocument/2006/relationships" ref="AB12" r:id="rId55"/>
    <hyperlink xmlns:r="http://schemas.openxmlformats.org/officeDocument/2006/relationships" ref="O13" r:id="rId56"/>
    <hyperlink xmlns:r="http://schemas.openxmlformats.org/officeDocument/2006/relationships" ref="O14" r:id="rId57"/>
    <hyperlink xmlns:r="http://schemas.openxmlformats.org/officeDocument/2006/relationships" ref="O15" r:id="rId58"/>
    <hyperlink xmlns:r="http://schemas.openxmlformats.org/officeDocument/2006/relationships" ref="O16" r:id="rId59"/>
    <hyperlink xmlns:r="http://schemas.openxmlformats.org/officeDocument/2006/relationships" ref="O17" r:id="rId60"/>
    <hyperlink xmlns:r="http://schemas.openxmlformats.org/officeDocument/2006/relationships" ref="O18" r:id="rId61"/>
    <hyperlink xmlns:r="http://schemas.openxmlformats.org/officeDocument/2006/relationships" ref="O19" r:id="rId62"/>
    <hyperlink xmlns:r="http://schemas.openxmlformats.org/officeDocument/2006/relationships" ref="O20" r:id="rId63"/>
    <hyperlink xmlns:r="http://schemas.openxmlformats.org/officeDocument/2006/relationships" ref="O21" r:id="rId64"/>
    <hyperlink xmlns:r="http://schemas.openxmlformats.org/officeDocument/2006/relationships" ref="O22" r:id="rId65"/>
    <hyperlink xmlns:r="http://schemas.openxmlformats.org/officeDocument/2006/relationships" ref="O23" r:id="rId66"/>
    <hyperlink xmlns:r="http://schemas.openxmlformats.org/officeDocument/2006/relationships" ref="O24" r:id="rId67"/>
    <hyperlink xmlns:r="http://schemas.openxmlformats.org/officeDocument/2006/relationships" ref="O25" r:id="rId68"/>
    <hyperlink xmlns:r="http://schemas.openxmlformats.org/officeDocument/2006/relationships" ref="O26" r:id="rId69"/>
    <hyperlink xmlns:r="http://schemas.openxmlformats.org/officeDocument/2006/relationships" ref="O27" r:id="rId70"/>
    <hyperlink xmlns:r="http://schemas.openxmlformats.org/officeDocument/2006/relationships" ref="O28" r:id="rId71"/>
    <hyperlink xmlns:r="http://schemas.openxmlformats.org/officeDocument/2006/relationships" ref="O29" r:id="rId72"/>
    <hyperlink xmlns:r="http://schemas.openxmlformats.org/officeDocument/2006/relationships" ref="O30" r:id="rId73"/>
    <hyperlink xmlns:r="http://schemas.openxmlformats.org/officeDocument/2006/relationships" ref="O31" r:id="rId74"/>
    <hyperlink xmlns:r="http://schemas.openxmlformats.org/officeDocument/2006/relationships" ref="O32" r:id="rId75"/>
    <hyperlink xmlns:r="http://schemas.openxmlformats.org/officeDocument/2006/relationships" ref="O33" r:id="rId76"/>
    <hyperlink xmlns:r="http://schemas.openxmlformats.org/officeDocument/2006/relationships" ref="O34" r:id="rId77"/>
    <hyperlink xmlns:r="http://schemas.openxmlformats.org/officeDocument/2006/relationships" ref="O35" r:id="rId78"/>
    <hyperlink xmlns:r="http://schemas.openxmlformats.org/officeDocument/2006/relationships" ref="O36" r:id="rId79"/>
    <hyperlink xmlns:r="http://schemas.openxmlformats.org/officeDocument/2006/relationships" ref="O37" r:id="rId80"/>
    <hyperlink xmlns:r="http://schemas.openxmlformats.org/officeDocument/2006/relationships" ref="O38" r:id="rId81"/>
    <hyperlink xmlns:r="http://schemas.openxmlformats.org/officeDocument/2006/relationships" ref="O39" r:id="rId82"/>
    <hyperlink xmlns:r="http://schemas.openxmlformats.org/officeDocument/2006/relationships" ref="P39" r:id="rId83"/>
    <hyperlink xmlns:r="http://schemas.openxmlformats.org/officeDocument/2006/relationships" ref="Q39" r:id="rId84"/>
    <hyperlink xmlns:r="http://schemas.openxmlformats.org/officeDocument/2006/relationships" ref="O40" r:id="rId85"/>
    <hyperlink xmlns:r="http://schemas.openxmlformats.org/officeDocument/2006/relationships" ref="O41" r:id="rId86"/>
    <hyperlink xmlns:r="http://schemas.openxmlformats.org/officeDocument/2006/relationships" ref="P41" r:id="rId87"/>
    <hyperlink xmlns:r="http://schemas.openxmlformats.org/officeDocument/2006/relationships" ref="Q41" r:id="rId88"/>
    <hyperlink xmlns:r="http://schemas.openxmlformats.org/officeDocument/2006/relationships" ref="O42" r:id="rId89"/>
    <hyperlink xmlns:r="http://schemas.openxmlformats.org/officeDocument/2006/relationships" ref="O43" r:id="rId90"/>
    <hyperlink xmlns:r="http://schemas.openxmlformats.org/officeDocument/2006/relationships" ref="O44" r:id="rId91"/>
    <hyperlink xmlns:r="http://schemas.openxmlformats.org/officeDocument/2006/relationships" ref="P44" r:id="rId92"/>
    <hyperlink xmlns:r="http://schemas.openxmlformats.org/officeDocument/2006/relationships" ref="Q44" r:id="rId93"/>
    <hyperlink xmlns:r="http://schemas.openxmlformats.org/officeDocument/2006/relationships" ref="O45" r:id="rId94"/>
    <hyperlink xmlns:r="http://schemas.openxmlformats.org/officeDocument/2006/relationships" ref="O46" r:id="rId95"/>
    <hyperlink xmlns:r="http://schemas.openxmlformats.org/officeDocument/2006/relationships" ref="O47" r:id="rId96"/>
    <hyperlink xmlns:r="http://schemas.openxmlformats.org/officeDocument/2006/relationships" ref="O48" r:id="rId97"/>
    <hyperlink xmlns:r="http://schemas.openxmlformats.org/officeDocument/2006/relationships" ref="O49" r:id="rId98"/>
    <hyperlink xmlns:r="http://schemas.openxmlformats.org/officeDocument/2006/relationships" ref="P49" r:id="rId99"/>
    <hyperlink xmlns:r="http://schemas.openxmlformats.org/officeDocument/2006/relationships" ref="Q49" r:id="rId100"/>
    <hyperlink xmlns:r="http://schemas.openxmlformats.org/officeDocument/2006/relationships" ref="O50" r:id="rId101"/>
    <hyperlink xmlns:r="http://schemas.openxmlformats.org/officeDocument/2006/relationships" ref="O51" r:id="rId102"/>
    <hyperlink xmlns:r="http://schemas.openxmlformats.org/officeDocument/2006/relationships" ref="P51" r:id="rId103"/>
    <hyperlink xmlns:r="http://schemas.openxmlformats.org/officeDocument/2006/relationships" ref="Q51" r:id="rId104"/>
    <hyperlink xmlns:r="http://schemas.openxmlformats.org/officeDocument/2006/relationships" ref="O52" r:id="rId105"/>
    <hyperlink xmlns:r="http://schemas.openxmlformats.org/officeDocument/2006/relationships" ref="O53" r:id="rId106"/>
    <hyperlink xmlns:r="http://schemas.openxmlformats.org/officeDocument/2006/relationships" ref="O54" r:id="rId107"/>
    <hyperlink xmlns:r="http://schemas.openxmlformats.org/officeDocument/2006/relationships" ref="O55" r:id="rId108"/>
    <hyperlink xmlns:r="http://schemas.openxmlformats.org/officeDocument/2006/relationships" ref="P55" r:id="rId109"/>
    <hyperlink xmlns:r="http://schemas.openxmlformats.org/officeDocument/2006/relationships" ref="Q55" r:id="rId110"/>
    <hyperlink xmlns:r="http://schemas.openxmlformats.org/officeDocument/2006/relationships" ref="O56" r:id="rId111"/>
    <hyperlink xmlns:r="http://schemas.openxmlformats.org/officeDocument/2006/relationships" ref="O57" r:id="rId112"/>
    <hyperlink xmlns:r="http://schemas.openxmlformats.org/officeDocument/2006/relationships" ref="O58" r:id="rId113"/>
    <hyperlink xmlns:r="http://schemas.openxmlformats.org/officeDocument/2006/relationships" ref="O59" r:id="rId114"/>
    <hyperlink xmlns:r="http://schemas.openxmlformats.org/officeDocument/2006/relationships" ref="O60" r:id="rId115"/>
    <hyperlink xmlns:r="http://schemas.openxmlformats.org/officeDocument/2006/relationships" ref="P60" r:id="rId116"/>
    <hyperlink xmlns:r="http://schemas.openxmlformats.org/officeDocument/2006/relationships" ref="Q60" r:id="rId117"/>
    <hyperlink xmlns:r="http://schemas.openxmlformats.org/officeDocument/2006/relationships" ref="O61" r:id="rId118"/>
    <hyperlink xmlns:r="http://schemas.openxmlformats.org/officeDocument/2006/relationships" ref="O62" r:id="rId119"/>
    <hyperlink xmlns:r="http://schemas.openxmlformats.org/officeDocument/2006/relationships" ref="O63" r:id="rId120"/>
    <hyperlink xmlns:r="http://schemas.openxmlformats.org/officeDocument/2006/relationships" ref="O64" r:id="rId121"/>
    <hyperlink xmlns:r="http://schemas.openxmlformats.org/officeDocument/2006/relationships" ref="O65" r:id="rId122"/>
    <hyperlink xmlns:r="http://schemas.openxmlformats.org/officeDocument/2006/relationships" ref="O66" r:id="rId12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Q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style="14" min="1" max="1"/>
    <col width="6" customWidth="1" style="14" min="2" max="2"/>
    <col width="32" customWidth="1" style="14" min="3" max="3"/>
    <col width="17" customWidth="1" style="14" min="4" max="4"/>
    <col width="54" customWidth="1" style="14" min="5" max="5"/>
    <col width="7" customWidth="1" style="14" min="6" max="6"/>
    <col width="96" customWidth="1" style="14" min="7" max="7"/>
    <col width="8" customWidth="1" style="14" min="8" max="8"/>
    <col width="12" customWidth="1" style="14" min="9" max="9"/>
    <col width="26" customWidth="1" style="14" min="10" max="10"/>
    <col width="32" customWidth="1" style="14" min="11" max="11"/>
    <col width="13" customWidth="1" style="14" min="12" max="12"/>
    <col width="13" customWidth="1" style="14" min="13" max="13"/>
    <col width="14" customWidth="1" style="14" min="14" max="14"/>
    <col width="24" customWidth="1" style="14" min="15" max="15"/>
    <col width="10" customWidth="1" style="14" min="16" max="16"/>
    <col width="28" customWidth="1" style="14" min="17" max="17"/>
  </cols>
  <sheetData>
    <row r="1">
      <c r="A1" s="39" t="inlineStr">
        <is>
          <t>Date</t>
        </is>
      </c>
      <c r="B1" s="39" t="inlineStr">
        <is>
          <t>Day</t>
        </is>
      </c>
      <c r="C1" s="39" t="inlineStr">
        <is>
          <t>Source</t>
        </is>
      </c>
      <c r="D1" s="39" t="inlineStr">
        <is>
          <t>Pillar</t>
        </is>
      </c>
      <c r="E1" s="39" t="inlineStr">
        <is>
          <t>Post Text (short)</t>
        </is>
      </c>
      <c r="F1" s="39" t="inlineStr">
        <is>
          <t>Chars</t>
        </is>
      </c>
      <c r="G1" s="39" t="inlineStr">
        <is>
          <t>Description (long, SEO)</t>
        </is>
      </c>
      <c r="H1" s="39" t="inlineStr">
        <is>
          <t>Desc Chars</t>
        </is>
      </c>
      <c r="I1" s="39" t="inlineStr">
        <is>
          <t>CTA Button</t>
        </is>
      </c>
      <c r="J1" s="39" t="inlineStr">
        <is>
          <t>CTA Link</t>
        </is>
      </c>
      <c r="K1" s="39" t="inlineStr">
        <is>
          <t>Image File</t>
        </is>
      </c>
      <c r="L1" s="39" t="inlineStr">
        <is>
          <t>Open Folder</t>
        </is>
      </c>
      <c r="M1" s="39" t="inlineStr">
        <is>
          <t>Open Image</t>
        </is>
      </c>
      <c r="N1" s="39" t="inlineStr">
        <is>
          <t>Preview</t>
        </is>
      </c>
      <c r="O1" s="39" t="inlineStr">
        <is>
          <t>Photo Credit</t>
        </is>
      </c>
      <c r="P1" s="39" t="inlineStr">
        <is>
          <t>Status</t>
        </is>
      </c>
      <c r="Q1" s="39" t="inlineStr">
        <is>
          <t>Notes</t>
        </is>
      </c>
    </row>
    <row r="2" ht="132" customHeight="1" s="14">
      <c r="A2" s="50" t="n">
        <v>46253</v>
      </c>
      <c r="B2" s="41" t="inlineStr">
        <is>
          <t>Wed</t>
        </is>
      </c>
      <c r="C2" s="41" t="inlineStr">
        <is>
          <t>GBP only</t>
        </is>
      </c>
      <c r="D2" s="41" t="inlineStr">
        <is>
          <t>Trust &amp; Proof</t>
        </is>
      </c>
      <c r="E2" s="42" t="inlineStr">
        <is>
          <t>One client in the room at a time, in a private Oakville studio. No busy waiting room, no rushing the person ahead of you, no rushing you. Injections are done by a nurse practitioner and never delegated. See the room and the work on Instagram.</t>
        </is>
      </c>
      <c r="F2" s="41" t="n">
        <v>242</v>
      </c>
      <c r="G2" s="42" t="inlineStr">
        <is>
          <t>One client in the room at a time, in a private Oakville studio. That is a scheduling choice, not a luxury one. When two people are booked over each other, someone gets rushed, and the person being rushed is usually the one asking the most questions.
Your appointment is injected by a nurse practitioner, never handed to whoever is free. You get the same face across visits, which matters more than people expect. Dose is built on what your muscles did last time, so the second appointment is always better informed than the first.
The studio is on Preserve Dr with free parking at the door, and people drive in from Burlington, Milton and Mississauga for Botox and filler. Come see the room and the work on Instagram.</t>
        </is>
      </c>
      <c r="H2" s="41" t="n">
        <v>719</v>
      </c>
      <c r="I2" s="41" t="inlineStr">
        <is>
          <t>Learn more</t>
        </is>
      </c>
      <c r="J2" s="43" t="inlineStr">
        <is>
          <t>@luxury_beauty_aestheticz</t>
        </is>
      </c>
      <c r="K2" s="41" t="inlineStr">
        <is>
          <t>2026-08-19-one-client-at-a-time.jpg</t>
        </is>
      </c>
      <c r="L2" s="43" t="inlineStr">
        <is>
          <t>Open folder</t>
        </is>
      </c>
      <c r="M2" s="43" t="inlineStr">
        <is>
          <t>Open image</t>
        </is>
      </c>
      <c r="N2" s="41">
        <f>IMAGE("https://raw.githubusercontent.com/RepoKing23/InstagramCarousel/claude/med-spa-carousel-ideas-sim9wz/content/gbp/2026-08-19-one-client-at-a-time.jpg")</f>
        <v/>
      </c>
      <c r="O2" s="43" t="inlineStr">
        <is>
          <t>Wco Global / Unsplash</t>
        </is>
      </c>
      <c r="P2" s="41" t="inlineStr">
        <is>
          <t>Ready</t>
        </is>
      </c>
      <c r="Q2" s="42" t="inlineStr"/>
    </row>
    <row r="3" ht="132" customHeight="1" s="14">
      <c r="A3" s="51" t="n">
        <v>46254</v>
      </c>
      <c r="B3" s="45" t="inlineStr">
        <is>
          <t>Thu</t>
        </is>
      </c>
      <c r="C3" s="45" t="inlineStr">
        <is>
          <t>IG: 5 Red Flags at a Med Spa</t>
        </is>
      </c>
      <c r="D3" s="45" t="inlineStr">
        <is>
          <t>Trust &amp; Proof</t>
        </is>
      </c>
      <c r="E3" s="46" t="inlineStr">
        <is>
          <t>Five things to walk away from at a med spa: no consultation, bargain pricing, a provider who never says no, no named injector, and pressure to decide today. Your face is not the place to find out you picked wrong. The full list is on Instagram.</t>
        </is>
      </c>
      <c r="F3" s="45" t="n">
        <v>244</v>
      </c>
      <c r="G3" s="46" t="inlineStr">
        <is>
          <t>Five things to walk away from at a med spa: no consultation, bargain pricing, a provider who never says no, no named injector, and pressure to decide today.
The consultation is the one people skip. If nobody watched your face move before picking a dose, the dose is a guess. Bargain pricing is the second. Neuromodulator has a real per unit cost, so a price well under the going rate in Oakville usually means the product is overdiluted or the units are short.
The hardest one to spot is a provider who agrees with everything. Some faces should not get what they came in asking for, and you want the person holding the needle to say so.
Ask who is injecting you, what their credentials are, and what happens if you are unhappy. The full list is on Instagram.</t>
        </is>
      </c>
      <c r="H3" s="45" t="n">
        <v>761</v>
      </c>
      <c r="I3" s="45" t="inlineStr">
        <is>
          <t>Learn more</t>
        </is>
      </c>
      <c r="J3" s="47" t="inlineStr">
        <is>
          <t>@luxury_beauty_aestheticz</t>
        </is>
      </c>
      <c r="K3" s="45" t="inlineStr">
        <is>
          <t>2026-08-20-5-red-flags.jpg</t>
        </is>
      </c>
      <c r="L3" s="47" t="inlineStr">
        <is>
          <t>Open folder</t>
        </is>
      </c>
      <c r="M3" s="47" t="inlineStr">
        <is>
          <t>Open image</t>
        </is>
      </c>
      <c r="N3" s="45">
        <f>IMAGE("https://raw.githubusercontent.com/RepoKing23/InstagramCarousel/claude/med-spa-carousel-ideas-sim9wz/content/gbp/2026-08-20-5-red-flags.jpg")</f>
        <v/>
      </c>
      <c r="O3" s="47" t="inlineStr">
        <is>
          <t>Look Studio / Unsplash</t>
        </is>
      </c>
      <c r="P3" s="45" t="inlineStr">
        <is>
          <t>Ready</t>
        </is>
      </c>
      <c r="Q3" s="46" t="inlineStr"/>
    </row>
    <row r="4" ht="132" customHeight="1" s="14">
      <c r="A4" s="51" t="n">
        <v>46255</v>
      </c>
      <c r="B4" s="45" t="inlineStr">
        <is>
          <t>Fri</t>
        </is>
      </c>
      <c r="C4" s="45" t="inlineStr">
        <is>
          <t>IG: Behind the Scenes, The Prep</t>
        </is>
      </c>
      <c r="D4" s="45" t="inlineStr">
        <is>
          <t>Personality &amp; BTS</t>
        </is>
      </c>
      <c r="E4" s="46" t="inlineStr">
        <is>
          <t>Every appointment starts the same way. A new tray, product opened sealed in front of you, and your face mapped while it moves, not while it sits still. The prep is the part nobody photographs. We photographed it, on Instagram.</t>
        </is>
      </c>
      <c r="F4" s="45" t="n">
        <v>226</v>
      </c>
      <c r="G4" s="46" t="inlineStr">
        <is>
          <t>Every appointment here starts the same way. A new tray, product opened sealed in front of you, and your face mapped while it moves.
Mapping in motion is the part that changes the result. A forehead at rest tells you almost nothing. I need to see you frown, lift, squint and smile, because that is where the muscle is actually pulling and where the product needs to sit. Two people with identical lines often get very different plans.
Prep is the unglamorous part nobody photographs, and it is most of what separates good Botox from the kind people notice. We photographed it anyway. On Instagram.</t>
        </is>
      </c>
      <c r="H4" s="45" t="n">
        <v>598</v>
      </c>
      <c r="I4" s="45" t="inlineStr">
        <is>
          <t>Learn more</t>
        </is>
      </c>
      <c r="J4" s="47" t="inlineStr">
        <is>
          <t>@luxury_beauty_aestheticz</t>
        </is>
      </c>
      <c r="K4" s="45" t="inlineStr">
        <is>
          <t>2026-08-21-before-the-needle.jpg</t>
        </is>
      </c>
      <c r="L4" s="47" t="inlineStr">
        <is>
          <t>Open folder</t>
        </is>
      </c>
      <c r="M4" s="47" t="inlineStr">
        <is>
          <t>Open image</t>
        </is>
      </c>
      <c r="N4" s="45">
        <f>IMAGE("https://raw.githubusercontent.com/RepoKing23/InstagramCarousel/claude/med-spa-carousel-ideas-sim9wz/content/gbp/2026-08-21-before-the-needle.jpg")</f>
        <v/>
      </c>
      <c r="O4" s="47" t="inlineStr">
        <is>
          <t>CRYSTALWEED cannabis / Unsplash</t>
        </is>
      </c>
      <c r="P4" s="45" t="inlineStr">
        <is>
          <t>Ready</t>
        </is>
      </c>
      <c r="Q4" s="46" t="inlineStr"/>
    </row>
    <row r="5" ht="132" customHeight="1" s="14">
      <c r="A5" s="51" t="n">
        <v>46256</v>
      </c>
      <c r="B5" s="45" t="inlineStr">
        <is>
          <t>Sat</t>
        </is>
      </c>
      <c r="C5" s="45" t="inlineStr">
        <is>
          <t>IG: Great Work Is Invisible</t>
        </is>
      </c>
      <c r="D5" s="45" t="inlineStr">
        <is>
          <t>Trust &amp; Proof</t>
        </is>
      </c>
      <c r="E5" s="46" t="inlineStr">
        <is>
          <t>One syringe of lip filler, with her own lip shape kept exactly where it was. If it reads as good skin and a good night of sleep rather than work, that was the goal. Shared with client consent, individual results vary. More on Instagram.</t>
        </is>
      </c>
      <c r="F5" s="45" t="n">
        <v>236</v>
      </c>
      <c r="G5" s="46" t="inlineStr">
        <is>
          <t>One syringe of lip filler, with her own lip shape kept exactly where it was.
This is the standard I work to. Filler should follow the border you already have rather than invent a new one. That means respecting the ratio between top and bottom lip, keeping the cupid's bow, and stopping while it still looks like a good day rather than a decision.
One syringe goes further than most people think when it is placed well. The difference between natural and obvious is rarely the volume. It is where it sits and whether the injector was willing to stop.
Shared with client consent. Individual results vary, and lips in particular differ with anatomy and swelling. More natural lip filler work from our Oakville studio on Instagram.</t>
        </is>
      </c>
      <c r="H5" s="45" t="n">
        <v>730</v>
      </c>
      <c r="I5" s="45" t="inlineStr">
        <is>
          <t>Learn more</t>
        </is>
      </c>
      <c r="J5" s="47" t="inlineStr">
        <is>
          <t>@luxury_beauty_aestheticz</t>
        </is>
      </c>
      <c r="K5" s="45" t="inlineStr">
        <is>
          <t>2026-08-22-great-work-is-invisible.jpg</t>
        </is>
      </c>
      <c r="L5" s="47" t="inlineStr">
        <is>
          <t>Open folder</t>
        </is>
      </c>
      <c r="M5" s="47" t="inlineStr">
        <is>
          <t>Open image</t>
        </is>
      </c>
      <c r="N5" s="45">
        <f>IMAGE("https://raw.githubusercontent.com/RepoKing23/InstagramCarousel/claude/med-spa-carousel-ideas-sim9wz/content/gbp/2026-08-22-great-work-is-invisible.jpg")</f>
        <v/>
      </c>
      <c r="O5" s="47" t="inlineStr">
        <is>
          <t>Alef Morais / Unsplash</t>
        </is>
      </c>
      <c r="P5" s="45" t="inlineStr">
        <is>
          <t>Ready</t>
        </is>
      </c>
      <c r="Q5" s="46" t="inlineStr"/>
    </row>
    <row r="6" ht="132" customHeight="1" s="14">
      <c r="A6" s="50" t="n">
        <v>46257</v>
      </c>
      <c r="B6" s="41" t="inlineStr">
        <is>
          <t>Sun</t>
        </is>
      </c>
      <c r="C6" s="41" t="inlineStr">
        <is>
          <t>GBP only</t>
        </is>
      </c>
      <c r="D6" s="41" t="inlineStr">
        <is>
          <t>Education</t>
        </is>
      </c>
      <c r="E6" s="42" t="inlineStr">
        <is>
          <t>A first visit runs about 45 minutes and most of that is talking. Consultation, mapping your face in motion, and agreeing a plan and a price before anything is opened. The injecting itself takes roughly ten minutes. Questions welcome on Instagram.</t>
        </is>
      </c>
      <c r="F6" s="41" t="n">
        <v>246</v>
      </c>
      <c r="G6" s="42" t="inlineStr">
        <is>
          <t>A first visit runs about 45 minutes, and most of that is talking.
Here is the breakdown. Fifteen to twenty minutes on what is actually bothering you and what you want your face to do. Then mapping, where I watch your expressions and mark where the muscle pulls. Then a plan and a price, agreed and written down before anything is opened.
The injecting itself is closer to ten minutes. People are usually surprised by how short that part is, and how long the rest takes. That ratio is deliberate.
You can book a Botox consultation in Oakville and leave without treatment. Plenty do, and it is a completely normal outcome. Ask anything on Instagram.</t>
        </is>
      </c>
      <c r="H6" s="41" t="n">
        <v>650</v>
      </c>
      <c r="I6" s="41" t="inlineStr">
        <is>
          <t>Learn more</t>
        </is>
      </c>
      <c r="J6" s="43" t="inlineStr">
        <is>
          <t>@luxury_beauty_aestheticz</t>
        </is>
      </c>
      <c r="K6" s="41" t="inlineStr">
        <is>
          <t>2026-08-23-how-long-does-it-take.jpg</t>
        </is>
      </c>
      <c r="L6" s="43" t="inlineStr">
        <is>
          <t>Open folder</t>
        </is>
      </c>
      <c r="M6" s="43" t="inlineStr">
        <is>
          <t>Open image</t>
        </is>
      </c>
      <c r="N6" s="41">
        <f>IMAGE("https://raw.githubusercontent.com/RepoKing23/InstagramCarousel/claude/med-spa-carousel-ideas-sim9wz/content/gbp/2026-08-23-how-long-does-it-take.jpg")</f>
        <v/>
      </c>
      <c r="O6" s="43" t="inlineStr">
        <is>
          <t>Ionela Mat / Unsplash</t>
        </is>
      </c>
      <c r="P6" s="41" t="inlineStr">
        <is>
          <t>Ready</t>
        </is>
      </c>
      <c r="Q6" s="42" t="inlineStr"/>
    </row>
    <row r="7" ht="132" customHeight="1" s="14">
      <c r="A7" s="51" t="n">
        <v>46258</v>
      </c>
      <c r="B7" s="45" t="inlineStr">
        <is>
          <t>Mon</t>
        </is>
      </c>
      <c r="C7" s="45" t="inlineStr">
        <is>
          <t>IG: Your First Visit, Step by Step</t>
        </is>
      </c>
      <c r="D7" s="45" t="inlineStr">
        <is>
          <t>Education</t>
        </is>
      </c>
      <c r="E7" s="46" t="inlineStr">
        <is>
          <t>Nervous about a first appointment? Here is the whole thing. A real consultation, your face mapped in motion, a written plan and price agreed before anything is opened, then about ten minutes of treatment. Step by step on Instagram.</t>
        </is>
      </c>
      <c r="F7" s="45" t="n">
        <v>231</v>
      </c>
      <c r="G7" s="46" t="inlineStr">
        <is>
          <t>Nervous about a first appointment? Here is the whole thing, start to finish.
You arrive and we talk before anything else. I want to know what you notice in photos, what you have been told elsewhere, and what you are worried about. Then I map your face in motion. Then you get a written plan and a written price, and nothing is opened until you have agreed to both.
Treatment takes about ten minutes. You go straight back to your day, with the aftercare rules on a card: stay upright four hours, skip the gym, leave the area alone.
At two weeks you come back so we can look properly and adjust if anything needs it. That visit is included in the price of your Botox. Step by step on Instagram.</t>
        </is>
      </c>
      <c r="H7" s="45" t="n">
        <v>695</v>
      </c>
      <c r="I7" s="45" t="inlineStr">
        <is>
          <t>Learn more</t>
        </is>
      </c>
      <c r="J7" s="47" t="inlineStr">
        <is>
          <t>@luxury_beauty_aestheticz</t>
        </is>
      </c>
      <c r="K7" s="45" t="inlineStr">
        <is>
          <t>2026-08-24-what-actually-happens.jpg</t>
        </is>
      </c>
      <c r="L7" s="47" t="inlineStr">
        <is>
          <t>Open folder</t>
        </is>
      </c>
      <c r="M7" s="47" t="inlineStr">
        <is>
          <t>Open image</t>
        </is>
      </c>
      <c r="N7" s="45">
        <f>IMAGE("https://raw.githubusercontent.com/RepoKing23/InstagramCarousel/claude/med-spa-carousel-ideas-sim9wz/content/gbp/2026-08-24-what-actually-happens.jpg")</f>
        <v/>
      </c>
      <c r="O7" s="47" t="inlineStr">
        <is>
          <t>karelys Ruiz / Unsplash</t>
        </is>
      </c>
      <c r="P7" s="45" t="inlineStr">
        <is>
          <t>Ready</t>
        </is>
      </c>
      <c r="Q7" s="46" t="inlineStr"/>
    </row>
    <row r="8" ht="132" customHeight="1" s="14">
      <c r="A8" s="51" t="n">
        <v>46259</v>
      </c>
      <c r="B8" s="45" t="inlineStr">
        <is>
          <t>Tue</t>
        </is>
      </c>
      <c r="C8" s="45" t="inlineStr">
        <is>
          <t>IG: Why I Do Not Post Prices</t>
        </is>
      </c>
      <c r="D8" s="45" t="inlineStr">
        <is>
          <t>Trust &amp; Proof</t>
        </is>
      </c>
      <c r="E8" s="46" t="inlineStr">
        <is>
          <t>Why there is no price list. Doses differ from face to face, so a single flat price either overcharges you or under treats you. You get a written number at your consultation, before anything is opened. The honest version is on Instagram.</t>
        </is>
      </c>
      <c r="F8" s="45" t="n">
        <v>236</v>
      </c>
      <c r="G8" s="46" t="inlineStr">
        <is>
          <t>Why there is no price list on this page. Doses differ from face to face, so one flat price either overcharges you or under treats you.
A strong forehead muscle needs more units than a light one. Someone treating a line for the first time needs a different amount than someone maintaining. Publishing a single number for an area means one of those people is paying for units they do not need and the other is being quietly short dosed to keep the number attractive.
What you get instead is a written number at your consultation, based on your face and the units it actually takes. No moving target once you are in the chair.
If you want a ballpark before booking, message me on Instagram and describe what is bothering you. I will give you an honest range for Botox or filler at our Oakville studio.</t>
        </is>
      </c>
      <c r="H8" s="45" t="n">
        <v>801</v>
      </c>
      <c r="I8" s="45" t="inlineStr">
        <is>
          <t>Learn more</t>
        </is>
      </c>
      <c r="J8" s="47" t="inlineStr">
        <is>
          <t>@luxury_beauty_aestheticz</t>
        </is>
      </c>
      <c r="K8" s="45" t="inlineStr">
        <is>
          <t>2026-08-25-why-no-prices.jpg</t>
        </is>
      </c>
      <c r="L8" s="47" t="inlineStr">
        <is>
          <t>Open folder</t>
        </is>
      </c>
      <c r="M8" s="47" t="inlineStr">
        <is>
          <t>Open image</t>
        </is>
      </c>
      <c r="N8" s="45">
        <f>IMAGE("https://raw.githubusercontent.com/RepoKing23/InstagramCarousel/claude/med-spa-carousel-ideas-sim9wz/content/gbp/2026-08-25-why-no-prices.jpg")</f>
        <v/>
      </c>
      <c r="O8" s="47" t="inlineStr">
        <is>
          <t>Lina Verovaya / Unsplash</t>
        </is>
      </c>
      <c r="P8" s="45" t="inlineStr">
        <is>
          <t>Ready</t>
        </is>
      </c>
      <c r="Q8" s="46" t="inlineStr"/>
    </row>
    <row r="9" ht="132" customHeight="1" s="14">
      <c r="A9" s="50" t="n">
        <v>46260</v>
      </c>
      <c r="B9" s="41" t="inlineStr">
        <is>
          <t>Wed</t>
        </is>
      </c>
      <c r="C9" s="41" t="inlineStr">
        <is>
          <t>GBP only</t>
        </is>
      </c>
      <c r="D9" s="41" t="inlineStr">
        <is>
          <t>Trust &amp; Proof</t>
        </is>
      </c>
      <c r="E9" s="42" t="inlineStr">
        <is>
          <t>Ask any clinic who is actually holding the needle. Here it is a nurse practitioner, RN(EC), registered with the College of Nurses of Ontario. Every appointment is injected by Cleo, never delegated to someone you have not met. Meet her on Instagram.</t>
        </is>
      </c>
      <c r="F9" s="41" t="n">
        <v>248</v>
      </c>
      <c r="G9" s="42" t="inlineStr">
        <is>
          <t>Ask any clinic who is actually holding the needle. It is a fair question and a good clinic will not flinch at it.
Here it is a nurse practitioner, RN(EC), registered with the College of Nurses of Ontario. Every appointment is injected by Cleo. Nothing is delegated to someone you have not met, and nothing is handed off partway through.
That continuity is not just about credentials. Seeing the same face each visit means the plan builds. I know how your muscles responded last time, how long it lasted for you, and where we went lighter on purpose.
Credentials are public and worth checking, here or anywhere else you are considering for Botox in Oakville. Meet her on Instagram.</t>
        </is>
      </c>
      <c r="H9" s="41" t="n">
        <v>683</v>
      </c>
      <c r="I9" s="41" t="inlineStr">
        <is>
          <t>Learn more</t>
        </is>
      </c>
      <c r="J9" s="43" t="inlineStr">
        <is>
          <t>@luxury_beauty_aestheticz</t>
        </is>
      </c>
      <c r="K9" s="41" t="inlineStr">
        <is>
          <t>2026-08-26-who-injects-you.jpg</t>
        </is>
      </c>
      <c r="L9" s="43" t="inlineStr">
        <is>
          <t>Open folder</t>
        </is>
      </c>
      <c r="M9" s="43" t="inlineStr">
        <is>
          <t>Open image</t>
        </is>
      </c>
      <c r="N9" s="41">
        <f>IMAGE("https://raw.githubusercontent.com/RepoKing23/InstagramCarousel/claude/med-spa-carousel-ideas-sim9wz/content/gbp/2026-08-26-who-injects-you.jpg")</f>
        <v/>
      </c>
      <c r="O9" s="43" t="inlineStr">
        <is>
          <t>Anuruddha Lokuhapuarachchi / Unsplash</t>
        </is>
      </c>
      <c r="P9" s="41" t="inlineStr">
        <is>
          <t>Ready</t>
        </is>
      </c>
      <c r="Q9" s="42" t="inlineStr"/>
    </row>
    <row r="10" ht="132" customHeight="1" s="14">
      <c r="A10" s="51" t="n">
        <v>46261</v>
      </c>
      <c r="B10" s="45" t="inlineStr">
        <is>
          <t>Thu</t>
        </is>
      </c>
      <c r="C10" s="45" t="inlineStr">
        <is>
          <t>IG: Meet NP Cleo</t>
        </is>
      </c>
      <c r="D10" s="45" t="inlineStr">
        <is>
          <t>Personality &amp; BTS</t>
        </is>
      </c>
      <c r="E10" s="46" t="inlineStr">
        <is>
          <t>Meet NP Cleo. Nurse practitioner and injector, and the person who will tell you no when the honest answer is no. Every appointment is injected by her, never delegated. The full introduction is on Instagram.</t>
        </is>
      </c>
      <c r="F10" s="45" t="n">
        <v>206</v>
      </c>
      <c r="G10" s="46" t="inlineStr">
        <is>
          <t>Meet NP Cleo. Nurse practitioner, injector, and the person who will tell you no when the honest answer is no.
That last part costs money and keeps the work good. Some requests do not suit the face in front of me. Sometimes the line someone wants softened is a volume issue and a neuromodulator will not touch it. Saying so loses the booking and saves the result.
Every appointment at this Oakville studio is injected by Cleo, never delegated. Clients come from Burlington, Milton and Mississauga, mostly on referral from someone whose work nobody could identify.
The full introduction, and the reasoning behind how she doses, is on Instagram.</t>
        </is>
      </c>
      <c r="H10" s="45" t="n">
        <v>645</v>
      </c>
      <c r="I10" s="45" t="inlineStr">
        <is>
          <t>Learn more</t>
        </is>
      </c>
      <c r="J10" s="47" t="inlineStr">
        <is>
          <t>@luxury_beauty_aestheticz</t>
        </is>
      </c>
      <c r="K10" s="45" t="inlineStr">
        <is>
          <t>2026-08-27-meet-np-cleo.jpg</t>
        </is>
      </c>
      <c r="L10" s="47" t="inlineStr">
        <is>
          <t>Open folder</t>
        </is>
      </c>
      <c r="M10" s="47" t="inlineStr">
        <is>
          <t>Open image</t>
        </is>
      </c>
      <c r="N10" s="45">
        <f>IMAGE("https://raw.githubusercontent.com/RepoKing23/InstagramCarousel/claude/med-spa-carousel-ideas-sim9wz/content/gbp/2026-08-27-meet-np-cleo.jpg")</f>
        <v/>
      </c>
      <c r="O10" s="47" t="inlineStr">
        <is>
          <t>Look Studio / Unsplash</t>
        </is>
      </c>
      <c r="P10" s="45" t="inlineStr">
        <is>
          <t>Ready</t>
        </is>
      </c>
      <c r="Q10" s="46" t="inlineStr"/>
    </row>
    <row r="11" ht="132" customHeight="1" s="14">
      <c r="A11" s="51" t="n">
        <v>46262</v>
      </c>
      <c r="B11" s="45" t="inlineStr">
        <is>
          <t>Fri</t>
        </is>
      </c>
      <c r="C11" s="45" t="inlineStr">
        <is>
          <t>IG: Welcome to the Treatment Room</t>
        </is>
      </c>
      <c r="D11" s="45" t="inlineStr">
        <is>
          <t>Personality &amp; BTS</t>
        </is>
      </c>
      <c r="E11" s="46" t="inlineStr">
        <is>
          <t>One client in the treatment room at a time. Nobody rushes the person before you, so nobody rushes you. The door stays shut and the questions stay welcome, however small they feel. Come see the room on Instagram.</t>
        </is>
      </c>
      <c r="F11" s="45" t="n">
        <v>211</v>
      </c>
      <c r="G11" s="46" t="inlineStr">
        <is>
          <t>One client in the treatment room at a time. Nobody rushes the person before you, so nobody rushes you.
A private room changes what people are willing to ask. The questions that matter most are usually the ones people feel silly saying out loud in a waiting area, about cost, about looking overdone, about whether they will still look like themselves at a family event.
The door stays shut and those questions stay welcome, however small they feel. There is no upsell script here and no add on being pushed while you are already in the chair.
There is no upsell script here and no add on being pushed while you are already in the chair. Come see the Oakville treatment room on Instagram, and message if you want to know anything before you book Botox or filler.</t>
        </is>
      </c>
      <c r="H11" s="45" t="n">
        <v>763</v>
      </c>
      <c r="I11" s="45" t="inlineStr">
        <is>
          <t>Learn more</t>
        </is>
      </c>
      <c r="J11" s="47" t="inlineStr">
        <is>
          <t>@luxury_beauty_aestheticz</t>
        </is>
      </c>
      <c r="K11" s="45" t="inlineStr">
        <is>
          <t>2026-08-28-where-calm-meets-careful.jpg</t>
        </is>
      </c>
      <c r="L11" s="47" t="inlineStr">
        <is>
          <t>Open folder</t>
        </is>
      </c>
      <c r="M11" s="47" t="inlineStr">
        <is>
          <t>Open image</t>
        </is>
      </c>
      <c r="N11" s="45">
        <f>IMAGE("https://raw.githubusercontent.com/RepoKing23/InstagramCarousel/claude/med-spa-carousel-ideas-sim9wz/content/gbp/2026-08-28-where-calm-meets-careful.jpg")</f>
        <v/>
      </c>
      <c r="O11" s="47" t="inlineStr">
        <is>
          <t>Masum Rahimi / Unsplash</t>
        </is>
      </c>
      <c r="P11" s="45" t="inlineStr">
        <is>
          <t>Ready</t>
        </is>
      </c>
      <c r="Q11" s="46" t="inlineStr"/>
    </row>
    <row r="12" ht="132" customHeight="1" s="14">
      <c r="A12" s="51" t="n">
        <v>46263</v>
      </c>
      <c r="B12" s="45" t="inlineStr">
        <is>
          <t>Sat</t>
        </is>
      </c>
      <c r="C12" s="45" t="inlineStr">
        <is>
          <t>IG: This or That, Rested vs Frozen</t>
        </is>
      </c>
      <c r="D12" s="45" t="inlineStr">
        <is>
          <t>Trust &amp; Proof</t>
        </is>
      </c>
      <c r="E12" s="46" t="inlineStr">
        <is>
          <t>Rested, not frozen. You should still frown, squint and smile afterwards. If people ask what you had done instead of whether you slept well, the dose was wrong. See the difference side by side on Instagram.</t>
        </is>
      </c>
      <c r="F12" s="45" t="n">
        <v>205</v>
      </c>
      <c r="G12" s="46" t="inlineStr">
        <is>
          <t>Rested, not frozen. You should still frown, squint and smile after treatment.
Movement is not a side effect you tolerate, it is the goal. A face that cannot move reads as work done. A face that moves with softer lines reads as sleep, water and a good few weeks. The second one is what people are actually paying for.
Getting there is a dosing decision, not a product one. It means treating the muscle that is pulling hardest and leaving the ones doing useful work alone. It often means using fewer units than someone expects and asking them back at two weeks rather than chasing it all in one sitting.
If people ask what you had done instead of whether you slept well, the Botox dose was wrong. See the difference side by side on Instagram.</t>
        </is>
      </c>
      <c r="H12" s="45" t="n">
        <v>743</v>
      </c>
      <c r="I12" s="45" t="inlineStr">
        <is>
          <t>Learn more</t>
        </is>
      </c>
      <c r="J12" s="47" t="inlineStr">
        <is>
          <t>@luxury_beauty_aestheticz</t>
        </is>
      </c>
      <c r="K12" s="45" t="inlineStr">
        <is>
          <t>2026-08-29-rested-or-frozen.jpg</t>
        </is>
      </c>
      <c r="L12" s="47" t="inlineStr">
        <is>
          <t>Open folder</t>
        </is>
      </c>
      <c r="M12" s="47" t="inlineStr">
        <is>
          <t>Open image</t>
        </is>
      </c>
      <c r="N12" s="45">
        <f>IMAGE("https://raw.githubusercontent.com/RepoKing23/InstagramCarousel/claude/med-spa-carousel-ideas-sim9wz/content/gbp/2026-08-29-rested-or-frozen.jpg")</f>
        <v/>
      </c>
      <c r="O12" s="47" t="inlineStr">
        <is>
          <t>engin akyurt / Unsplash</t>
        </is>
      </c>
      <c r="P12" s="45" t="inlineStr">
        <is>
          <t>Ready</t>
        </is>
      </c>
      <c r="Q12" s="46" t="inlineStr"/>
    </row>
    <row r="13" ht="132" customHeight="1" s="14">
      <c r="A13" s="50" t="n">
        <v>46264</v>
      </c>
      <c r="B13" s="41" t="inlineStr">
        <is>
          <t>Sun</t>
        </is>
      </c>
      <c r="C13" s="41" t="inlineStr">
        <is>
          <t>GBP only</t>
        </is>
      </c>
      <c r="D13" s="41" t="inlineStr">
        <is>
          <t>Education</t>
        </is>
      </c>
      <c r="E13" s="42" t="inlineStr">
        <is>
          <t>A consultation is not a sales appointment. We go through your goals, map your face in motion, and talk about what will work, what will not, and what it costs, in writing. You can leave without booking anything. More on Instagram.</t>
        </is>
      </c>
      <c r="F13" s="41" t="n">
        <v>229</v>
      </c>
      <c r="G13" s="42" t="inlineStr">
        <is>
          <t>A consultation is not a sales appointment. You can leave without booking anything and that is a completely normal outcome.
What it actually includes: your goals in your own words, your face mapped while it moves, and a straight answer about what will work and what will not. If the thing bothering you is not a neuromodulator problem, I will tell you that rather than sell you the closest thing I offer.
You leave with a written plan and a written price. No deposit to hear it, no pressure to decide in the room, and no follow up chasing you.
Booking a consultation at our Oakville studio is a message on Instagram. Tell me what you are considering and we will start there.</t>
        </is>
      </c>
      <c r="H13" s="41" t="n">
        <v>676</v>
      </c>
      <c r="I13" s="41" t="inlineStr">
        <is>
          <t>Learn more</t>
        </is>
      </c>
      <c r="J13" s="43" t="inlineStr">
        <is>
          <t>@luxury_beauty_aestheticz</t>
        </is>
      </c>
      <c r="K13" s="41" t="inlineStr">
        <is>
          <t>2026-08-30-what-a-consult-includes.jpg</t>
        </is>
      </c>
      <c r="L13" s="43" t="inlineStr">
        <is>
          <t>Open folder</t>
        </is>
      </c>
      <c r="M13" s="43" t="inlineStr">
        <is>
          <t>Open image</t>
        </is>
      </c>
      <c r="N13" s="41">
        <f>IMAGE("https://raw.githubusercontent.com/RepoKing23/InstagramCarousel/claude/med-spa-carousel-ideas-sim9wz/content/gbp/2026-08-30-what-a-consult-includes.jpg")</f>
        <v/>
      </c>
      <c r="O13" s="43" t="inlineStr">
        <is>
          <t>Calugar Ana Maria / Unsplash</t>
        </is>
      </c>
      <c r="P13" s="41" t="inlineStr">
        <is>
          <t>Ready</t>
        </is>
      </c>
      <c r="Q13" s="42" t="inlineStr"/>
    </row>
    <row r="14" ht="132" customHeight="1" s="14">
      <c r="A14" s="51" t="n">
        <v>46265</v>
      </c>
      <c r="B14" s="45" t="inlineStr">
        <is>
          <t>Mon</t>
        </is>
      </c>
      <c r="C14" s="45" t="inlineStr">
        <is>
          <t>IG: Preventative Botox, When to Start</t>
        </is>
      </c>
      <c r="D14" s="45" t="inlineStr">
        <is>
          <t>Education</t>
        </is>
      </c>
      <c r="E14" s="46" t="inlineStr">
        <is>
          <t>When should you actually start preventative Botox? It is not about your age. Make your strongest expression, relax your face, and see if the line stays behind. That is the one setting in. The full explanation is on Instagram.</t>
        </is>
      </c>
      <c r="F14" s="45" t="n">
        <v>225</v>
      </c>
      <c r="G14" s="46" t="inlineStr">
        <is>
          <t>When should you actually start preventative Botox? It is not about your age, and the birthday number people quote is meaningless.
Here is the test. Make your strongest expression, hold it, then relax your face completely. If a line stays behind after everything has released, that one is setting into the skin. That is the line worth treating early, whether you are 26 or 41.
Starting before a line is etched means smaller doses, spaced further apart, and a softer result than chasing it later. Waiting until it is permanent does not make treatment impossible, it makes it slower and more expensive.
If you are not sure what you are looking at, take a photo mid expression and one relaxed and send both. Preventative Botox in Oakville, explained properly on Instagram.</t>
        </is>
      </c>
      <c r="H14" s="45" t="n">
        <v>771</v>
      </c>
      <c r="I14" s="45" t="inlineStr">
        <is>
          <t>Learn more</t>
        </is>
      </c>
      <c r="J14" s="47" t="inlineStr">
        <is>
          <t>@luxury_beauty_aestheticz</t>
        </is>
      </c>
      <c r="K14" s="45" t="inlineStr">
        <is>
          <t>2026-08-31-when-to-start.jpg</t>
        </is>
      </c>
      <c r="L14" s="47" t="inlineStr">
        <is>
          <t>Open folder</t>
        </is>
      </c>
      <c r="M14" s="47" t="inlineStr">
        <is>
          <t>Open image</t>
        </is>
      </c>
      <c r="N14" s="45">
        <f>IMAGE("https://raw.githubusercontent.com/RepoKing23/InstagramCarousel/claude/med-spa-carousel-ideas-sim9wz/content/gbp/2026-08-31-when-to-start.jpg")</f>
        <v/>
      </c>
      <c r="O14" s="47" t="inlineStr">
        <is>
          <t>Fleur Kaan / Unsplash</t>
        </is>
      </c>
      <c r="P14" s="45" t="inlineStr">
        <is>
          <t>Ready</t>
        </is>
      </c>
      <c r="Q14" s="46" t="inlineStr"/>
    </row>
    <row r="15" ht="132" customHeight="1" s="14">
      <c r="A15" s="51" t="n">
        <v>46266</v>
      </c>
      <c r="B15" s="45" t="inlineStr">
        <is>
          <t>Tue</t>
        </is>
      </c>
      <c r="C15" s="45" t="inlineStr">
        <is>
          <t>IG: Service Spotlight, Preventative Botox</t>
        </is>
      </c>
      <c r="D15" s="45" t="inlineStr">
        <is>
          <t>Education</t>
        </is>
      </c>
      <c r="E15" s="46" t="inlineStr">
        <is>
          <t>Preventative Botox, explained plainly. Small doses started before a line sets in, so it never becomes permanent. It is easier to stop a line than to erase one. Dosed to your muscle, never to a template. More on Instagram.</t>
        </is>
      </c>
      <c r="F15" s="45" t="n">
        <v>221</v>
      </c>
      <c r="G15" s="46" t="inlineStr">
        <is>
          <t>Preventative Botox, explained plainly. Small doses started before a line sets in, so it never becomes permanent.
The muscle folds the skin the same way thousands of times. Early on the skin springs back. Over years it stops, and the crease stays after the expression has gone. Treating before that point keeps the fold from becoming a fixture.
It is dosed lighter than corrective work. The aim is to soften how hard the muscle pulls while leaving you full expression, not to shut movement down. Most people start with fewer units than they expect and come back at two weeks.
Not every face needs it yet, and I will say so. Book a consultation at our Oakville studio, or ask on Instagram first.</t>
        </is>
      </c>
      <c r="H15" s="45" t="n">
        <v>696</v>
      </c>
      <c r="I15" s="45" t="inlineStr">
        <is>
          <t>Learn more</t>
        </is>
      </c>
      <c r="J15" s="47" t="inlineStr">
        <is>
          <t>@luxury_beauty_aestheticz</t>
        </is>
      </c>
      <c r="K15" s="45" t="inlineStr">
        <is>
          <t>2026-09-01-spotlight-preventative.jpg</t>
        </is>
      </c>
      <c r="L15" s="47" t="inlineStr">
        <is>
          <t>Open folder</t>
        </is>
      </c>
      <c r="M15" s="47" t="inlineStr">
        <is>
          <t>Open image</t>
        </is>
      </c>
      <c r="N15" s="45">
        <f>IMAGE("https://raw.githubusercontent.com/RepoKing23/InstagramCarousel/claude/med-spa-carousel-ideas-sim9wz/content/gbp/2026-09-01-spotlight-preventative.jpg")</f>
        <v/>
      </c>
      <c r="O15" s="47" t="inlineStr">
        <is>
          <t>Fleur Kaan / Unsplash</t>
        </is>
      </c>
      <c r="P15" s="45" t="inlineStr">
        <is>
          <t>Ready</t>
        </is>
      </c>
      <c r="Q15" s="46" t="inlineStr"/>
    </row>
    <row r="16" ht="132" customHeight="1" s="14">
      <c r="A16" s="50" t="n">
        <v>46267</v>
      </c>
      <c r="B16" s="41" t="inlineStr">
        <is>
          <t>Wed</t>
        </is>
      </c>
      <c r="C16" s="41" t="inlineStr">
        <is>
          <t>GBP only</t>
        </is>
      </c>
      <c r="D16" s="41" t="inlineStr">
        <is>
          <t>Trust &amp; Proof</t>
        </is>
      </c>
      <c r="E16" s="42" t="inlineStr">
        <is>
          <t>The question people are too polite to ask. Product is Health Canada approved, opened sealed in front of you, and injected by a nurse practitioner registered with the College of Nurses of Ontario. Ask me anything on Instagram.</t>
        </is>
      </c>
      <c r="F16" s="41" t="n">
        <v>225</v>
      </c>
      <c r="G16" s="42" t="inlineStr">
        <is>
          <t>The question people are too polite to ask out loud. Is it safe.
Product is Health Canada approved and opened sealed in front of you, so you can see what is going in. It is injected by a nurse practitioner registered with the College of Nurses of Ontario, in a private room with single use needles and a new tray for every appointment.
Side effects are usually small and short: a pinprick mark, occasional bruising, sometimes a mild headache the first day. The rarer issues, like a heavy lid, almost always come from product placed where it should not have been. That is a technique problem, which is exactly why who injects you matters more than which brand is on the vial.
Who injects you matters more than which brand is on the vial. Ask me anything about Botox safety on Instagram. No question is too basic.</t>
        </is>
      </c>
      <c r="H16" s="41" t="n">
        <v>813</v>
      </c>
      <c r="I16" s="41" t="inlineStr">
        <is>
          <t>Learn more</t>
        </is>
      </c>
      <c r="J16" s="43" t="inlineStr">
        <is>
          <t>@luxury_beauty_aestheticz</t>
        </is>
      </c>
      <c r="K16" s="41" t="inlineStr">
        <is>
          <t>2026-09-02-is-it-safe.jpg</t>
        </is>
      </c>
      <c r="L16" s="43" t="inlineStr">
        <is>
          <t>Open folder</t>
        </is>
      </c>
      <c r="M16" s="43" t="inlineStr">
        <is>
          <t>Open image</t>
        </is>
      </c>
      <c r="N16" s="41">
        <f>IMAGE("https://raw.githubusercontent.com/RepoKing23/InstagramCarousel/claude/med-spa-carousel-ideas-sim9wz/content/gbp/2026-09-02-is-it-safe.jpg")</f>
        <v/>
      </c>
      <c r="O16" s="43" t="inlineStr">
        <is>
          <t>Atikah Akhtar / Unsplash</t>
        </is>
      </c>
      <c r="P16" s="41" t="inlineStr">
        <is>
          <t>Ready</t>
        </is>
      </c>
      <c r="Q16" s="42" t="inlineStr"/>
    </row>
    <row r="17" ht="132" customHeight="1" s="14">
      <c r="A17" s="51" t="n">
        <v>46268</v>
      </c>
      <c r="B17" s="45" t="inlineStr">
        <is>
          <t>Thu</t>
        </is>
      </c>
      <c r="C17" s="45" t="inlineStr">
        <is>
          <t>IG: What 20 Units Actually Looks Like</t>
        </is>
      </c>
      <c r="D17" s="45" t="inlineStr">
        <is>
          <t>Education</t>
        </is>
      </c>
      <c r="E17" s="46" t="inlineStr">
        <is>
          <t>Unit math, finally explained. Units measure dose, not strength, and the number you need depends on how strong your muscle is, not on a price menu. That is why a flat per-area price rarely tells the truth. Breakdown on Instagram.</t>
        </is>
      </c>
      <c r="F17" s="45" t="n">
        <v>228</v>
      </c>
      <c r="G17" s="46" t="inlineStr">
        <is>
          <t>Unit math, finally explained. Units measure dose, not strength, and the number you need depends on how hard your muscle pulls.
Twenty units in a strong frown muscle and twenty in a light one give completely different results. This is why a flat per area price rarely tells the truth. Two people book the same treatment, one gets enough product and the other quietly gets short dosed to keep the price attractive.
It is also why comparing your number to a friend's is a dead end. Hers might be right for her face and wrong for yours in either direction.
What you should get is a unit count in writing before anything is opened, and an explanation of why that number. That is how Botox is priced here in Oakville. The full breakdown is on Instagram.</t>
        </is>
      </c>
      <c r="H17" s="45" t="n">
        <v>750</v>
      </c>
      <c r="I17" s="45" t="inlineStr">
        <is>
          <t>Learn more</t>
        </is>
      </c>
      <c r="J17" s="47" t="inlineStr">
        <is>
          <t>@luxury_beauty_aestheticz</t>
        </is>
      </c>
      <c r="K17" s="45" t="inlineStr">
        <is>
          <t>2026-09-03-20-units.jpg</t>
        </is>
      </c>
      <c r="L17" s="47" t="inlineStr">
        <is>
          <t>Open folder</t>
        </is>
      </c>
      <c r="M17" s="47" t="inlineStr">
        <is>
          <t>Open image</t>
        </is>
      </c>
      <c r="N17" s="45">
        <f>IMAGE("https://raw.githubusercontent.com/RepoKing23/InstagramCarousel/claude/med-spa-carousel-ideas-sim9wz/content/gbp/2026-09-03-20-units.jpg")</f>
        <v/>
      </c>
      <c r="O17" s="47" t="inlineStr">
        <is>
          <t>ONNE Beauty / Unsplash</t>
        </is>
      </c>
      <c r="P17" s="45" t="inlineStr">
        <is>
          <t>Ready</t>
        </is>
      </c>
      <c r="Q17" s="46" t="inlineStr"/>
    </row>
    <row r="18" ht="132" customHeight="1" s="14">
      <c r="A18" s="51" t="n">
        <v>46269</v>
      </c>
      <c r="B18" s="45" t="inlineStr">
        <is>
          <t>Fri</t>
        </is>
      </c>
      <c r="C18" s="45" t="inlineStr">
        <is>
          <t>IG: Meet Your Injector</t>
        </is>
      </c>
      <c r="D18" s="45" t="inlineStr">
        <is>
          <t>Personality &amp; BTS</t>
        </is>
      </c>
      <c r="E18" s="46" t="inlineStr">
        <is>
          <t>Your injector is a nurse practitioner, RN(EC), registered with the College of Nurses of Ontario. Also the person who will talk you out of a treatment when it is not right for your face. Get to know her on Instagram.</t>
        </is>
      </c>
      <c r="F18" s="45" t="n">
        <v>215</v>
      </c>
      <c r="G18" s="46" t="inlineStr">
        <is>
          <t>Your injector is a nurse practitioner, RN(EC), registered with the College of Nurses of Ontario.
An NP scope means assessing you properly, not just administering. That covers your medical history, what medications you are on, previous work someone else did, and whether treatment is right for you at all. It also means being able to say no with a reason attached.
The honest part is what people remember. If your concern is skin quality or lost volume, a neuromodulator is not the answer and you will hear that instead of a booking. It is the least profitable sentence in this business and the one that keeps clients for years.
Look mine up, and look up anyone else you are considering for Botox in Oakville. It takes two minutes and it is the single most useful thing you can do before booking. Get to know her on Instagram.</t>
        </is>
      </c>
      <c r="H18" s="45" t="n">
        <v>828</v>
      </c>
      <c r="I18" s="45" t="inlineStr">
        <is>
          <t>Learn more</t>
        </is>
      </c>
      <c r="J18" s="47" t="inlineStr">
        <is>
          <t>@luxury_beauty_aestheticz</t>
        </is>
      </c>
      <c r="K18" s="45" t="inlineStr">
        <is>
          <t>2026-09-04-meet-your-injector.jpg</t>
        </is>
      </c>
      <c r="L18" s="47" t="inlineStr">
        <is>
          <t>Open folder</t>
        </is>
      </c>
      <c r="M18" s="47" t="inlineStr">
        <is>
          <t>Open image</t>
        </is>
      </c>
      <c r="N18" s="45">
        <f>IMAGE("https://raw.githubusercontent.com/RepoKing23/InstagramCarousel/claude/med-spa-carousel-ideas-sim9wz/content/gbp/2026-09-04-meet-your-injector.jpg")</f>
        <v/>
      </c>
      <c r="O18" s="47" t="inlineStr">
        <is>
          <t>Masum Rahimi / Unsplash</t>
        </is>
      </c>
      <c r="P18" s="45" t="inlineStr">
        <is>
          <t>Ready</t>
        </is>
      </c>
      <c r="Q18" s="46" t="inlineStr"/>
    </row>
    <row r="19" ht="132" customHeight="1" s="14">
      <c r="A19" s="51" t="n">
        <v>46270</v>
      </c>
      <c r="B19" s="45" t="inlineStr">
        <is>
          <t>Sat</t>
        </is>
      </c>
      <c r="C19" s="45" t="inlineStr">
        <is>
          <t>IG: Prevention Beats Erasing</t>
        </is>
      </c>
      <c r="D19" s="45" t="inlineStr">
        <is>
          <t>Education</t>
        </is>
      </c>
      <c r="E19" s="46" t="inlineStr">
        <is>
          <t>Prevention beats erasing. Ask the friend who never seems to age. Softening a line before it sets into the skin takes less product, less money and less time than chasing it years later. More on Instagram.</t>
        </is>
      </c>
      <c r="F19" s="45" t="n">
        <v>203</v>
      </c>
      <c r="G19" s="46" t="inlineStr">
        <is>
          <t>Prevention beats erasing. Ask the friend who never seems to age and started early.
A line has two stages. First it appears only when you move. Later it stays when your face is still, because the skin has been folded the same way for years and stopped springing back. Treating in the first stage takes less product, less often, and holds better.
By the second stage a neuromodulator still helps, but it is softening something already set rather than stopping it forming. That usually means pairing it with something else and a longer timeline.
This is not an argument for treating everyone early. It is an argument for looking at your own face honestly and knowing which stage you are in. More on preventative treatment in Oakville, on Instagram.</t>
        </is>
      </c>
      <c r="H19" s="45" t="n">
        <v>748</v>
      </c>
      <c r="I19" s="45" t="inlineStr">
        <is>
          <t>Learn more</t>
        </is>
      </c>
      <c r="J19" s="47" t="inlineStr">
        <is>
          <t>@luxury_beauty_aestheticz</t>
        </is>
      </c>
      <c r="K19" s="45" t="inlineStr">
        <is>
          <t>2026-09-05-prevention-beats-erasing.jpg</t>
        </is>
      </c>
      <c r="L19" s="47" t="inlineStr">
        <is>
          <t>Open folder</t>
        </is>
      </c>
      <c r="M19" s="47" t="inlineStr">
        <is>
          <t>Open image</t>
        </is>
      </c>
      <c r="N19" s="45">
        <f>IMAGE("https://raw.githubusercontent.com/RepoKing23/InstagramCarousel/claude/med-spa-carousel-ideas-sim9wz/content/gbp/2026-09-05-prevention-beats-erasing.jpg")</f>
        <v/>
      </c>
      <c r="O19" s="47" t="inlineStr">
        <is>
          <t>Elist Nguyen / Unsplash</t>
        </is>
      </c>
      <c r="P19" s="45" t="inlineStr">
        <is>
          <t>Ready</t>
        </is>
      </c>
      <c r="Q19" s="46" t="inlineStr"/>
    </row>
    <row r="20" ht="132" customHeight="1" s="14">
      <c r="A20" s="50" t="n">
        <v>46271</v>
      </c>
      <c r="B20" s="41" t="inlineStr">
        <is>
          <t>Sun</t>
        </is>
      </c>
      <c r="C20" s="41" t="inlineStr">
        <is>
          <t>GBP only</t>
        </is>
      </c>
      <c r="D20" s="41" t="inlineStr">
        <is>
          <t>Trust &amp; Proof</t>
        </is>
      </c>
      <c r="E20" s="42" t="inlineStr">
        <is>
          <t>Never had injectables before? Most first appointments start with a question the person thinks sounds silly. Bring all of them. You can book a consultation, ask everything, and leave without treatment. No pressure, ever. DM on Instagram.</t>
        </is>
      </c>
      <c r="F20" s="41" t="n">
        <v>236</v>
      </c>
      <c r="G20" s="42" t="inlineStr">
        <is>
          <t>Never had injectables before? Most first appointments open with a question the person thinks sounds silly.
They are not. The ones I hear most: will I look done, will people notice, what happens if I hate it, and can I still raise my eyebrows at my kids. All reasonable, all worth asking before anything is opened.
You can book a consultation, ask every one of them, and leave with treatment nothing more than an option. No deposit to have the conversation. No follow up chasing you afterwards.
If booking a room still feels like too much, message first. I answer my own DMs on Instagram and you will get a straight answer rather than a booking link. First timers welcome, in Oakville and from Burlington, Milton and Mississauga.</t>
        </is>
      </c>
      <c r="H20" s="41" t="n">
        <v>731</v>
      </c>
      <c r="I20" s="41" t="inlineStr">
        <is>
          <t>Learn more</t>
        </is>
      </c>
      <c r="J20" s="43" t="inlineStr">
        <is>
          <t>@luxury_beauty_aestheticz</t>
        </is>
      </c>
      <c r="K20" s="41" t="inlineStr">
        <is>
          <t>2026-09-06-first-timer.jpg</t>
        </is>
      </c>
      <c r="L20" s="43" t="inlineStr">
        <is>
          <t>Open folder</t>
        </is>
      </c>
      <c r="M20" s="43" t="inlineStr">
        <is>
          <t>Open image</t>
        </is>
      </c>
      <c r="N20" s="41">
        <f>IMAGE("https://raw.githubusercontent.com/RepoKing23/InstagramCarousel/claude/med-spa-carousel-ideas-sim9wz/content/gbp/2026-09-06-first-timer.jpg")</f>
        <v/>
      </c>
      <c r="O20" s="43" t="inlineStr">
        <is>
          <t>engin akyurt / Unsplash</t>
        </is>
      </c>
      <c r="P20" s="41" t="inlineStr">
        <is>
          <t>Ready</t>
        </is>
      </c>
      <c r="Q20" s="42" t="inlineStr"/>
    </row>
    <row r="21" ht="132" customHeight="1" s="14">
      <c r="A21" s="51" t="n">
        <v>46272</v>
      </c>
      <c r="B21" s="45" t="inlineStr">
        <is>
          <t>Mon</t>
        </is>
      </c>
      <c r="C21" s="45" t="inlineStr">
        <is>
          <t>IG: Botox vs Dysport</t>
        </is>
      </c>
      <c r="D21" s="45" t="inlineStr">
        <is>
          <t>Education</t>
        </is>
      </c>
      <c r="E21" s="46" t="inlineStr">
        <is>
          <t>Botox or Dysport? Same family, different personalities. One spreads slightly more, one tends to kick in faster. Which suits you depends on the area and your muscle, not on which name you have heard of. Full comparison on Instagram.</t>
        </is>
      </c>
      <c r="F21" s="45" t="n">
        <v>231</v>
      </c>
      <c r="G21" s="46" t="inlineStr">
        <is>
          <t>Botox or Dysport? Same family, different personalities, and the choice matters less than most comparison articles suggest.
Dysport tends to spread a little more from the injection point and often kicks in a day or two sooner. Botox tends to stay put more precisely, which is useful in small areas where you want a tight boundary. Both relax the muscle the same way.
Which suits you depends on the area being treated and how your muscle behaves, not on which name you recognise. A broad forehead and a small crow's foot are not the same problem.
If you have had one and it wore off faster than expected, mention it at your consultation. Sometimes the answer is the other product, more often it is the dose. Full comparison, from an Oakville injector, on Instagram.</t>
        </is>
      </c>
      <c r="H21" s="45" t="n">
        <v>766</v>
      </c>
      <c r="I21" s="45" t="inlineStr">
        <is>
          <t>Learn more</t>
        </is>
      </c>
      <c r="J21" s="47" t="inlineStr">
        <is>
          <t>@luxury_beauty_aestheticz</t>
        </is>
      </c>
      <c r="K21" s="45" t="inlineStr">
        <is>
          <t>2026-09-07-botox-vs-dysport.jpg</t>
        </is>
      </c>
      <c r="L21" s="47" t="inlineStr">
        <is>
          <t>Open folder</t>
        </is>
      </c>
      <c r="M21" s="47" t="inlineStr">
        <is>
          <t>Open image</t>
        </is>
      </c>
      <c r="N21" s="45">
        <f>IMAGE("https://raw.githubusercontent.com/RepoKing23/InstagramCarousel/claude/med-spa-carousel-ideas-sim9wz/content/gbp/2026-09-07-botox-vs-dysport.jpg")</f>
        <v/>
      </c>
      <c r="O21" s="47" t="inlineStr">
        <is>
          <t>Catherine Grimes / Unsplash</t>
        </is>
      </c>
      <c r="P21" s="45" t="inlineStr">
        <is>
          <t>Ready</t>
        </is>
      </c>
      <c r="Q21" s="46" t="inlineStr"/>
    </row>
    <row r="22" ht="132" customHeight="1" s="14">
      <c r="A22" s="51" t="n">
        <v>46273</v>
      </c>
      <c r="B22" s="45" t="inlineStr">
        <is>
          <t>Tue</t>
        </is>
      </c>
      <c r="C22" s="45" t="inlineStr">
        <is>
          <t>IG: Botox vs Dysport at a Glance</t>
        </is>
      </c>
      <c r="D22" s="45" t="inlineStr">
        <is>
          <t>Education</t>
        </is>
      </c>
      <c r="E22" s="46" t="inlineStr">
        <is>
          <t>Onset, spread and how long each one lasts, side by side. Not so you can pick for yourself, but so you can ask a sharper question at your consultation. The comparison card is on Instagram.</t>
        </is>
      </c>
      <c r="F22" s="45" t="n">
        <v>187</v>
      </c>
      <c r="G22" s="46" t="inlineStr">
        <is>
          <t>Onset, spread and duration side by side, so you can ask a sharper question at your consultation.
Onset: Dysport often shows in two to three days, Botox around three to five. Both fully settle at two weeks, which is when we judge the result, not before. Spread: Dysport diffuses a little wider from each point, Botox stays tighter. Duration: three to four months for most people with either one.
That is the honest extent of the difference. Anyone telling you one is dramatically better than the other is selling something.
The more useful conversation is about your muscle, your area and your dose. Bring the comparison to a consultation in Oakville and we will work from there. The card is on Instagram.</t>
        </is>
      </c>
      <c r="H22" s="45" t="n">
        <v>707</v>
      </c>
      <c r="I22" s="45" t="inlineStr">
        <is>
          <t>Learn more</t>
        </is>
      </c>
      <c r="J22" s="47" t="inlineStr">
        <is>
          <t>@luxury_beauty_aestheticz</t>
        </is>
      </c>
      <c r="K22" s="45" t="inlineStr">
        <is>
          <t>2026-09-08-at-a-glance.jpg</t>
        </is>
      </c>
      <c r="L22" s="47" t="inlineStr">
        <is>
          <t>Open folder</t>
        </is>
      </c>
      <c r="M22" s="47" t="inlineStr">
        <is>
          <t>Open image</t>
        </is>
      </c>
      <c r="N22" s="45">
        <f>IMAGE("https://raw.githubusercontent.com/RepoKing23/InstagramCarousel/claude/med-spa-carousel-ideas-sim9wz/content/gbp/2026-09-08-at-a-glance.jpg")</f>
        <v/>
      </c>
      <c r="O22" s="47" t="inlineStr">
        <is>
          <t>Gabrielle Henderson / Unsplash</t>
        </is>
      </c>
      <c r="P22" s="45" t="inlineStr">
        <is>
          <t>Ready</t>
        </is>
      </c>
      <c r="Q22" s="46" t="inlineStr"/>
    </row>
    <row r="23" ht="132" customHeight="1" s="14">
      <c r="A23" s="50" t="n">
        <v>46274</v>
      </c>
      <c r="B23" s="41" t="inlineStr">
        <is>
          <t>Wed</t>
        </is>
      </c>
      <c r="C23" s="41" t="inlineStr">
        <is>
          <t>GBP only</t>
        </is>
      </c>
      <c r="D23" s="41" t="inlineStr">
        <is>
          <t>Education</t>
        </is>
      </c>
      <c r="E23" s="42" t="inlineStr">
        <is>
          <t>Aftercare, the short version. Stay upright for four hours, skip the gym for the rest of the day, and leave the treated area alone. Three rules that matter more than everything else you will read online. Full guide on Instagram.</t>
        </is>
      </c>
      <c r="F23" s="41" t="n">
        <v>227</v>
      </c>
      <c r="G23" s="42" t="inlineStr">
        <is>
          <t>Aftercare, the short version. Stay upright for four hours, skip the gym for the rest of the day, and leave the treated area alone.
The reasoning is the same for all three. Product needs to stay where it was placed while it binds. Lying flat, raising your heart rate hard, or rubbing the area can move it a few millimetres, and a few millimetres is the difference between a good result and a heavy brow.
Things that are fine: normal walking, work, makeup after a few hours, a glass of wine. Things worth avoiding for 24 hours: hot yoga, saunas, facials and face down massage.
A small raised bump at each point is normal and settles within an hour. The full Botox aftercare guide is on Instagram, worth saving before your appointment rather than after.</t>
        </is>
      </c>
      <c r="H23" s="41" t="n">
        <v>753</v>
      </c>
      <c r="I23" s="41" t="inlineStr">
        <is>
          <t>Learn more</t>
        </is>
      </c>
      <c r="J23" s="43" t="inlineStr">
        <is>
          <t>@luxury_beauty_aestheticz</t>
        </is>
      </c>
      <c r="K23" s="41" t="inlineStr">
        <is>
          <t>2026-09-09-aftercare-rules.jpg</t>
        </is>
      </c>
      <c r="L23" s="43" t="inlineStr">
        <is>
          <t>Open folder</t>
        </is>
      </c>
      <c r="M23" s="43" t="inlineStr">
        <is>
          <t>Open image</t>
        </is>
      </c>
      <c r="N23" s="41">
        <f>IMAGE("https://raw.githubusercontent.com/RepoKing23/InstagramCarousel/claude/med-spa-carousel-ideas-sim9wz/content/gbp/2026-09-09-aftercare-rules.jpg")</f>
        <v/>
      </c>
      <c r="O23" s="43" t="inlineStr">
        <is>
          <t>Gabrielle Henderson / Unsplash</t>
        </is>
      </c>
      <c r="P23" s="41" t="inlineStr">
        <is>
          <t>Ready</t>
        </is>
      </c>
      <c r="Q23" s="42" t="inlineStr"/>
    </row>
    <row r="24" ht="132" customHeight="1" s="14">
      <c r="A24" s="51" t="n">
        <v>46275</v>
      </c>
      <c r="B24" s="45" t="inlineStr">
        <is>
          <t>Thu</t>
        </is>
      </c>
      <c r="C24" s="45" t="inlineStr">
        <is>
          <t>IG: Botox Aftercare, The First 48 Hours</t>
        </is>
      </c>
      <c r="D24" s="45" t="inlineStr">
        <is>
          <t>Education</t>
        </is>
      </c>
      <c r="E24" s="46" t="inlineStr">
        <is>
          <t>You got Botox. Now what? What to do, what to skip, and which small things are completely normal in the first 48 hours. Save it before your appointment, not after. The full guide is on Instagram.</t>
        </is>
      </c>
      <c r="F24" s="45" t="n">
        <v>194</v>
      </c>
      <c r="G24" s="46" t="inlineStr">
        <is>
          <t>You got Botox. Now what? Here is what the first 48 hours actually look like.
First four hours: stay upright and leave the area alone. First day: no gym, no sauna, no face down massage. Small raised bumps at each injection point settle within the hour, and a pinprick mark or light bruise is common and covers with makeup after a few hours.
Day two to three is when most people notice movement starting to ease. It is gradual, and it is uneven at first, which is normal and not a sign something went wrong.
Do not judge anything until two weeks. That is when Botox has fully settled and when we look properly at your follow up, included with every appointment in Oakville. Save the full guide from Instagram.</t>
        </is>
      </c>
      <c r="H24" s="45" t="n">
        <v>710</v>
      </c>
      <c r="I24" s="45" t="inlineStr">
        <is>
          <t>Learn more</t>
        </is>
      </c>
      <c r="J24" s="47" t="inlineStr">
        <is>
          <t>@luxury_beauty_aestheticz</t>
        </is>
      </c>
      <c r="K24" s="45" t="inlineStr">
        <is>
          <t>2026-09-10-first-48-hours.jpg</t>
        </is>
      </c>
      <c r="L24" s="47" t="inlineStr">
        <is>
          <t>Open folder</t>
        </is>
      </c>
      <c r="M24" s="47" t="inlineStr">
        <is>
          <t>Open image</t>
        </is>
      </c>
      <c r="N24" s="45">
        <f>IMAGE("https://raw.githubusercontent.com/RepoKing23/InstagramCarousel/claude/med-spa-carousel-ideas-sim9wz/content/gbp/2026-09-10-first-48-hours.jpg")</f>
        <v/>
      </c>
      <c r="O24" s="47" t="inlineStr">
        <is>
          <t>ONNE Beauty / Unsplash</t>
        </is>
      </c>
      <c r="P24" s="45" t="inlineStr">
        <is>
          <t>Ready</t>
        </is>
      </c>
      <c r="Q24" s="46" t="inlineStr"/>
    </row>
    <row r="25" ht="132" customHeight="1" s="14">
      <c r="A25" s="51" t="n">
        <v>46276</v>
      </c>
      <c r="B25" s="45" t="inlineStr">
        <is>
          <t>Fri</t>
        </is>
      </c>
      <c r="C25" s="45" t="inlineStr">
        <is>
          <t>IG: The Face Map</t>
        </is>
      </c>
      <c r="D25" s="45" t="inlineStr">
        <is>
          <t>Trust &amp; Proof</t>
        </is>
      </c>
      <c r="E25" s="46" t="inlineStr">
        <is>
          <t>Every face gets its own map. Yours is drawn while it moves, because a muscle sitting still tells you almost nothing about where the product should go. That map is why two people never get the same dose. On Instagram.</t>
        </is>
      </c>
      <c r="F25" s="45" t="n">
        <v>216</v>
      </c>
      <c r="G25" s="46" t="inlineStr">
        <is>
          <t>Every face gets its own map, and yours is drawn while it moves.
A muscle sitting still tells you almost nothing. I need to see the frown, the lift, the squint and the smile, because that is where the pull actually is. People are rarely symmetrical. One brow usually works harder, and treating both sides identically is how you end up with a lift on one side and not the other.
The map is why two people with the same concern get different unit counts and different placements. It is also why I keep yours between visits. The second appointment starts from what your face did with the first one, rather than from scratch.
That is the difference between a plan and a menu, and it is why no two Botox appointments here use the same numbers. See how the mapping works on Instagram.</t>
        </is>
      </c>
      <c r="H25" s="45" t="n">
        <v>780</v>
      </c>
      <c r="I25" s="45" t="inlineStr">
        <is>
          <t>Learn more</t>
        </is>
      </c>
      <c r="J25" s="47" t="inlineStr">
        <is>
          <t>@luxury_beauty_aestheticz</t>
        </is>
      </c>
      <c r="K25" s="45" t="inlineStr">
        <is>
          <t>2026-09-11-the-face-map.jpg</t>
        </is>
      </c>
      <c r="L25" s="47" t="inlineStr">
        <is>
          <t>Open folder</t>
        </is>
      </c>
      <c r="M25" s="47" t="inlineStr">
        <is>
          <t>Open image</t>
        </is>
      </c>
      <c r="N25" s="45">
        <f>IMAGE("https://raw.githubusercontent.com/RepoKing23/InstagramCarousel/claude/med-spa-carousel-ideas-sim9wz/content/gbp/2026-09-11-the-face-map.jpg")</f>
        <v/>
      </c>
      <c r="O25" s="47" t="inlineStr">
        <is>
          <t>JEaLiFe Pictures / Unsplash</t>
        </is>
      </c>
      <c r="P25" s="45" t="inlineStr">
        <is>
          <t>Ready</t>
        </is>
      </c>
      <c r="Q25" s="46" t="inlineStr"/>
    </row>
    <row r="26" ht="132" customHeight="1" s="14">
      <c r="A26" s="51" t="n">
        <v>46277</v>
      </c>
      <c r="B26" s="45" t="inlineStr">
        <is>
          <t>Sat</t>
        </is>
      </c>
      <c r="C26" s="45" t="inlineStr">
        <is>
          <t>IG: FAQ, Does Botox Hurt?</t>
        </is>
      </c>
      <c r="D26" s="45" t="inlineStr">
        <is>
          <t>Education</t>
        </is>
      </c>
      <c r="E26" s="46" t="inlineStr">
        <is>
          <t>Does it hurt? Honest answer, a quick pinch and a few seconds per area. The needle is very fine and most people say it was easier than the version they had built up in their head. No fluff, on Instagram.</t>
        </is>
      </c>
      <c r="F26" s="45" t="n">
        <v>202</v>
      </c>
      <c r="G26" s="46" t="inlineStr">
        <is>
          <t>Does it hurt? Honest answer: a quick pinch, a few seconds per area.
The needle is very fine, finer than the one used for bloodwork, and each injection point takes about a second. A forehead is usually four to six points. Most people describe it as a sharp scratch that is over before they have finished bracing for it.
Some spots are more sensitive than others. Between the brows is the one people feel most. The area around the eyes is usually the easiest. No numbing cream is needed for a neuromodulator, though it is an option for filler.
Most people say it was easier than the version they had built up in their head, and the second appointment is always easier than the first. Ask me anything about Botox in Oakville on Instagram.</t>
        </is>
      </c>
      <c r="H26" s="45" t="n">
        <v>738</v>
      </c>
      <c r="I26" s="45" t="inlineStr">
        <is>
          <t>Learn more</t>
        </is>
      </c>
      <c r="J26" s="47" t="inlineStr">
        <is>
          <t>@luxury_beauty_aestheticz</t>
        </is>
      </c>
      <c r="K26" s="45" t="inlineStr">
        <is>
          <t>2026-09-12-does-it-hurt.jpg</t>
        </is>
      </c>
      <c r="L26" s="47" t="inlineStr">
        <is>
          <t>Open folder</t>
        </is>
      </c>
      <c r="M26" s="47" t="inlineStr">
        <is>
          <t>Open image</t>
        </is>
      </c>
      <c r="N26" s="45">
        <f>IMAGE("https://raw.githubusercontent.com/RepoKing23/InstagramCarousel/claude/med-spa-carousel-ideas-sim9wz/content/gbp/2026-09-12-does-it-hurt.jpg")</f>
        <v/>
      </c>
      <c r="O26" s="47" t="inlineStr">
        <is>
          <t>Victor Meza / Unsplash</t>
        </is>
      </c>
      <c r="P26" s="45" t="inlineStr">
        <is>
          <t>Ready</t>
        </is>
      </c>
      <c r="Q26" s="46" t="inlineStr"/>
    </row>
    <row r="27" ht="132" customHeight="1" s="14">
      <c r="A27" s="50" t="n">
        <v>46278</v>
      </c>
      <c r="B27" s="41" t="inlineStr">
        <is>
          <t>Sun</t>
        </is>
      </c>
      <c r="C27" s="41" t="inlineStr">
        <is>
          <t>GBP only</t>
        </is>
      </c>
      <c r="D27" s="41" t="inlineStr">
        <is>
          <t>Trust &amp; Proof</t>
        </is>
      </c>
      <c r="E27" s="42" t="inlineStr">
        <is>
          <t>The goal is never a new face. It is your face on a better week, with nobody able to say quite why. If the result announces itself, something went wrong. See what that looks like on Instagram.</t>
        </is>
      </c>
      <c r="F27" s="41" t="n">
        <v>191</v>
      </c>
      <c r="G27" s="42" t="inlineStr">
        <is>
          <t>The goal is never a new face. It is your face on a better week, with nobody able to say quite why.
That sounds modest until you see the alternative. Overdone work announces itself: a forehead that will not move, brows sitting in a place they have never sat, lips that arrive in a room first. Once a face crosses that line, everyone reads it as work, including people who cannot name what changed.
Staying on the right side of it is mostly about restraint. Fewer units than the maximum. Stopping while it still looks understated. Being willing to leave asymmetry that is actually just your face.
If a result announces itself, something went wrong. That standard is why people drive to this Oakville studio from Burlington and Milton for Botox. See the alternative on Instagram.</t>
        </is>
      </c>
      <c r="H27" s="41" t="n">
        <v>779</v>
      </c>
      <c r="I27" s="41" t="inlineStr">
        <is>
          <t>Learn more</t>
        </is>
      </c>
      <c r="J27" s="43" t="inlineStr">
        <is>
          <t>@luxury_beauty_aestheticz</t>
        </is>
      </c>
      <c r="K27" s="41" t="inlineStr">
        <is>
          <t>2026-09-13-still-look-like-you.jpg</t>
        </is>
      </c>
      <c r="L27" s="43" t="inlineStr">
        <is>
          <t>Open folder</t>
        </is>
      </c>
      <c r="M27" s="43" t="inlineStr">
        <is>
          <t>Open image</t>
        </is>
      </c>
      <c r="N27" s="41">
        <f>IMAGE("https://raw.githubusercontent.com/RepoKing23/InstagramCarousel/claude/med-spa-carousel-ideas-sim9wz/content/gbp/2026-09-13-still-look-like-you.jpg")</f>
        <v/>
      </c>
      <c r="O27" s="43" t="inlineStr">
        <is>
          <t>Zac Taheriyan / Unsplash</t>
        </is>
      </c>
      <c r="P27" s="41" t="inlineStr">
        <is>
          <t>Ready</t>
        </is>
      </c>
      <c r="Q27" s="42" t="inlineStr"/>
    </row>
    <row r="28" ht="132" customHeight="1" s="14">
      <c r="A28" s="51" t="n">
        <v>46279</v>
      </c>
      <c r="B28" s="45" t="inlineStr">
        <is>
          <t>Mon</t>
        </is>
      </c>
      <c r="C28" s="45" t="inlineStr">
        <is>
          <t>IG: 5 Things Botox Can't Do</t>
        </is>
      </c>
      <c r="D28" s="45" t="inlineStr">
        <is>
          <t>Trust &amp; Proof</t>
        </is>
      </c>
      <c r="E28" s="46" t="inlineStr">
        <is>
          <t>Five things Botox cannot do. It softens lines made by movement. It will not lift heavy skin, replace lost volume, or undo sun damage. Knowing the limits is how you avoid paying for the wrong treatment. Full list on Instagram.</t>
        </is>
      </c>
      <c r="F28" s="45" t="n">
        <v>225</v>
      </c>
      <c r="G28" s="46" t="inlineStr">
        <is>
          <t>Five things Botox cannot do, so you do not pay for the wrong treatment.
It will not lift heavy skin. That is a laxity issue and needs energy based treatment or surgery. It will not replace lost volume, which is what filler is for. It will not undo sun damage or fix pigment and texture, which is a skin health question. It will not shrink pores. And it will not remove a line that is fully etched at rest, though it will soften it and stop it deepening.
What it does do, well, is relax the muscle making a movement line so the skin above it stops folding.
If your concern is on this list, say so at your consultation and we will talk about what actually addresses it, whether that is filler, a skin plan, or nothing at all. Full list on Instagram.</t>
        </is>
      </c>
      <c r="H28" s="45" t="n">
        <v>750</v>
      </c>
      <c r="I28" s="45" t="inlineStr">
        <is>
          <t>Learn more</t>
        </is>
      </c>
      <c r="J28" s="47" t="inlineStr">
        <is>
          <t>@luxury_beauty_aestheticz</t>
        </is>
      </c>
      <c r="K28" s="45" t="inlineStr">
        <is>
          <t>2026-09-14-5-things-botox-cannot-do.jpg</t>
        </is>
      </c>
      <c r="L28" s="47" t="inlineStr">
        <is>
          <t>Open folder</t>
        </is>
      </c>
      <c r="M28" s="47" t="inlineStr">
        <is>
          <t>Open image</t>
        </is>
      </c>
      <c r="N28" s="45">
        <f>IMAGE("https://raw.githubusercontent.com/RepoKing23/InstagramCarousel/claude/med-spa-carousel-ideas-sim9wz/content/gbp/2026-09-14-5-things-botox-cannot-do.jpg")</f>
        <v/>
      </c>
      <c r="O28" s="47" t="inlineStr">
        <is>
          <t>engin akyurt / Unsplash</t>
        </is>
      </c>
      <c r="P28" s="45" t="inlineStr">
        <is>
          <t>Ready</t>
        </is>
      </c>
      <c r="Q28" s="46" t="inlineStr"/>
    </row>
    <row r="29" ht="132" customHeight="1" s="14">
      <c r="A29" s="51" t="n">
        <v>46280</v>
      </c>
      <c r="B29" s="45" t="inlineStr">
        <is>
          <t>Tue</t>
        </is>
      </c>
      <c r="C29" s="45" t="inlineStr">
        <is>
          <t>IG: What Botox Can't Fix</t>
        </is>
      </c>
      <c r="D29" s="45" t="inlineStr">
        <is>
          <t>Education</t>
        </is>
      </c>
      <c r="E29" s="46" t="inlineStr">
        <is>
          <t>If a line is still there when your face is completely still, Botox is not the answer for it. That is a volume or a skin quality question, and it needs a different plan. Honest expectations, always. More on Instagram.</t>
        </is>
      </c>
      <c r="F29" s="45" t="n">
        <v>216</v>
      </c>
      <c r="G29" s="46" t="inlineStr">
        <is>
          <t>If a line is still there when your face is completely still, a neuromodulator is not the answer for it.
That is the simplest test I can give you. Relax everything, look straight ahead, and see what remains. A line that only shows when you move is a muscle problem, which is what Botox treats. A line sitting there at rest is either volume loss or skin quality, and both need a different plan.
Plenty of faces have both at once. The nasolabial folds are the usual example, where people book a neuromodulator and are disappointed because the fold was never about movement.
Honest expectations save money, and they are the reason people keep coming back to this Oakville studio. Send a relaxed photo and a moving one if you want a straight answer before booking. More on Instagram.</t>
        </is>
      </c>
      <c r="H29" s="45" t="n">
        <v>781</v>
      </c>
      <c r="I29" s="45" t="inlineStr">
        <is>
          <t>Learn more</t>
        </is>
      </c>
      <c r="J29" s="47" t="inlineStr">
        <is>
          <t>@luxury_beauty_aestheticz</t>
        </is>
      </c>
      <c r="K29" s="45" t="inlineStr">
        <is>
          <t>2026-09-15-what-it-cannot-fix.jpg</t>
        </is>
      </c>
      <c r="L29" s="47" t="inlineStr">
        <is>
          <t>Open folder</t>
        </is>
      </c>
      <c r="M29" s="47" t="inlineStr">
        <is>
          <t>Open image</t>
        </is>
      </c>
      <c r="N29" s="45">
        <f>IMAGE("https://raw.githubusercontent.com/RepoKing23/InstagramCarousel/claude/med-spa-carousel-ideas-sim9wz/content/gbp/2026-09-15-what-it-cannot-fix.jpg")</f>
        <v/>
      </c>
      <c r="O29" s="47" t="inlineStr">
        <is>
          <t>engin akyurt / Unsplash</t>
        </is>
      </c>
      <c r="P29" s="45" t="inlineStr">
        <is>
          <t>Ready</t>
        </is>
      </c>
      <c r="Q29" s="46" t="inlineStr"/>
    </row>
    <row r="30" ht="132" customHeight="1" s="14">
      <c r="A30" s="50" t="n">
        <v>46281</v>
      </c>
      <c r="B30" s="41" t="inlineStr">
        <is>
          <t>Wed</t>
        </is>
      </c>
      <c r="C30" s="41" t="inlineStr">
        <is>
          <t>GBP only</t>
        </is>
      </c>
      <c r="D30" s="41" t="inlineStr">
        <is>
          <t>Trust &amp; Proof</t>
        </is>
      </c>
      <c r="E30" s="42" t="inlineStr">
        <is>
          <t>Booking is a message, not a phone tree. Send a DM on Instagram and it is answered by Cleo herself, usually the same day. Tell me what is bothering you and I will tell you honestly whether I can help. We are at 3060 Preserve Dr, Oakville.</t>
        </is>
      </c>
      <c r="F30" s="41" t="n">
        <v>237</v>
      </c>
      <c r="G30" s="42" t="inlineStr">
        <is>
          <t>Booking is a message, not a phone tree. Send a DM on Instagram and it is answered by Cleo, usually the same day.
Tell me what is bothering you, in whatever words you have. You do not need to know the treatment name or the area. Plenty of people open with a photo and a sentence about hating one particular line, and that is enough to start.
I will tell you honestly whether I can help, roughly what it would take, and what it costs. If the answer is that you do not need anything yet, you will get that too.
We are at 3060 Preserve Dr in Oakville, with free parking at the door, seeing Botox and filler clients from Burlington, Milton and Mississauga. One appointment in the room at a time.</t>
        </is>
      </c>
      <c r="H30" s="41" t="n">
        <v>693</v>
      </c>
      <c r="I30" s="41" t="inlineStr">
        <is>
          <t>Learn more</t>
        </is>
      </c>
      <c r="J30" s="43" t="inlineStr">
        <is>
          <t>@luxury_beauty_aestheticz</t>
        </is>
      </c>
      <c r="K30" s="41" t="inlineStr">
        <is>
          <t>2026-09-16-how-to-book.jpg</t>
        </is>
      </c>
      <c r="L30" s="43" t="inlineStr">
        <is>
          <t>Open folder</t>
        </is>
      </c>
      <c r="M30" s="43" t="inlineStr">
        <is>
          <t>Open image</t>
        </is>
      </c>
      <c r="N30" s="41">
        <f>IMAGE("https://raw.githubusercontent.com/RepoKing23/InstagramCarousel/claude/med-spa-carousel-ideas-sim9wz/content/gbp/2026-09-16-how-to-book.jpg")</f>
        <v/>
      </c>
      <c r="O30" s="43" t="inlineStr">
        <is>
          <t>Bee Naturalles / Unsplash</t>
        </is>
      </c>
      <c r="P30" s="41" t="inlineStr">
        <is>
          <t>Ready</t>
        </is>
      </c>
      <c r="Q30" s="42" t="inlineStr"/>
    </row>
    <row r="31" ht="132" customHeight="1" s="14">
      <c r="A31" s="51" t="n">
        <v>46282</v>
      </c>
      <c r="B31" s="45" t="inlineStr">
        <is>
          <t>Thu</t>
        </is>
      </c>
      <c r="C31" s="45" t="inlineStr">
        <is>
          <t>IG: Still You, Just Refreshed</t>
        </is>
      </c>
      <c r="D31" s="45" t="inlineStr">
        <is>
          <t>Trust &amp; Proof</t>
        </is>
      </c>
      <c r="E31" s="46" t="inlineStr">
        <is>
          <t>You will not look done. You will look like you slept properly for a week. That is the whole standard here, and it is why the dose is built around your face instead of a template. See it on Instagram.</t>
        </is>
      </c>
      <c r="F31" s="45" t="n">
        <v>199</v>
      </c>
      <c r="G31" s="46" t="inlineStr">
        <is>
          <t>You will not look done. You will look like you slept properly for a week.
That is the whole standard, and it drives every dosing decision here. The dose is built around your face rather than a template, which usually means fewer units than a chart would suggest and a follow up at two weeks to fine tune rather than one heavy session.
It also means leaving movement alone where movement is doing useful work. A completely still forehead is easy to achieve and almost always reads as work. Softer lines with full expression takes more judgement and is what people actually want when they describe looking refreshed.
Still you, just less tired. That is what good Botox looks like in Oakville, and you can see it on Instagram.</t>
        </is>
      </c>
      <c r="H31" s="45" t="n">
        <v>726</v>
      </c>
      <c r="I31" s="45" t="inlineStr">
        <is>
          <t>Learn more</t>
        </is>
      </c>
      <c r="J31" s="47" t="inlineStr">
        <is>
          <t>@luxury_beauty_aestheticz</t>
        </is>
      </c>
      <c r="K31" s="45" t="inlineStr">
        <is>
          <t>2026-09-17-still-you-just-refreshed.jpg</t>
        </is>
      </c>
      <c r="L31" s="47" t="inlineStr">
        <is>
          <t>Open folder</t>
        </is>
      </c>
      <c r="M31" s="47" t="inlineStr">
        <is>
          <t>Open image</t>
        </is>
      </c>
      <c r="N31" s="45">
        <f>IMAGE("https://raw.githubusercontent.com/RepoKing23/InstagramCarousel/claude/med-spa-carousel-ideas-sim9wz/content/gbp/2026-09-17-still-you-just-refreshed.jpg")</f>
        <v/>
      </c>
      <c r="O31" s="47" t="inlineStr">
        <is>
          <t>Zulfugar Karimov / Unsplash</t>
        </is>
      </c>
      <c r="P31" s="45" t="inlineStr">
        <is>
          <t>Ready</t>
        </is>
      </c>
      <c r="Q31" s="46" t="inlineStr"/>
    </row>
    <row r="32" ht="132" customHeight="1" s="14">
      <c r="A32" s="51" t="n">
        <v>46283</v>
      </c>
      <c r="B32" s="45" t="inlineStr">
        <is>
          <t>Fri</t>
        </is>
      </c>
      <c r="C32" s="45" t="inlineStr">
        <is>
          <t>IG: Myth vs Truth, The Frozen Face</t>
        </is>
      </c>
      <c r="D32" s="45" t="inlineStr">
        <is>
          <t>Education</t>
        </is>
      </c>
      <c r="E32" s="46" t="inlineStr">
        <is>
          <t>The frozen face is a dosing mistake, not what the treatment does. Done properly you keep your expressions and lose the deep etched lines. The classic fear, debunked on Instagram.</t>
        </is>
      </c>
      <c r="F32" s="45" t="n">
        <v>178</v>
      </c>
      <c r="G32" s="46" t="inlineStr">
        <is>
          <t>The frozen face is a dosing mistake, not what the treatment does.
It happens when too much product goes into too many muscles at once, usually because someone treated a whole area by default rather than the specific muscle that was pulling. The result is a face that cannot express, which is the outcome everyone is afraid of and the reason plenty of people never book.
Done properly you keep your expressions and lose the deep etched lines. You should still be able to frown, lift your brows and squint. The difference shows in photos, where you look like yourself rather than smoothed over.
If frozen is what has put you off Botox, say that at your consultation. It changes how I dose. The classic fear, debunked on Instagram.</t>
        </is>
      </c>
      <c r="H32" s="45" t="n">
        <v>731</v>
      </c>
      <c r="I32" s="45" t="inlineStr">
        <is>
          <t>Learn more</t>
        </is>
      </c>
      <c r="J32" s="47" t="inlineStr">
        <is>
          <t>@luxury_beauty_aestheticz</t>
        </is>
      </c>
      <c r="K32" s="45" t="inlineStr">
        <is>
          <t>2026-09-18-frozen-face-myth.jpg</t>
        </is>
      </c>
      <c r="L32" s="47" t="inlineStr">
        <is>
          <t>Open folder</t>
        </is>
      </c>
      <c r="M32" s="47" t="inlineStr">
        <is>
          <t>Open image</t>
        </is>
      </c>
      <c r="N32" s="45">
        <f>IMAGE("https://raw.githubusercontent.com/RepoKing23/InstagramCarousel/claude/med-spa-carousel-ideas-sim9wz/content/gbp/2026-09-18-frozen-face-myth.jpg")</f>
        <v/>
      </c>
      <c r="O32" s="47" t="inlineStr">
        <is>
          <t>Neda Vidakovic / Unsplash</t>
        </is>
      </c>
      <c r="P32" s="45" t="inlineStr">
        <is>
          <t>Ready</t>
        </is>
      </c>
      <c r="Q32" s="46" t="inlineStr"/>
    </row>
    <row r="33" ht="132" customHeight="1" s="14">
      <c r="A33" s="51" t="n">
        <v>46284</v>
      </c>
      <c r="B33" s="45" t="inlineStr">
        <is>
          <t>Sat</t>
        </is>
      </c>
      <c r="C33" s="45" t="inlineStr">
        <is>
          <t>IG: Client Words, Natural Results</t>
        </is>
      </c>
      <c r="D33" s="45" t="inlineStr">
        <is>
          <t>Trust &amp; Proof</t>
        </is>
      </c>
      <c r="E33" s="46" t="inlineStr">
        <is>
          <t>Nobody guessed. That was the point. The compliment we are aiming for is whether you changed your skincare or got back from holiday, never what you had done. Client words on Instagram.</t>
        </is>
      </c>
      <c r="F33" s="45" t="n">
        <v>183</v>
      </c>
      <c r="G33" s="46" t="inlineStr">
        <is>
          <t>Nobody guessed. That was the point.
The compliments worth aiming for are the vague ones. Did you change your skincare. Have you been away. You look well rested. Nobody in that list is identifying a treatment, which means the work sat inside the range where it reads as you on a good week.
Getting there is unglamorous. It is conservative dosing, a two week follow up rather than one heavy session, and being willing to leave a small asymmetry that is just how your face is built.
The clients who come to this Oakville studio from Burlington, Milton and Mississauga mostly arrive on referral from someone whose Botox nobody could place. That is the referral I want. Client words on Instagram.</t>
        </is>
      </c>
      <c r="H33" s="45" t="n">
        <v>694</v>
      </c>
      <c r="I33" s="45" t="inlineStr">
        <is>
          <t>Learn more</t>
        </is>
      </c>
      <c r="J33" s="47" t="inlineStr">
        <is>
          <t>@luxury_beauty_aestheticz</t>
        </is>
      </c>
      <c r="K33" s="45" t="inlineStr">
        <is>
          <t>2026-09-19-nobody-guessed.jpg</t>
        </is>
      </c>
      <c r="L33" s="47" t="inlineStr">
        <is>
          <t>Open folder</t>
        </is>
      </c>
      <c r="M33" s="47" t="inlineStr">
        <is>
          <t>Open image</t>
        </is>
      </c>
      <c r="N33" s="45">
        <f>IMAGE("https://raw.githubusercontent.com/RepoKing23/InstagramCarousel/claude/med-spa-carousel-ideas-sim9wz/content/gbp/2026-09-19-nobody-guessed.jpg")</f>
        <v/>
      </c>
      <c r="O33" s="47" t="inlineStr">
        <is>
          <t>Vitaliy Shevchenko / Unsplash</t>
        </is>
      </c>
      <c r="P33" s="45" t="inlineStr">
        <is>
          <t>Ready</t>
        </is>
      </c>
      <c r="Q33" s="46" t="inlineStr"/>
    </row>
    <row r="34" ht="132" customHeight="1" s="14">
      <c r="A34" s="50" t="n">
        <v>46285</v>
      </c>
      <c r="B34" s="41" t="inlineStr">
        <is>
          <t>Sun</t>
        </is>
      </c>
      <c r="C34" s="41" t="inlineStr">
        <is>
          <t>GBP only</t>
        </is>
      </c>
      <c r="D34" s="41" t="inlineStr">
        <is>
          <t>Trust &amp; Proof</t>
        </is>
      </c>
      <c r="E34" s="42" t="inlineStr">
        <is>
          <t>Based at 3060 Preserve Dr in Oakville, with clients coming from Burlington, Milton and Mississauga. Private studio, free parking at the door, one appointment in the room at a time. Say hello on Instagram.</t>
        </is>
      </c>
      <c r="F34" s="41" t="n">
        <v>204</v>
      </c>
      <c r="G34" s="42" t="inlineStr">
        <is>
          <t>Based at 3060 Preserve Dr in Oakville, seeing clients from Burlington, Milton and Mississauga.
It is a private studio rather than a clinic floor, with free parking at the door and one appointment in the room at a time. Most people are in and out inside an hour for a first visit, closer to twenty minutes once they are established.
People travel here for a specific reason and it is usually not location. It is that the same nurse practitioner injects every appointment, the dose is explained before anything is opened, and the answer is sometimes no.
If you are anywhere in Halton or west Mississauga and weighing up where to go for Botox or filler, message me on Instagram and ask whatever you need to before booking.</t>
        </is>
      </c>
      <c r="H34" s="41" t="n">
        <v>722</v>
      </c>
      <c r="I34" s="41" t="inlineStr">
        <is>
          <t>Learn more</t>
        </is>
      </c>
      <c r="J34" s="43" t="inlineStr">
        <is>
          <t>@luxury_beauty_aestheticz</t>
        </is>
      </c>
      <c r="K34" s="41" t="inlineStr">
        <is>
          <t>2026-09-20-service-area.jpg</t>
        </is>
      </c>
      <c r="L34" s="43" t="inlineStr">
        <is>
          <t>Open folder</t>
        </is>
      </c>
      <c r="M34" s="43" t="inlineStr">
        <is>
          <t>Open image</t>
        </is>
      </c>
      <c r="N34" s="41">
        <f>IMAGE("https://raw.githubusercontent.com/RepoKing23/InstagramCarousel/claude/med-spa-carousel-ideas-sim9wz/content/gbp/2026-09-20-service-area.jpg")</f>
        <v/>
      </c>
      <c r="O34" s="43" t="inlineStr">
        <is>
          <t>Elist Nguyen / Unsplash</t>
        </is>
      </c>
      <c r="P34" s="41" t="inlineStr">
        <is>
          <t>Ready</t>
        </is>
      </c>
      <c r="Q34" s="42" t="inlineStr"/>
    </row>
    <row r="35" ht="132" customHeight="1" s="14">
      <c r="A35" s="51" t="n">
        <v>46286</v>
      </c>
      <c r="B35" s="45" t="inlineStr">
        <is>
          <t>Mon</t>
        </is>
      </c>
      <c r="C35" s="45" t="inlineStr">
        <is>
          <t>IG: Botox or Filler?</t>
        </is>
      </c>
      <c r="D35" s="45" t="inlineStr">
        <is>
          <t>Education</t>
        </is>
      </c>
      <c r="E35" s="46" t="inlineStr">
        <is>
          <t>Botox or filler? You might be asking for the wrong one. Lines made by movement need a neuromodulator. Hollowness and lost volume need filler. Booking the wrong one is the most common and most expensive mistake. Explained on Instagram.</t>
        </is>
      </c>
      <c r="F35" s="45" t="n">
        <v>234</v>
      </c>
      <c r="G35" s="46" t="inlineStr">
        <is>
          <t>Botox or filler? You might be asking for the wrong one, and it is the most expensive mistake in this business.
Lines made by movement need a neuromodulator, which relaxes the muscle doing the folding. Hollowness, flatness and lost volume need filler, which replaces structure that is no longer there. They solve different problems and neither substitutes for the other.
The confusion is understandable because the complaint sounds the same. Someone points at their lower face and says it looks tired. That can be volume, skin quality, movement, or all three at once.
This is exactly what a consultation is for. Bring the concern, not the treatment name, and we will work out whether it is Botox or filler you actually need. Explained on Instagram, or book in Oakville.</t>
        </is>
      </c>
      <c r="H35" s="45" t="n">
        <v>771</v>
      </c>
      <c r="I35" s="45" t="inlineStr">
        <is>
          <t>Learn more</t>
        </is>
      </c>
      <c r="J35" s="47" t="inlineStr">
        <is>
          <t>@luxury_beauty_aestheticz</t>
        </is>
      </c>
      <c r="K35" s="45" t="inlineStr">
        <is>
          <t>2026-09-21-botox-or-filler.jpg</t>
        </is>
      </c>
      <c r="L35" s="47" t="inlineStr">
        <is>
          <t>Open folder</t>
        </is>
      </c>
      <c r="M35" s="47" t="inlineStr">
        <is>
          <t>Open image</t>
        </is>
      </c>
      <c r="N35" s="45">
        <f>IMAGE("https://raw.githubusercontent.com/RepoKing23/InstagramCarousel/claude/med-spa-carousel-ideas-sim9wz/content/gbp/2026-09-21-botox-or-filler.jpg")</f>
        <v/>
      </c>
      <c r="O35" s="47" t="inlineStr">
        <is>
          <t>Alef Morais / Unsplash</t>
        </is>
      </c>
      <c r="P35" s="45" t="inlineStr">
        <is>
          <t>Ready</t>
        </is>
      </c>
      <c r="Q35" s="46" t="inlineStr"/>
    </row>
    <row r="36" ht="132" customHeight="1" s="14">
      <c r="A36" s="51" t="n">
        <v>46287</v>
      </c>
      <c r="B36" s="45" t="inlineStr">
        <is>
          <t>Tue</t>
        </is>
      </c>
      <c r="C36" s="45" t="inlineStr">
        <is>
          <t>IG: Lines vs Volume</t>
        </is>
      </c>
      <c r="D36" s="45" t="inlineStr">
        <is>
          <t>Education</t>
        </is>
      </c>
      <c r="E36" s="46" t="inlineStr">
        <is>
          <t>Here is the test. Gently pull the skin taut. If the line disappears it is a movement line. If it stays put, it is a volume question. Which one is your actual concern? More on Instagram.</t>
        </is>
      </c>
      <c r="F36" s="45" t="n">
        <v>185</v>
      </c>
      <c r="G36" s="46" t="inlineStr">
        <is>
          <t>Here is the test you can do at home. Gently pull the skin taut beside the line.
If it disappears, it is a movement line and a neuromodulator is the right tool. If it stays put, you are looking at volume loss or skin quality, and filler or a skin plan is the conversation instead.
Do it in decent light with your face completely relaxed. The result surprises people fairly often, usually because the line they have been trying to treat for years was never a muscle problem.
This is not a substitute for an assessment, and plenty of faces show both at once. But it will get you asking a much better question when you book Botox or filler in Oakville. More on Instagram.</t>
        </is>
      </c>
      <c r="H36" s="45" t="n">
        <v>670</v>
      </c>
      <c r="I36" s="45" t="inlineStr">
        <is>
          <t>Learn more</t>
        </is>
      </c>
      <c r="J36" s="47" t="inlineStr">
        <is>
          <t>@luxury_beauty_aestheticz</t>
        </is>
      </c>
      <c r="K36" s="45" t="inlineStr">
        <is>
          <t>2026-09-22-lines-vs-volume.jpg</t>
        </is>
      </c>
      <c r="L36" s="47" t="inlineStr">
        <is>
          <t>Open folder</t>
        </is>
      </c>
      <c r="M36" s="47" t="inlineStr">
        <is>
          <t>Open image</t>
        </is>
      </c>
      <c r="N36" s="45">
        <f>IMAGE("https://raw.githubusercontent.com/RepoKing23/InstagramCarousel/claude/med-spa-carousel-ideas-sim9wz/content/gbp/2026-09-22-lines-vs-volume.jpg")</f>
        <v/>
      </c>
      <c r="O36" s="47" t="inlineStr">
        <is>
          <t>Rosa Rafael / Unsplash</t>
        </is>
      </c>
      <c r="P36" s="45" t="inlineStr">
        <is>
          <t>Ready</t>
        </is>
      </c>
      <c r="Q36" s="46" t="inlineStr"/>
    </row>
    <row r="37" ht="132" customHeight="1" s="14">
      <c r="A37" s="50" t="n">
        <v>46288</v>
      </c>
      <c r="B37" s="41" t="inlineStr">
        <is>
          <t>Wed</t>
        </is>
      </c>
      <c r="C37" s="41" t="inlineStr">
        <is>
          <t>GBP only</t>
        </is>
      </c>
      <c r="D37" s="41" t="inlineStr">
        <is>
          <t>Education</t>
        </is>
      </c>
      <c r="E37" s="42" t="inlineStr">
        <is>
          <t>Five questions worth asking any clinic, including this one. Who is injecting me, what are your credentials, which product, what dose, and what happens if I am not happy. A good clinic answers all five without flinching. More on Instagram.</t>
        </is>
      </c>
      <c r="F37" s="41" t="n">
        <v>238</v>
      </c>
      <c r="G37" s="42" t="inlineStr">
        <is>
          <t>Five questions worth asking any clinic, including this one.
Who is injecting me, and will it be the same person next time. What are your credentials, and where can I verify them. Which product are you using and is it Health Canada approved. How many units, and why that number for my face. What happens if I am not happy at two weeks.
A good clinic answers all five without hesitating or getting defensive. Vague answers on any of them are worth walking out over, particularly the first two.
Ask them here too. Any injector worth booking, in Oakville or anywhere else, will answer all five about your Botox without hesitating. Answers on Instagram.</t>
        </is>
      </c>
      <c r="H37" s="41" t="n">
        <v>651</v>
      </c>
      <c r="I37" s="41" t="inlineStr">
        <is>
          <t>Learn more</t>
        </is>
      </c>
      <c r="J37" s="43" t="inlineStr">
        <is>
          <t>@luxury_beauty_aestheticz</t>
        </is>
      </c>
      <c r="K37" s="41" t="inlineStr">
        <is>
          <t>2026-09-23-what-to-ask.jpg</t>
        </is>
      </c>
      <c r="L37" s="43" t="inlineStr">
        <is>
          <t>Open folder</t>
        </is>
      </c>
      <c r="M37" s="43" t="inlineStr">
        <is>
          <t>Open image</t>
        </is>
      </c>
      <c r="N37" s="41">
        <f>IMAGE("https://raw.githubusercontent.com/RepoKing23/InstagramCarousel/claude/med-spa-carousel-ideas-sim9wz/content/gbp/2026-09-23-what-to-ask.jpg")</f>
        <v/>
      </c>
      <c r="O37" s="43" t="inlineStr">
        <is>
          <t>Soheil Kmp / Unsplash</t>
        </is>
      </c>
      <c r="P37" s="41" t="inlineStr">
        <is>
          <t>Ready</t>
        </is>
      </c>
      <c r="Q37" s="42" t="inlineStr"/>
    </row>
    <row r="38" ht="132" customHeight="1" s="14">
      <c r="A38" s="51" t="n">
        <v>46289</v>
      </c>
      <c r="B38" s="45" t="inlineStr">
        <is>
          <t>Thu</t>
        </is>
      </c>
      <c r="C38" s="45" t="inlineStr">
        <is>
          <t>IG: Ask NP Cleo</t>
        </is>
      </c>
      <c r="D38" s="45" t="inlineStr">
        <is>
          <t>Personality &amp; BTS</t>
        </is>
      </c>
      <c r="E38" s="46" t="inlineStr">
        <is>
          <t>You asked, so here are the honest answers. The questions that land in my DMs every week, answered without the marketing gloss, including the ones clinics usually dodge. Read them on Instagram.</t>
        </is>
      </c>
      <c r="F38" s="45" t="n">
        <v>192</v>
      </c>
      <c r="G38" s="46" t="inlineStr">
        <is>
          <t>You asked, so here are the honest answers, including the ones clinics usually dodge.
The questions that land in my DMs most weeks: what does it actually cost, will I need it forever, what if I stop, does it get worse when it wears off, and can you tell when someone has had it done.
Short version on the two that worry people most. Nothing gets worse when you stop. The muscle simply returns to what it was doing before, and any line that had softened goes back to where it would have been. And no, you cannot tell when it is dosed properly, which is the entire point.
No marketing gloss on any of them. Read the full set on Instagram, and send me the Botox question nobody has answered for you properly.</t>
        </is>
      </c>
      <c r="H38" s="45" t="n">
        <v>707</v>
      </c>
      <c r="I38" s="45" t="inlineStr">
        <is>
          <t>Learn more</t>
        </is>
      </c>
      <c r="J38" s="47" t="inlineStr">
        <is>
          <t>@luxury_beauty_aestheticz</t>
        </is>
      </c>
      <c r="K38" s="45" t="inlineStr">
        <is>
          <t>2026-09-24-ask-np-cleo.jpg</t>
        </is>
      </c>
      <c r="L38" s="47" t="inlineStr">
        <is>
          <t>Open folder</t>
        </is>
      </c>
      <c r="M38" s="47" t="inlineStr">
        <is>
          <t>Open image</t>
        </is>
      </c>
      <c r="N38" s="45">
        <f>IMAGE("https://raw.githubusercontent.com/RepoKing23/InstagramCarousel/claude/med-spa-carousel-ideas-sim9wz/content/gbp/2026-09-24-ask-np-cleo.jpg")</f>
        <v/>
      </c>
      <c r="O38" s="47" t="inlineStr">
        <is>
          <t>Look Studio / Unsplash</t>
        </is>
      </c>
      <c r="P38" s="45" t="inlineStr">
        <is>
          <t>Ready</t>
        </is>
      </c>
      <c r="Q38" s="46" t="inlineStr"/>
    </row>
    <row r="39" ht="132" customHeight="1" s="14">
      <c r="A39" s="51" t="n">
        <v>46290</v>
      </c>
      <c r="B39" s="45" t="inlineStr">
        <is>
          <t>Fri</t>
        </is>
      </c>
      <c r="C39" s="45" t="inlineStr">
        <is>
          <t>IG: Your DMs, Answered</t>
        </is>
      </c>
      <c r="D39" s="45" t="inlineStr">
        <is>
          <t>Personality &amp; BTS</t>
        </is>
      </c>
      <c r="E39" s="46" t="inlineStr">
        <is>
          <t>The question people ask quietly, in private, almost every week. Here it is in public with a straight answer and nothing dressed up. Your questions are always welcome on Instagram.</t>
        </is>
      </c>
      <c r="F39" s="45" t="n">
        <v>179</v>
      </c>
      <c r="G39" s="46" t="inlineStr">
        <is>
          <t>The question people ask quietly, in private, almost every week.
It is usually some version of: am I too young for this, or am I too late. Both come with a bit of embarrassment attached, which is why they arrive as a DM at eleven at night rather than out loud in a room.
The answer to both is that age is not the measure. What matters is whether a line stays behind when your face is fully relaxed. That is a question about your skin and your muscle, not your birthday, and it is why two people the same age often need completely different plans.
Nothing you ask here is silly and nothing gets repeated. Whether it is Botox, filler or neither, your questions are always welcome on Instagram.</t>
        </is>
      </c>
      <c r="H39" s="45" t="n">
        <v>693</v>
      </c>
      <c r="I39" s="45" t="inlineStr">
        <is>
          <t>Learn more</t>
        </is>
      </c>
      <c r="J39" s="47" t="inlineStr">
        <is>
          <t>@luxury_beauty_aestheticz</t>
        </is>
      </c>
      <c r="K39" s="45" t="inlineStr">
        <is>
          <t>2026-09-25-your-dms-answered.jpg</t>
        </is>
      </c>
      <c r="L39" s="47" t="inlineStr">
        <is>
          <t>Open folder</t>
        </is>
      </c>
      <c r="M39" s="47" t="inlineStr">
        <is>
          <t>Open image</t>
        </is>
      </c>
      <c r="N39" s="45">
        <f>IMAGE("https://raw.githubusercontent.com/RepoKing23/InstagramCarousel/claude/med-spa-carousel-ideas-sim9wz/content/gbp/2026-09-25-your-dms-answered.jpg")</f>
        <v/>
      </c>
      <c r="O39" s="47" t="inlineStr">
        <is>
          <t>Masum Rahimi / Unsplash</t>
        </is>
      </c>
      <c r="P39" s="45" t="inlineStr">
        <is>
          <t>Ready</t>
        </is>
      </c>
      <c r="Q39" s="46" t="inlineStr"/>
    </row>
    <row r="40" ht="132" customHeight="1" s="14">
      <c r="A40" s="51" t="n">
        <v>46291</v>
      </c>
      <c r="B40" s="45" t="inlineStr">
        <is>
          <t>Sat</t>
        </is>
      </c>
      <c r="C40" s="45" t="inlineStr">
        <is>
          <t>IG: Poll, What Should NP Cleo Cover Next?</t>
        </is>
      </c>
      <c r="D40" s="45" t="inlineStr">
        <is>
          <t>Personality &amp; BTS</t>
        </is>
      </c>
      <c r="E40" s="46" t="inlineStr">
        <is>
          <t>You pick what I cover next. The topic with the most votes becomes the next post, whether that is pricing, a treatment breakdown, or something nobody wants to explain properly. Vote on Instagram.</t>
        </is>
      </c>
      <c r="F40" s="45" t="n">
        <v>194</v>
      </c>
      <c r="G40" s="46" t="inlineStr">
        <is>
          <t>You pick what I cover next. The topic with the most votes becomes the next post.
On the list so far: what treatments actually cost and why, how to tell a good injector from a confident one, what happens to your face if you stop, and a full breakdown of what filler can and cannot fix.
I would rather answer the thing people are actually wondering about than publish whatever is trending. The most useful posts here have all come from a question someone sent privately and assumed was too basic to ask.
Vote on Instagram, or send a topic that is not on the list. If enough people in Oakville are wondering the same thing about Botox or filler, it gets made.</t>
        </is>
      </c>
      <c r="H40" s="45" t="n">
        <v>659</v>
      </c>
      <c r="I40" s="45" t="inlineStr">
        <is>
          <t>Learn more</t>
        </is>
      </c>
      <c r="J40" s="47" t="inlineStr">
        <is>
          <t>@luxury_beauty_aestheticz</t>
        </is>
      </c>
      <c r="K40" s="45" t="inlineStr">
        <is>
          <t>2026-09-26-what-next.jpg</t>
        </is>
      </c>
      <c r="L40" s="47" t="inlineStr">
        <is>
          <t>Open folder</t>
        </is>
      </c>
      <c r="M40" s="47" t="inlineStr">
        <is>
          <t>Open image</t>
        </is>
      </c>
      <c r="N40" s="45">
        <f>IMAGE("https://raw.githubusercontent.com/RepoKing23/InstagramCarousel/claude/med-spa-carousel-ideas-sim9wz/content/gbp/2026-09-26-what-next.jpg")</f>
        <v/>
      </c>
      <c r="O40" s="47" t="inlineStr">
        <is>
          <t>Calugar Ana Maria / Unsplash</t>
        </is>
      </c>
      <c r="P40" s="45" t="inlineStr">
        <is>
          <t>Ready</t>
        </is>
      </c>
      <c r="Q40" s="46" t="inlineStr"/>
    </row>
    <row r="41" ht="132" customHeight="1" s="14">
      <c r="A41" s="50" t="n">
        <v>46292</v>
      </c>
      <c r="B41" s="41" t="inlineStr">
        <is>
          <t>Sun</t>
        </is>
      </c>
      <c r="C41" s="41" t="inlineStr">
        <is>
          <t>GBP only</t>
        </is>
      </c>
      <c r="D41" s="41" t="inlineStr">
        <is>
          <t>Trust &amp; Proof</t>
        </is>
      </c>
      <c r="E41" s="42" t="inlineStr">
        <is>
          <t>Your two week follow up is part of the treatment, not an extra. Botox takes about fourteen days to settle, so that is when we look properly and make small adjustments if anything needs it. No charge for that visit. More on Instagram.</t>
        </is>
      </c>
      <c r="F41" s="41" t="n">
        <v>233</v>
      </c>
      <c r="G41" s="42" t="inlineStr">
        <is>
          <t>Your two week follow up is part of the treatment, not an extra.
A neuromodulator takes about fourteen days to fully settle. Judging the result before that is how people end up chasing a dose, because at day five it looks uneven and at day fourteen it usually does not. So we look properly at two weeks, when what you see is what you have.
If something needs adjusting, a small top up in one spot, a touch more on the side that pulls harder, that happens at the follow up and there is no charge for it.
This is also why I dose conservatively the first time. It is easy to add a little at two weeks. There is nothing to be done about too much except wait it out. Book at our Oakville studio, or ask on Instagram.</t>
        </is>
      </c>
      <c r="H41" s="41" t="n">
        <v>713</v>
      </c>
      <c r="I41" s="41" t="inlineStr">
        <is>
          <t>Learn more</t>
        </is>
      </c>
      <c r="J41" s="43" t="inlineStr">
        <is>
          <t>@luxury_beauty_aestheticz</t>
        </is>
      </c>
      <c r="K41" s="41" t="inlineStr">
        <is>
          <t>2026-09-27-two-week-review.jpg</t>
        </is>
      </c>
      <c r="L41" s="43" t="inlineStr">
        <is>
          <t>Open folder</t>
        </is>
      </c>
      <c r="M41" s="43" t="inlineStr">
        <is>
          <t>Open image</t>
        </is>
      </c>
      <c r="N41" s="41">
        <f>IMAGE("https://raw.githubusercontent.com/RepoKing23/InstagramCarousel/claude/med-spa-carousel-ideas-sim9wz/content/gbp/2026-09-27-two-week-review.jpg")</f>
        <v/>
      </c>
      <c r="O41" s="43" t="inlineStr">
        <is>
          <t>Ionela Mat / Unsplash</t>
        </is>
      </c>
      <c r="P41" s="41" t="inlineStr">
        <is>
          <t>Ready</t>
        </is>
      </c>
      <c r="Q41" s="42" t="inlineStr"/>
    </row>
    <row r="42" ht="132" customHeight="1" s="14">
      <c r="A42" s="51" t="n">
        <v>46293</v>
      </c>
      <c r="B42" s="45" t="inlineStr">
        <is>
          <t>Mon</t>
        </is>
      </c>
      <c r="C42" s="45" t="inlineStr">
        <is>
          <t>IG: How Long Does Botox Really Last?</t>
        </is>
      </c>
      <c r="D42" s="45" t="inlineStr">
        <is>
          <t>Education</t>
        </is>
      </c>
      <c r="E42" s="46" t="inlineStr">
        <is>
          <t>Three to four months for most people, and the honest reasons it varies. Your metabolism, the dose, how strong the muscle is, and how long you have been treating it. The month by month timeline is on Instagram.</t>
        </is>
      </c>
      <c r="F42" s="45" t="n">
        <v>209</v>
      </c>
      <c r="G42" s="46" t="inlineStr">
        <is>
          <t>Three to four months for most people, and here are the honest reasons it varies.
Metabolism plays a part, and people who train hard often find it wears off sooner. Dose matters, since a light preventative dose fades before a fuller corrective one. Muscle strength matters, because a strong frown works through product faster than a light one. And history matters, as people who have treated consistently for years often stretch further between appointments.
What is not true is that it stops working. If yours seems to be fading faster than it used to, the usual answer is that the dose is no longer right rather than any resistance to the product.
What is not true is that it stops working. If your Botox seems to be fading faster than it used to, the usual answer is that the dose is no longer right rather than any resistance to the product. Month by month timeline on Instagram.</t>
        </is>
      </c>
      <c r="H42" s="45" t="n">
        <v>885</v>
      </c>
      <c r="I42" s="45" t="inlineStr">
        <is>
          <t>Learn more</t>
        </is>
      </c>
      <c r="J42" s="47" t="inlineStr">
        <is>
          <t>@luxury_beauty_aestheticz</t>
        </is>
      </c>
      <c r="K42" s="45" t="inlineStr">
        <is>
          <t>2026-09-28-how-long-does-it-last.jpg</t>
        </is>
      </c>
      <c r="L42" s="47" t="inlineStr">
        <is>
          <t>Open folder</t>
        </is>
      </c>
      <c r="M42" s="47" t="inlineStr">
        <is>
          <t>Open image</t>
        </is>
      </c>
      <c r="N42" s="45">
        <f>IMAGE("https://raw.githubusercontent.com/RepoKing23/InstagramCarousel/claude/med-spa-carousel-ideas-sim9wz/content/gbp/2026-09-28-how-long-does-it-last.jpg")</f>
        <v/>
      </c>
      <c r="O42" s="47" t="inlineStr">
        <is>
          <t>ONNE Beauty / Unsplash</t>
        </is>
      </c>
      <c r="P42" s="45" t="inlineStr">
        <is>
          <t>Ready</t>
        </is>
      </c>
      <c r="Q42" s="46" t="inlineStr"/>
    </row>
    <row r="43" ht="132" customHeight="1" s="14">
      <c r="A43" s="51" t="n">
        <v>46294</v>
      </c>
      <c r="B43" s="45" t="inlineStr">
        <is>
          <t>Tue</t>
        </is>
      </c>
      <c r="C43" s="45" t="inlineStr">
        <is>
          <t>IG: The 3-Month Botox Timeline</t>
        </is>
      </c>
      <c r="D43" s="45" t="inlineStr">
        <is>
          <t>Education</t>
        </is>
      </c>
      <c r="E43" s="46" t="inlineStr">
        <is>
          <t>Week by week, what to expect. Movement starts easing around day three, it fully settles at two weeks, softens through month three, and by month four you are due. Knowing the curve stops the day five panic. On Instagram.</t>
        </is>
      </c>
      <c r="F43" s="45" t="n">
        <v>219</v>
      </c>
      <c r="G43" s="46" t="inlineStr">
        <is>
          <t>Week by week, what to expect after treatment.
Day three is when most people first notice movement easing. It is gradual and it is uneven at the start, which is normal. Two weeks is when it has fully settled, and the only fair point to judge the result or adjust it. Month one to two is the plateau, where it looks its best and you stop thinking about it.
Month three is when movement starts creeping back, usually in the strongest muscle first. By month four most people are due, though plenty stretch further, particularly after a few consistent rounds.
Knowing the curve stops the day five panic, which is far and away the most common message I get after Botox. Save the timeline from Instagram, or book a follow up in Oakville.</t>
        </is>
      </c>
      <c r="H43" s="45" t="n">
        <v>733</v>
      </c>
      <c r="I43" s="45" t="inlineStr">
        <is>
          <t>Learn more</t>
        </is>
      </c>
      <c r="J43" s="47" t="inlineStr">
        <is>
          <t>@luxury_beauty_aestheticz</t>
        </is>
      </c>
      <c r="K43" s="45" t="inlineStr">
        <is>
          <t>2026-09-29-three-month-timeline.jpg</t>
        </is>
      </c>
      <c r="L43" s="47" t="inlineStr">
        <is>
          <t>Open folder</t>
        </is>
      </c>
      <c r="M43" s="47" t="inlineStr">
        <is>
          <t>Open image</t>
        </is>
      </c>
      <c r="N43" s="45">
        <f>IMAGE("https://raw.githubusercontent.com/RepoKing23/InstagramCarousel/claude/med-spa-carousel-ideas-sim9wz/content/gbp/2026-09-29-three-month-timeline.jpg")</f>
        <v/>
      </c>
      <c r="O43" s="47" t="inlineStr">
        <is>
          <t>Catherine Grimes / Unsplash</t>
        </is>
      </c>
      <c r="P43" s="45" t="inlineStr">
        <is>
          <t>Ready</t>
        </is>
      </c>
      <c r="Q43" s="46" t="inlineStr"/>
    </row>
    <row r="44" ht="132" customHeight="1" s="14">
      <c r="A44" s="50" t="n">
        <v>46295</v>
      </c>
      <c r="B44" s="41" t="inlineStr">
        <is>
          <t>Wed</t>
        </is>
      </c>
      <c r="C44" s="41" t="inlineStr">
        <is>
          <t>GBP only</t>
        </is>
      </c>
      <c r="D44" s="41" t="inlineStr">
        <is>
          <t>Education</t>
        </is>
      </c>
      <c r="E44" s="42" t="inlineStr">
        <is>
          <t>October is a month about lips. What one syringe actually does, the difference between natural and overdone, aftercare that matters, and real results shared with consent. Follow along on Instagram so you do not miss the start.</t>
        </is>
      </c>
      <c r="F44" s="41" t="n">
        <v>225</v>
      </c>
      <c r="G44" s="42" t="inlineStr">
        <is>
          <t>October is a month about lips, and it starts next week.
What is coming: what one syringe of filler actually does and how far it goes, the real difference between natural and overdone, aftercare that matters in the first 48 hours, and real results shared with client consent.
Lip filler in Oakville attracts more bad information than almost anything else I treat. Most of it comes from people who saw one obvious result and assumed that is what the treatment does. The work worth showing is the kind nobody identifies.
If lips are something you have thought about and talked yourself out of, this is the month to ask. Follow along on Instagram so you do not miss the start.</t>
        </is>
      </c>
      <c r="H44" s="41" t="n">
        <v>675</v>
      </c>
      <c r="I44" s="41" t="inlineStr">
        <is>
          <t>Learn more</t>
        </is>
      </c>
      <c r="J44" s="43" t="inlineStr">
        <is>
          <t>@luxury_beauty_aestheticz</t>
        </is>
      </c>
      <c r="K44" s="41" t="inlineStr">
        <is>
          <t>2026-09-30-october-preview.jpg</t>
        </is>
      </c>
      <c r="L44" s="43" t="inlineStr">
        <is>
          <t>Open folder</t>
        </is>
      </c>
      <c r="M44" s="43" t="inlineStr">
        <is>
          <t>Open image</t>
        </is>
      </c>
      <c r="N44" s="41">
        <f>IMAGE("https://raw.githubusercontent.com/RepoKing23/InstagramCarousel/claude/med-spa-carousel-ideas-sim9wz/content/gbp/2026-09-30-october-preview.jpg")</f>
        <v/>
      </c>
      <c r="O44" s="43" t="inlineStr">
        <is>
          <t>Christin Hume / Unsplash</t>
        </is>
      </c>
      <c r="P44" s="41" t="inlineStr">
        <is>
          <t>Ready</t>
        </is>
      </c>
      <c r="Q44" s="42" t="inlineStr"/>
    </row>
  </sheetData>
  <hyperlinks>
    <hyperlink xmlns:r="http://schemas.openxmlformats.org/officeDocument/2006/relationships" ref="J2" r:id="rId1"/>
    <hyperlink xmlns:r="http://schemas.openxmlformats.org/officeDocument/2006/relationships" ref="L2" r:id="rId2"/>
    <hyperlink xmlns:r="http://schemas.openxmlformats.org/officeDocument/2006/relationships" ref="M2" r:id="rId3"/>
    <hyperlink xmlns:r="http://schemas.openxmlformats.org/officeDocument/2006/relationships" ref="O2" r:id="rId4"/>
    <hyperlink xmlns:r="http://schemas.openxmlformats.org/officeDocument/2006/relationships" ref="J3" r:id="rId5"/>
    <hyperlink xmlns:r="http://schemas.openxmlformats.org/officeDocument/2006/relationships" ref="L3" r:id="rId6"/>
    <hyperlink xmlns:r="http://schemas.openxmlformats.org/officeDocument/2006/relationships" ref="M3" r:id="rId7"/>
    <hyperlink xmlns:r="http://schemas.openxmlformats.org/officeDocument/2006/relationships" ref="O3" r:id="rId8"/>
    <hyperlink xmlns:r="http://schemas.openxmlformats.org/officeDocument/2006/relationships" ref="J4" r:id="rId9"/>
    <hyperlink xmlns:r="http://schemas.openxmlformats.org/officeDocument/2006/relationships" ref="L4" r:id="rId10"/>
    <hyperlink xmlns:r="http://schemas.openxmlformats.org/officeDocument/2006/relationships" ref="M4" r:id="rId11"/>
    <hyperlink xmlns:r="http://schemas.openxmlformats.org/officeDocument/2006/relationships" ref="O4" r:id="rId12"/>
    <hyperlink xmlns:r="http://schemas.openxmlformats.org/officeDocument/2006/relationships" ref="J5" r:id="rId13"/>
    <hyperlink xmlns:r="http://schemas.openxmlformats.org/officeDocument/2006/relationships" ref="L5" r:id="rId14"/>
    <hyperlink xmlns:r="http://schemas.openxmlformats.org/officeDocument/2006/relationships" ref="M5" r:id="rId15"/>
    <hyperlink xmlns:r="http://schemas.openxmlformats.org/officeDocument/2006/relationships" ref="O5" r:id="rId16"/>
    <hyperlink xmlns:r="http://schemas.openxmlformats.org/officeDocument/2006/relationships" ref="J6" r:id="rId17"/>
    <hyperlink xmlns:r="http://schemas.openxmlformats.org/officeDocument/2006/relationships" ref="L6" r:id="rId18"/>
    <hyperlink xmlns:r="http://schemas.openxmlformats.org/officeDocument/2006/relationships" ref="M6" r:id="rId19"/>
    <hyperlink xmlns:r="http://schemas.openxmlformats.org/officeDocument/2006/relationships" ref="O6" r:id="rId20"/>
    <hyperlink xmlns:r="http://schemas.openxmlformats.org/officeDocument/2006/relationships" ref="J7" r:id="rId21"/>
    <hyperlink xmlns:r="http://schemas.openxmlformats.org/officeDocument/2006/relationships" ref="L7" r:id="rId22"/>
    <hyperlink xmlns:r="http://schemas.openxmlformats.org/officeDocument/2006/relationships" ref="M7" r:id="rId23"/>
    <hyperlink xmlns:r="http://schemas.openxmlformats.org/officeDocument/2006/relationships" ref="O7" r:id="rId24"/>
    <hyperlink xmlns:r="http://schemas.openxmlformats.org/officeDocument/2006/relationships" ref="J8" r:id="rId25"/>
    <hyperlink xmlns:r="http://schemas.openxmlformats.org/officeDocument/2006/relationships" ref="L8" r:id="rId26"/>
    <hyperlink xmlns:r="http://schemas.openxmlformats.org/officeDocument/2006/relationships" ref="M8" r:id="rId27"/>
    <hyperlink xmlns:r="http://schemas.openxmlformats.org/officeDocument/2006/relationships" ref="O8" r:id="rId28"/>
    <hyperlink xmlns:r="http://schemas.openxmlformats.org/officeDocument/2006/relationships" ref="J9" r:id="rId29"/>
    <hyperlink xmlns:r="http://schemas.openxmlformats.org/officeDocument/2006/relationships" ref="L9" r:id="rId30"/>
    <hyperlink xmlns:r="http://schemas.openxmlformats.org/officeDocument/2006/relationships" ref="M9" r:id="rId31"/>
    <hyperlink xmlns:r="http://schemas.openxmlformats.org/officeDocument/2006/relationships" ref="O9" r:id="rId32"/>
    <hyperlink xmlns:r="http://schemas.openxmlformats.org/officeDocument/2006/relationships" ref="J10" r:id="rId33"/>
    <hyperlink xmlns:r="http://schemas.openxmlformats.org/officeDocument/2006/relationships" ref="L10" r:id="rId34"/>
    <hyperlink xmlns:r="http://schemas.openxmlformats.org/officeDocument/2006/relationships" ref="M10" r:id="rId35"/>
    <hyperlink xmlns:r="http://schemas.openxmlformats.org/officeDocument/2006/relationships" ref="O10" r:id="rId36"/>
    <hyperlink xmlns:r="http://schemas.openxmlformats.org/officeDocument/2006/relationships" ref="J11" r:id="rId37"/>
    <hyperlink xmlns:r="http://schemas.openxmlformats.org/officeDocument/2006/relationships" ref="L11" r:id="rId38"/>
    <hyperlink xmlns:r="http://schemas.openxmlformats.org/officeDocument/2006/relationships" ref="M11" r:id="rId39"/>
    <hyperlink xmlns:r="http://schemas.openxmlformats.org/officeDocument/2006/relationships" ref="O11" r:id="rId40"/>
    <hyperlink xmlns:r="http://schemas.openxmlformats.org/officeDocument/2006/relationships" ref="J12" r:id="rId41"/>
    <hyperlink xmlns:r="http://schemas.openxmlformats.org/officeDocument/2006/relationships" ref="L12" r:id="rId42"/>
    <hyperlink xmlns:r="http://schemas.openxmlformats.org/officeDocument/2006/relationships" ref="M12" r:id="rId43"/>
    <hyperlink xmlns:r="http://schemas.openxmlformats.org/officeDocument/2006/relationships" ref="O12" r:id="rId44"/>
    <hyperlink xmlns:r="http://schemas.openxmlformats.org/officeDocument/2006/relationships" ref="J13" r:id="rId45"/>
    <hyperlink xmlns:r="http://schemas.openxmlformats.org/officeDocument/2006/relationships" ref="L13" r:id="rId46"/>
    <hyperlink xmlns:r="http://schemas.openxmlformats.org/officeDocument/2006/relationships" ref="M13" r:id="rId47"/>
    <hyperlink xmlns:r="http://schemas.openxmlformats.org/officeDocument/2006/relationships" ref="O13" r:id="rId48"/>
    <hyperlink xmlns:r="http://schemas.openxmlformats.org/officeDocument/2006/relationships" ref="J14" r:id="rId49"/>
    <hyperlink xmlns:r="http://schemas.openxmlformats.org/officeDocument/2006/relationships" ref="L14" r:id="rId50"/>
    <hyperlink xmlns:r="http://schemas.openxmlformats.org/officeDocument/2006/relationships" ref="M14" r:id="rId51"/>
    <hyperlink xmlns:r="http://schemas.openxmlformats.org/officeDocument/2006/relationships" ref="O14" r:id="rId52"/>
    <hyperlink xmlns:r="http://schemas.openxmlformats.org/officeDocument/2006/relationships" ref="J15" r:id="rId53"/>
    <hyperlink xmlns:r="http://schemas.openxmlformats.org/officeDocument/2006/relationships" ref="L15" r:id="rId54"/>
    <hyperlink xmlns:r="http://schemas.openxmlformats.org/officeDocument/2006/relationships" ref="M15" r:id="rId55"/>
    <hyperlink xmlns:r="http://schemas.openxmlformats.org/officeDocument/2006/relationships" ref="O15" r:id="rId56"/>
    <hyperlink xmlns:r="http://schemas.openxmlformats.org/officeDocument/2006/relationships" ref="J16" r:id="rId57"/>
    <hyperlink xmlns:r="http://schemas.openxmlformats.org/officeDocument/2006/relationships" ref="L16" r:id="rId58"/>
    <hyperlink xmlns:r="http://schemas.openxmlformats.org/officeDocument/2006/relationships" ref="M16" r:id="rId59"/>
    <hyperlink xmlns:r="http://schemas.openxmlformats.org/officeDocument/2006/relationships" ref="O16" r:id="rId60"/>
    <hyperlink xmlns:r="http://schemas.openxmlformats.org/officeDocument/2006/relationships" ref="J17" r:id="rId61"/>
    <hyperlink xmlns:r="http://schemas.openxmlformats.org/officeDocument/2006/relationships" ref="L17" r:id="rId62"/>
    <hyperlink xmlns:r="http://schemas.openxmlformats.org/officeDocument/2006/relationships" ref="M17" r:id="rId63"/>
    <hyperlink xmlns:r="http://schemas.openxmlformats.org/officeDocument/2006/relationships" ref="O17" r:id="rId64"/>
    <hyperlink xmlns:r="http://schemas.openxmlformats.org/officeDocument/2006/relationships" ref="J18" r:id="rId65"/>
    <hyperlink xmlns:r="http://schemas.openxmlformats.org/officeDocument/2006/relationships" ref="L18" r:id="rId66"/>
    <hyperlink xmlns:r="http://schemas.openxmlformats.org/officeDocument/2006/relationships" ref="M18" r:id="rId67"/>
    <hyperlink xmlns:r="http://schemas.openxmlformats.org/officeDocument/2006/relationships" ref="O18" r:id="rId68"/>
    <hyperlink xmlns:r="http://schemas.openxmlformats.org/officeDocument/2006/relationships" ref="J19" r:id="rId69"/>
    <hyperlink xmlns:r="http://schemas.openxmlformats.org/officeDocument/2006/relationships" ref="L19" r:id="rId70"/>
    <hyperlink xmlns:r="http://schemas.openxmlformats.org/officeDocument/2006/relationships" ref="M19" r:id="rId71"/>
    <hyperlink xmlns:r="http://schemas.openxmlformats.org/officeDocument/2006/relationships" ref="O19" r:id="rId72"/>
    <hyperlink xmlns:r="http://schemas.openxmlformats.org/officeDocument/2006/relationships" ref="J20" r:id="rId73"/>
    <hyperlink xmlns:r="http://schemas.openxmlformats.org/officeDocument/2006/relationships" ref="L20" r:id="rId74"/>
    <hyperlink xmlns:r="http://schemas.openxmlformats.org/officeDocument/2006/relationships" ref="M20" r:id="rId75"/>
    <hyperlink xmlns:r="http://schemas.openxmlformats.org/officeDocument/2006/relationships" ref="O20" r:id="rId76"/>
    <hyperlink xmlns:r="http://schemas.openxmlformats.org/officeDocument/2006/relationships" ref="J21" r:id="rId77"/>
    <hyperlink xmlns:r="http://schemas.openxmlformats.org/officeDocument/2006/relationships" ref="L21" r:id="rId78"/>
    <hyperlink xmlns:r="http://schemas.openxmlformats.org/officeDocument/2006/relationships" ref="M21" r:id="rId79"/>
    <hyperlink xmlns:r="http://schemas.openxmlformats.org/officeDocument/2006/relationships" ref="O21" r:id="rId80"/>
    <hyperlink xmlns:r="http://schemas.openxmlformats.org/officeDocument/2006/relationships" ref="J22" r:id="rId81"/>
    <hyperlink xmlns:r="http://schemas.openxmlformats.org/officeDocument/2006/relationships" ref="L22" r:id="rId82"/>
    <hyperlink xmlns:r="http://schemas.openxmlformats.org/officeDocument/2006/relationships" ref="M22" r:id="rId83"/>
    <hyperlink xmlns:r="http://schemas.openxmlformats.org/officeDocument/2006/relationships" ref="O22" r:id="rId84"/>
    <hyperlink xmlns:r="http://schemas.openxmlformats.org/officeDocument/2006/relationships" ref="J23" r:id="rId85"/>
    <hyperlink xmlns:r="http://schemas.openxmlformats.org/officeDocument/2006/relationships" ref="L23" r:id="rId86"/>
    <hyperlink xmlns:r="http://schemas.openxmlformats.org/officeDocument/2006/relationships" ref="M23" r:id="rId87"/>
    <hyperlink xmlns:r="http://schemas.openxmlformats.org/officeDocument/2006/relationships" ref="O23" r:id="rId88"/>
    <hyperlink xmlns:r="http://schemas.openxmlformats.org/officeDocument/2006/relationships" ref="J24" r:id="rId89"/>
    <hyperlink xmlns:r="http://schemas.openxmlformats.org/officeDocument/2006/relationships" ref="L24" r:id="rId90"/>
    <hyperlink xmlns:r="http://schemas.openxmlformats.org/officeDocument/2006/relationships" ref="M24" r:id="rId91"/>
    <hyperlink xmlns:r="http://schemas.openxmlformats.org/officeDocument/2006/relationships" ref="O24" r:id="rId92"/>
    <hyperlink xmlns:r="http://schemas.openxmlformats.org/officeDocument/2006/relationships" ref="J25" r:id="rId93"/>
    <hyperlink xmlns:r="http://schemas.openxmlformats.org/officeDocument/2006/relationships" ref="L25" r:id="rId94"/>
    <hyperlink xmlns:r="http://schemas.openxmlformats.org/officeDocument/2006/relationships" ref="M25" r:id="rId95"/>
    <hyperlink xmlns:r="http://schemas.openxmlformats.org/officeDocument/2006/relationships" ref="O25" r:id="rId96"/>
    <hyperlink xmlns:r="http://schemas.openxmlformats.org/officeDocument/2006/relationships" ref="J26" r:id="rId97"/>
    <hyperlink xmlns:r="http://schemas.openxmlformats.org/officeDocument/2006/relationships" ref="L26" r:id="rId98"/>
    <hyperlink xmlns:r="http://schemas.openxmlformats.org/officeDocument/2006/relationships" ref="M26" r:id="rId99"/>
    <hyperlink xmlns:r="http://schemas.openxmlformats.org/officeDocument/2006/relationships" ref="O26" r:id="rId100"/>
    <hyperlink xmlns:r="http://schemas.openxmlformats.org/officeDocument/2006/relationships" ref="J27" r:id="rId101"/>
    <hyperlink xmlns:r="http://schemas.openxmlformats.org/officeDocument/2006/relationships" ref="L27" r:id="rId102"/>
    <hyperlink xmlns:r="http://schemas.openxmlformats.org/officeDocument/2006/relationships" ref="M27" r:id="rId103"/>
    <hyperlink xmlns:r="http://schemas.openxmlformats.org/officeDocument/2006/relationships" ref="O27" r:id="rId104"/>
    <hyperlink xmlns:r="http://schemas.openxmlformats.org/officeDocument/2006/relationships" ref="J28" r:id="rId105"/>
    <hyperlink xmlns:r="http://schemas.openxmlformats.org/officeDocument/2006/relationships" ref="L28" r:id="rId106"/>
    <hyperlink xmlns:r="http://schemas.openxmlformats.org/officeDocument/2006/relationships" ref="M28" r:id="rId107"/>
    <hyperlink xmlns:r="http://schemas.openxmlformats.org/officeDocument/2006/relationships" ref="O28" r:id="rId108"/>
    <hyperlink xmlns:r="http://schemas.openxmlformats.org/officeDocument/2006/relationships" ref="J29" r:id="rId109"/>
    <hyperlink xmlns:r="http://schemas.openxmlformats.org/officeDocument/2006/relationships" ref="L29" r:id="rId110"/>
    <hyperlink xmlns:r="http://schemas.openxmlformats.org/officeDocument/2006/relationships" ref="M29" r:id="rId111"/>
    <hyperlink xmlns:r="http://schemas.openxmlformats.org/officeDocument/2006/relationships" ref="O29" r:id="rId112"/>
    <hyperlink xmlns:r="http://schemas.openxmlformats.org/officeDocument/2006/relationships" ref="J30" r:id="rId113"/>
    <hyperlink xmlns:r="http://schemas.openxmlformats.org/officeDocument/2006/relationships" ref="L30" r:id="rId114"/>
    <hyperlink xmlns:r="http://schemas.openxmlformats.org/officeDocument/2006/relationships" ref="M30" r:id="rId115"/>
    <hyperlink xmlns:r="http://schemas.openxmlformats.org/officeDocument/2006/relationships" ref="O30" r:id="rId116"/>
    <hyperlink xmlns:r="http://schemas.openxmlformats.org/officeDocument/2006/relationships" ref="J31" r:id="rId117"/>
    <hyperlink xmlns:r="http://schemas.openxmlformats.org/officeDocument/2006/relationships" ref="L31" r:id="rId118"/>
    <hyperlink xmlns:r="http://schemas.openxmlformats.org/officeDocument/2006/relationships" ref="M31" r:id="rId119"/>
    <hyperlink xmlns:r="http://schemas.openxmlformats.org/officeDocument/2006/relationships" ref="O31" r:id="rId120"/>
    <hyperlink xmlns:r="http://schemas.openxmlformats.org/officeDocument/2006/relationships" ref="J32" r:id="rId121"/>
    <hyperlink xmlns:r="http://schemas.openxmlformats.org/officeDocument/2006/relationships" ref="L32" r:id="rId122"/>
    <hyperlink xmlns:r="http://schemas.openxmlformats.org/officeDocument/2006/relationships" ref="M32" r:id="rId123"/>
    <hyperlink xmlns:r="http://schemas.openxmlformats.org/officeDocument/2006/relationships" ref="O32" r:id="rId124"/>
    <hyperlink xmlns:r="http://schemas.openxmlformats.org/officeDocument/2006/relationships" ref="J33" r:id="rId125"/>
    <hyperlink xmlns:r="http://schemas.openxmlformats.org/officeDocument/2006/relationships" ref="L33" r:id="rId126"/>
    <hyperlink xmlns:r="http://schemas.openxmlformats.org/officeDocument/2006/relationships" ref="M33" r:id="rId127"/>
    <hyperlink xmlns:r="http://schemas.openxmlformats.org/officeDocument/2006/relationships" ref="O33" r:id="rId128"/>
    <hyperlink xmlns:r="http://schemas.openxmlformats.org/officeDocument/2006/relationships" ref="J34" r:id="rId129"/>
    <hyperlink xmlns:r="http://schemas.openxmlformats.org/officeDocument/2006/relationships" ref="L34" r:id="rId130"/>
    <hyperlink xmlns:r="http://schemas.openxmlformats.org/officeDocument/2006/relationships" ref="M34" r:id="rId131"/>
    <hyperlink xmlns:r="http://schemas.openxmlformats.org/officeDocument/2006/relationships" ref="O34" r:id="rId132"/>
    <hyperlink xmlns:r="http://schemas.openxmlformats.org/officeDocument/2006/relationships" ref="J35" r:id="rId133"/>
    <hyperlink xmlns:r="http://schemas.openxmlformats.org/officeDocument/2006/relationships" ref="L35" r:id="rId134"/>
    <hyperlink xmlns:r="http://schemas.openxmlformats.org/officeDocument/2006/relationships" ref="M35" r:id="rId135"/>
    <hyperlink xmlns:r="http://schemas.openxmlformats.org/officeDocument/2006/relationships" ref="O35" r:id="rId136"/>
    <hyperlink xmlns:r="http://schemas.openxmlformats.org/officeDocument/2006/relationships" ref="J36" r:id="rId137"/>
    <hyperlink xmlns:r="http://schemas.openxmlformats.org/officeDocument/2006/relationships" ref="L36" r:id="rId138"/>
    <hyperlink xmlns:r="http://schemas.openxmlformats.org/officeDocument/2006/relationships" ref="M36" r:id="rId139"/>
    <hyperlink xmlns:r="http://schemas.openxmlformats.org/officeDocument/2006/relationships" ref="O36" r:id="rId140"/>
    <hyperlink xmlns:r="http://schemas.openxmlformats.org/officeDocument/2006/relationships" ref="J37" r:id="rId141"/>
    <hyperlink xmlns:r="http://schemas.openxmlformats.org/officeDocument/2006/relationships" ref="L37" r:id="rId142"/>
    <hyperlink xmlns:r="http://schemas.openxmlformats.org/officeDocument/2006/relationships" ref="M37" r:id="rId143"/>
    <hyperlink xmlns:r="http://schemas.openxmlformats.org/officeDocument/2006/relationships" ref="O37" r:id="rId144"/>
    <hyperlink xmlns:r="http://schemas.openxmlformats.org/officeDocument/2006/relationships" ref="J38" r:id="rId145"/>
    <hyperlink xmlns:r="http://schemas.openxmlformats.org/officeDocument/2006/relationships" ref="L38" r:id="rId146"/>
    <hyperlink xmlns:r="http://schemas.openxmlformats.org/officeDocument/2006/relationships" ref="M38" r:id="rId147"/>
    <hyperlink xmlns:r="http://schemas.openxmlformats.org/officeDocument/2006/relationships" ref="O38" r:id="rId148"/>
    <hyperlink xmlns:r="http://schemas.openxmlformats.org/officeDocument/2006/relationships" ref="J39" r:id="rId149"/>
    <hyperlink xmlns:r="http://schemas.openxmlformats.org/officeDocument/2006/relationships" ref="L39" r:id="rId150"/>
    <hyperlink xmlns:r="http://schemas.openxmlformats.org/officeDocument/2006/relationships" ref="M39" r:id="rId151"/>
    <hyperlink xmlns:r="http://schemas.openxmlformats.org/officeDocument/2006/relationships" ref="O39" r:id="rId152"/>
    <hyperlink xmlns:r="http://schemas.openxmlformats.org/officeDocument/2006/relationships" ref="J40" r:id="rId153"/>
    <hyperlink xmlns:r="http://schemas.openxmlformats.org/officeDocument/2006/relationships" ref="L40" r:id="rId154"/>
    <hyperlink xmlns:r="http://schemas.openxmlformats.org/officeDocument/2006/relationships" ref="M40" r:id="rId155"/>
    <hyperlink xmlns:r="http://schemas.openxmlformats.org/officeDocument/2006/relationships" ref="O40" r:id="rId156"/>
    <hyperlink xmlns:r="http://schemas.openxmlformats.org/officeDocument/2006/relationships" ref="J41" r:id="rId157"/>
    <hyperlink xmlns:r="http://schemas.openxmlformats.org/officeDocument/2006/relationships" ref="L41" r:id="rId158"/>
    <hyperlink xmlns:r="http://schemas.openxmlformats.org/officeDocument/2006/relationships" ref="M41" r:id="rId159"/>
    <hyperlink xmlns:r="http://schemas.openxmlformats.org/officeDocument/2006/relationships" ref="O41" r:id="rId160"/>
    <hyperlink xmlns:r="http://schemas.openxmlformats.org/officeDocument/2006/relationships" ref="J42" r:id="rId161"/>
    <hyperlink xmlns:r="http://schemas.openxmlformats.org/officeDocument/2006/relationships" ref="L42" r:id="rId162"/>
    <hyperlink xmlns:r="http://schemas.openxmlformats.org/officeDocument/2006/relationships" ref="M42" r:id="rId163"/>
    <hyperlink xmlns:r="http://schemas.openxmlformats.org/officeDocument/2006/relationships" ref="O42" r:id="rId164"/>
    <hyperlink xmlns:r="http://schemas.openxmlformats.org/officeDocument/2006/relationships" ref="J43" r:id="rId165"/>
    <hyperlink xmlns:r="http://schemas.openxmlformats.org/officeDocument/2006/relationships" ref="L43" r:id="rId166"/>
    <hyperlink xmlns:r="http://schemas.openxmlformats.org/officeDocument/2006/relationships" ref="M43" r:id="rId167"/>
    <hyperlink xmlns:r="http://schemas.openxmlformats.org/officeDocument/2006/relationships" ref="O43" r:id="rId168"/>
    <hyperlink xmlns:r="http://schemas.openxmlformats.org/officeDocument/2006/relationships" ref="J44" r:id="rId169"/>
    <hyperlink xmlns:r="http://schemas.openxmlformats.org/officeDocument/2006/relationships" ref="L44" r:id="rId170"/>
    <hyperlink xmlns:r="http://schemas.openxmlformats.org/officeDocument/2006/relationships" ref="M44" r:id="rId171"/>
    <hyperlink xmlns:r="http://schemas.openxmlformats.org/officeDocument/2006/relationships" ref="O44" r:id="rId172"/>
  </hyperlinks>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16" customWidth="1" style="13" min="1" max="1"/>
    <col width="26" customWidth="1" style="13" min="2" max="2"/>
    <col width="40" customWidth="1" style="13" min="3" max="3"/>
    <col width="60" customWidth="1" style="13" min="4" max="4"/>
    <col width="46" customWidth="1" style="13" min="5" max="5"/>
  </cols>
  <sheetData>
    <row r="1" ht="15" customHeight="1" s="14">
      <c r="A1" s="25" t="inlineStr">
        <is>
          <t>Period</t>
        </is>
      </c>
      <c r="B1" s="25" t="inlineStr">
        <is>
          <t>Theme</t>
        </is>
      </c>
      <c r="C1" s="25" t="inlineStr">
        <is>
          <t>Goal</t>
        </is>
      </c>
      <c r="D1" s="25" t="inlineStr">
        <is>
          <t>Carousel Topics</t>
        </is>
      </c>
      <c r="E1" s="25" t="inlineStr">
        <is>
          <t>Reel / Syndication Focus</t>
        </is>
      </c>
    </row>
    <row r="2" ht="23.85" customHeight="1" s="14">
      <c r="A2" s="30" t="inlineStr">
        <is>
          <t>August 17-31</t>
        </is>
      </c>
      <c r="B2" s="30" t="inlineStr">
        <is>
          <t>Botox, Honestly (Launch)</t>
        </is>
      </c>
      <c r="C2" s="30" t="inlineStr">
        <is>
          <t>Launch the educational brand voice and post the finished Botox myths carousel</t>
        </is>
      </c>
      <c r="D2" s="30" t="inlineStr">
        <is>
          <t>5 Botox Lies (ready) / 5 Red Flags / First Visit / Meet NP Cleo</t>
        </is>
      </c>
      <c r="E2" s="30" t="inlineStr">
        <is>
          <t>Service spotlight cards, BTS prep photo, brand quote cards</t>
        </is>
      </c>
    </row>
    <row r="3" ht="23.85" customHeight="1" s="14">
      <c r="A3" s="30" t="inlineStr">
        <is>
          <t>September</t>
        </is>
      </c>
      <c r="B3" s="30" t="inlineStr">
        <is>
          <t>Botox Education Month</t>
        </is>
      </c>
      <c r="C3" s="30" t="inlineStr">
        <is>
          <t>Own every Botox question a first-timer Googles</t>
        </is>
      </c>
      <c r="D3" s="30" t="inlineStr">
        <is>
          <t>Preventative / 20 Units / Botox vs Dysport / Aftercare / What Botox Can't Do / Natural Promise / Botox or Filler / Ask Cleo / How Long It Lasts / Why We Say No</t>
        </is>
      </c>
      <c r="E3" s="30" t="inlineStr">
        <is>
          <t>Hook image cards: explainers, myth vs truth, FAQ, BTS photos</t>
        </is>
      </c>
    </row>
    <row r="4" ht="23.85" customHeight="1" s="14">
      <c r="A4" s="30" t="inlineStr">
        <is>
          <t>October</t>
        </is>
      </c>
      <c r="B4" s="30" t="inlineStr">
        <is>
          <t>Fillers, Naturally</t>
        </is>
      </c>
      <c r="C4" s="30" t="inlineStr">
        <is>
          <t>Convert filler fear into filler bookings with honesty-first education</t>
        </is>
      </c>
      <c r="D4" s="30" t="inlineStr">
        <is>
          <t>Not Fake / Lips Natural vs Overdone / Cheek Filler / Candidacy Checklist / Dissolve Timeline / Lip Aftercare / 5 Filler Lies / Facial Balancing</t>
        </is>
      </c>
      <c r="E4" s="30" t="inlineStr">
        <is>
          <t>Service spotlight cards, testimonials, FAQ and checklist cards</t>
        </is>
      </c>
    </row>
    <row r="5" ht="23.85" customHeight="1" s="14">
      <c r="A5" s="30" t="inlineStr">
        <is>
          <t>November 1-15</t>
        </is>
      </c>
      <c r="B5" s="30" t="inlineStr">
        <is>
          <t>Rested by the Holidays</t>
        </is>
      </c>
      <c r="C5" s="30" t="inlineStr">
        <is>
          <t>Create urgency: book now to glow for party season + launch gift certificates</t>
        </is>
      </c>
      <c r="D5" s="30" t="inlineStr">
        <is>
          <t>Holiday Timeline / Party Season Prep / Gift of Glow / 3-Month Recap</t>
        </is>
      </c>
      <c r="E5" s="30" t="inlineStr">
        <is>
          <t>Countdown cards, holiday BTS photo, gift reveal, tag-a-friend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0" customWidth="1" style="13" min="1" max="1"/>
    <col width="14" customWidth="1" style="13" min="2" max="2"/>
    <col width="55" customWidth="1" style="13" min="3" max="3"/>
    <col width="45" customWidth="1" style="13" min="4" max="4"/>
    <col width="20" customWidth="1" style="13" min="5" max="5"/>
  </cols>
  <sheetData>
    <row r="1" ht="15" customHeight="1" s="14">
      <c r="A1" s="25" t="inlineStr">
        <is>
          <t>Pillar</t>
        </is>
      </c>
      <c r="B1" s="25" t="inlineStr">
        <is>
          <t>Share of Posts</t>
        </is>
      </c>
      <c r="C1" s="25" t="inlineStr">
        <is>
          <t>What It Is</t>
        </is>
      </c>
      <c r="D1" s="25" t="inlineStr">
        <is>
          <t>Formats</t>
        </is>
      </c>
      <c r="E1" s="25" t="inlineStr">
        <is>
          <t>Success Metric</t>
        </is>
      </c>
    </row>
    <row r="2" ht="15" customHeight="1" s="14">
      <c r="A2" s="30" t="inlineStr">
        <is>
          <t>Education</t>
        </is>
      </c>
      <c r="B2" s="30" t="inlineStr">
        <is>
          <t>40%</t>
        </is>
      </c>
      <c r="C2" s="30" t="inlineStr">
        <is>
          <t>Teach one thing per post: myths, comparisons, timelines, aftercare, candidacy</t>
        </is>
      </c>
      <c r="D2" s="30" t="inlineStr">
        <is>
          <t>Carousels, explainer image cards, FAQ cards</t>
        </is>
      </c>
      <c r="E2" s="30" t="inlineStr">
        <is>
          <t>Saves and shares</t>
        </is>
      </c>
    </row>
    <row r="3" ht="15" customHeight="1" s="14">
      <c r="A3" s="30" t="inlineStr">
        <is>
          <t>Trust &amp; Proof</t>
        </is>
      </c>
      <c r="B3" s="30" t="inlineStr">
        <is>
          <t>25%</t>
        </is>
      </c>
      <c r="C3" s="30" t="inlineStr">
        <is>
          <t>Show honesty and results: testimonials, natural-results promise, why we say no</t>
        </is>
      </c>
      <c r="D3" s="30" t="inlineStr">
        <is>
          <t>Quote cards, testimonial posts, philosophy carousels</t>
        </is>
      </c>
      <c r="E3" s="30" t="inlineStr">
        <is>
          <t>DMs and consults</t>
        </is>
      </c>
    </row>
    <row r="4" ht="15" customHeight="1" s="14">
      <c r="A4" s="30" t="inlineStr">
        <is>
          <t>Personality &amp; BTS</t>
        </is>
      </c>
      <c r="B4" s="30" t="inlineStr">
        <is>
          <t>20%</t>
        </is>
      </c>
      <c r="C4" s="30" t="inlineStr">
        <is>
          <t>Humanize NP Cleo: day in the life, room tours, Q&amp;A, prep clips</t>
        </is>
      </c>
      <c r="D4" s="30" t="inlineStr">
        <is>
          <t>BTS photo posts, Q&amp;A cards, polls</t>
        </is>
      </c>
      <c r="E4" s="30" t="inlineStr">
        <is>
          <t>Comments and follows</t>
        </is>
      </c>
    </row>
    <row r="5" ht="15" customHeight="1" s="14">
      <c r="A5" s="30" t="inlineStr">
        <is>
          <t>Promo &amp; CTA</t>
        </is>
      </c>
      <c r="B5" s="30" t="inlineStr">
        <is>
          <t>15%</t>
        </is>
      </c>
      <c r="C5" s="30" t="inlineStr">
        <is>
          <t>Direct booking pushes: seasonal timelines, gift certificates, offers</t>
        </is>
      </c>
      <c r="D5" s="30" t="inlineStr">
        <is>
          <t>Countdown cards, promo carousels, engagement + tag posts</t>
        </is>
      </c>
      <c r="E5" s="30" t="inlineStr">
        <is>
          <t>Bookings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C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8" customWidth="1" style="13" min="1" max="1"/>
    <col width="20" customWidth="1" style="13" min="2" max="2"/>
    <col width="110" customWidth="1" style="13" min="3" max="3"/>
  </cols>
  <sheetData>
    <row r="1" ht="15" customHeight="1" s="14">
      <c r="A1" s="25" t="inlineStr">
        <is>
          <t>Set</t>
        </is>
      </c>
      <c r="B1" s="25" t="inlineStr">
        <is>
          <t>Name</t>
        </is>
      </c>
      <c r="C1" s="25" t="inlineStr">
        <is>
          <t>Hashtags (copy-paste)</t>
        </is>
      </c>
    </row>
    <row r="2" ht="15" customHeight="1" s="14">
      <c r="A2" s="31" t="inlineStr">
        <is>
          <t>Set A</t>
        </is>
      </c>
      <c r="B2" s="31" t="inlineStr">
        <is>
          <t>Botox / Neuromodulator</t>
        </is>
      </c>
      <c r="C2" s="31" t="inlineStr">
        <is>
          <t>#botoxoakville #oakvillemedspa #burlingtonbotox #miltonmedspa #mississaugainjector #haltonregion #preventativebotox #botoxcanada #nursepractitionerinjector #naturalresults #luxurybeautybycleor #npcleo</t>
        </is>
      </c>
    </row>
    <row r="3" ht="15" customHeight="1" s="14">
      <c r="A3" s="31" t="inlineStr">
        <is>
          <t>Set B</t>
        </is>
      </c>
      <c r="B3" s="31" t="inlineStr">
        <is>
          <t>Filler</t>
        </is>
      </c>
      <c r="C3" s="31" t="inlineStr">
        <is>
          <t>#lipfilleroakville #fillersoakville #oakvillemedspa #burlingtonfiller #miltonlipfiller #mississaugamedspa #dermalfillers #naturallips #facialbalancing #aestheticnurse #luxurybeautybycleor #npcleo</t>
        </is>
      </c>
    </row>
    <row r="4" ht="15" customHeight="1" s="14">
      <c r="A4" s="31" t="inlineStr">
        <is>
          <t>Set C</t>
        </is>
      </c>
      <c r="B4" s="31" t="inlineStr">
        <is>
          <t>Trust &amp; Proof</t>
        </is>
      </c>
      <c r="C4" s="31" t="inlineStr">
        <is>
          <t>#oakvillemedspa #burlingtonmedspa #miltonontario #mississaugabeauty #haltonregion #honestinjector #naturalresults #aestheticnurse #nursepractitioner #medspacanada #luxurybeautybycleor #npcleo</t>
        </is>
      </c>
    </row>
    <row r="5" ht="15" customHeight="1" s="14">
      <c r="A5" s="31" t="inlineStr">
        <is>
          <t>Set D</t>
        </is>
      </c>
      <c r="B5" s="31" t="inlineStr">
        <is>
          <t>Personality &amp; BTS</t>
        </is>
      </c>
      <c r="C5" s="31" t="inlineStr">
        <is>
          <t>#oakville #oakvillebusiness #burlingtonontario #miltonontario #mississauga #haltonregion #womeninbusiness #nursepractitioner #aestheticnurse #medspalife #luxurybeautybycleor #npcleo</t>
        </is>
      </c>
    </row>
    <row r="6" ht="15" customHeight="1" s="14">
      <c r="A6" s="31" t="inlineStr">
        <is>
          <t>Set E</t>
        </is>
      </c>
      <c r="B6" s="31" t="inlineStr">
        <is>
          <t>Promo &amp; CTA</t>
        </is>
      </c>
      <c r="C6" s="31" t="inlineStr">
        <is>
          <t>#oakvillemedspa #burlingtonontario #miltonontario #mississaugabeauty #haltonregion #treatyourself #selfcare #giftcertificate #medspaspecial #bookyourappointment #luxurybeautybycleor #npcleo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G21"/>
  <sheetViews>
    <sheetView workbookViewId="0">
      <pane ySplit="1" topLeftCell="A2" activePane="bottomLeft" state="frozen"/>
      <selection pane="bottomLeft" activeCell="A1" sqref="A1"/>
    </sheetView>
  </sheetViews>
  <sheetFormatPr baseColWidth="8" defaultRowHeight="15"/>
  <cols>
    <col width="46" customWidth="1" style="14" min="1" max="1"/>
    <col width="8" customWidth="1" style="14" min="2" max="2"/>
    <col width="16" customWidth="1" style="14" min="3" max="3"/>
    <col width="7" customWidth="1" style="14" min="4" max="4"/>
    <col width="12" customWidth="1" style="14" min="5" max="5"/>
    <col width="26" customWidth="1" style="14" min="6" max="6"/>
    <col width="52" customWidth="1" style="14" min="7" max="7"/>
  </cols>
  <sheetData>
    <row r="1">
      <c r="A1" s="26" t="inlineStr">
        <is>
          <t>File</t>
        </is>
      </c>
      <c r="B1" s="26" t="inlineStr">
        <is>
          <t>Client</t>
        </is>
      </c>
      <c r="C1" s="26" t="inlineStr">
        <is>
          <t>Type</t>
        </is>
      </c>
      <c r="D1" s="26" t="inlineStr">
        <is>
          <t>Pair</t>
        </is>
      </c>
      <c r="E1" s="26" t="inlineStr">
        <is>
          <t>Consent</t>
        </is>
      </c>
      <c r="F1" s="26" t="inlineStr">
        <is>
          <t>Used In</t>
        </is>
      </c>
      <c r="G1" s="26" t="inlineStr">
        <is>
          <t>Client Notes</t>
        </is>
      </c>
    </row>
    <row r="2">
      <c r="A2" s="24" t="inlineStr">
        <is>
          <t>img_9908.jpg</t>
        </is>
      </c>
      <c r="B2" s="24" t="inlineStr">
        <is>
          <t>E</t>
        </is>
      </c>
      <c r="C2" s="24" t="inlineStr">
        <is>
          <t>Before</t>
        </is>
      </c>
      <c r="D2" s="24" t="inlineStr">
        <is>
          <t>E</t>
        </is>
      </c>
      <c r="E2" s="24" t="inlineStr">
        <is>
          <t>Not needed</t>
        </is>
      </c>
      <c r="F2" s="24" t="inlineStr">
        <is>
          <t>Oct 8, Oct 15</t>
        </is>
      </c>
      <c r="G2" s="24" t="inlineStr">
        <is>
          <t>Fair skin, lower face only. Cleanest pair in the library</t>
        </is>
      </c>
    </row>
    <row r="3">
      <c r="A3" s="24" t="inlineStr">
        <is>
          <t>img_9912.jpg</t>
        </is>
      </c>
      <c r="B3" s="24" t="inlineStr">
        <is>
          <t>E</t>
        </is>
      </c>
      <c r="C3" s="24" t="inlineStr">
        <is>
          <t>After</t>
        </is>
      </c>
      <c r="D3" s="24" t="inlineStr">
        <is>
          <t>E</t>
        </is>
      </c>
      <c r="E3" s="24" t="inlineStr">
        <is>
          <t>Not needed</t>
        </is>
      </c>
      <c r="F3" s="24" t="inlineStr">
        <is>
          <t>Oct 8, Oct 15</t>
        </is>
      </c>
      <c r="G3" s="24" t="inlineStr">
        <is>
          <t>Fair skin, lower face only. Cleanest pair in the library</t>
        </is>
      </c>
    </row>
    <row r="4">
      <c r="A4" s="24" t="inlineStr">
        <is>
          <t>img_0221.jpg</t>
        </is>
      </c>
      <c r="B4" s="24" t="inlineStr">
        <is>
          <t>A</t>
        </is>
      </c>
      <c r="C4" s="24" t="inlineStr">
        <is>
          <t>Before</t>
        </is>
      </c>
      <c r="D4" s="24" t="inlineStr">
        <is>
          <t>A</t>
        </is>
      </c>
      <c r="E4" s="24" t="inlineStr">
        <is>
          <t>On file</t>
        </is>
      </c>
      <c r="F4" s="24" t="inlineStr">
        <is>
          <t>Oct 15, Oct 30</t>
        </is>
      </c>
      <c r="G4" s="24" t="inlineStr">
        <is>
          <t>Front-on, neck tattoos and nose ring. Crop above the collarbone</t>
        </is>
      </c>
    </row>
    <row r="5">
      <c r="A5" s="24" t="inlineStr">
        <is>
          <t>img_0233.jpg</t>
        </is>
      </c>
      <c r="B5" s="24" t="inlineStr">
        <is>
          <t>A</t>
        </is>
      </c>
      <c r="C5" s="24" t="inlineStr">
        <is>
          <t>After</t>
        </is>
      </c>
      <c r="D5" s="24" t="inlineStr">
        <is>
          <t>A</t>
        </is>
      </c>
      <c r="E5" s="24" t="inlineStr">
        <is>
          <t>On file</t>
        </is>
      </c>
      <c r="F5" s="24" t="inlineStr">
        <is>
          <t>Oct 15, Oct 30</t>
        </is>
      </c>
      <c r="G5" s="24" t="inlineStr">
        <is>
          <t>Front-on, neck tattoos and nose ring. Crop above the collarbone</t>
        </is>
      </c>
    </row>
    <row r="6">
      <c r="A6" s="24" t="inlineStr">
        <is>
          <t>img_0962.jpg</t>
        </is>
      </c>
      <c r="B6" s="24" t="inlineStr">
        <is>
          <t>B</t>
        </is>
      </c>
      <c r="C6" s="24" t="inlineStr">
        <is>
          <t>Before</t>
        </is>
      </c>
      <c r="D6" s="24" t="inlineStr">
        <is>
          <t>B</t>
        </is>
      </c>
      <c r="E6" s="24" t="inlineStr">
        <is>
          <t>Not needed</t>
        </is>
      </c>
      <c r="F6" s="24" t="inlineStr">
        <is>
          <t>Oct 15, Oct 24</t>
        </is>
      </c>
      <c r="G6" s="24" t="inlineStr">
        <is>
          <t>Matched 3/4 profile, lower face only. Colour-match before to after</t>
        </is>
      </c>
    </row>
    <row r="7">
      <c r="A7" s="24" t="inlineStr">
        <is>
          <t>img_0998.jpg</t>
        </is>
      </c>
      <c r="B7" s="24" t="inlineStr">
        <is>
          <t>B</t>
        </is>
      </c>
      <c r="C7" s="24" t="inlineStr">
        <is>
          <t>After</t>
        </is>
      </c>
      <c r="D7" s="24" t="inlineStr">
        <is>
          <t>B</t>
        </is>
      </c>
      <c r="E7" s="24" t="inlineStr">
        <is>
          <t>Not needed</t>
        </is>
      </c>
      <c r="F7" s="24" t="inlineStr">
        <is>
          <t>Oct 15, Oct 24</t>
        </is>
      </c>
      <c r="G7" s="24" t="inlineStr">
        <is>
          <t>Matched 3/4 profile, lower face only. Colour-match before to after</t>
        </is>
      </c>
    </row>
    <row r="8">
      <c r="A8" s="24" t="inlineStr">
        <is>
          <t>img_1119.jpg</t>
        </is>
      </c>
      <c r="B8" s="24" t="inlineStr">
        <is>
          <t>C</t>
        </is>
      </c>
      <c r="C8" s="24" t="inlineStr">
        <is>
          <t>Before</t>
        </is>
      </c>
      <c r="D8" s="24" t="inlineStr">
        <is>
          <t>C</t>
        </is>
      </c>
      <c r="E8" s="24" t="inlineStr">
        <is>
          <t>On file</t>
        </is>
      </c>
      <c r="F8" s="24" t="inlineStr">
        <is>
          <t>Oct 10, Oct 15</t>
        </is>
      </c>
      <c r="G8" s="24" t="inlineStr">
        <is>
          <t>Blonde, reclined in chair. Crop the before to the lower face</t>
        </is>
      </c>
    </row>
    <row r="9">
      <c r="A9" s="24" t="inlineStr">
        <is>
          <t>img_1123.jpg</t>
        </is>
      </c>
      <c r="B9" s="24" t="inlineStr">
        <is>
          <t>C</t>
        </is>
      </c>
      <c r="C9" s="24" t="inlineStr">
        <is>
          <t>After</t>
        </is>
      </c>
      <c r="D9" s="24" t="inlineStr">
        <is>
          <t>C</t>
        </is>
      </c>
      <c r="E9" s="24" t="inlineStr">
        <is>
          <t>On file</t>
        </is>
      </c>
      <c r="F9" s="24" t="inlineStr">
        <is>
          <t>Oct 10, Oct 15</t>
        </is>
      </c>
      <c r="G9" s="24" t="inlineStr">
        <is>
          <t>Blonde, reclined in chair. Crop the before to the lower face</t>
        </is>
      </c>
    </row>
    <row r="10">
      <c r="A10" s="24" t="inlineStr">
        <is>
          <t>img_1444.jpg</t>
        </is>
      </c>
      <c r="B10" s="24" t="inlineStr">
        <is>
          <t>D</t>
        </is>
      </c>
      <c r="C10" s="24" t="inlineStr">
        <is>
          <t>Unconfirmed</t>
        </is>
      </c>
      <c r="D10" s="24" t="inlineStr">
        <is>
          <t>D</t>
        </is>
      </c>
      <c r="E10" s="24" t="inlineStr">
        <is>
          <t>On file</t>
        </is>
      </c>
      <c r="F10" s="24" t="inlineStr">
        <is>
          <t>HOLD: direction unconfirmed</t>
        </is>
      </c>
      <c r="G10" s="24" t="inlineStr">
        <is>
          <t>Blonde, pearl earring, mole on chin. Change is subtle</t>
        </is>
      </c>
    </row>
    <row r="11">
      <c r="A11" s="24" t="inlineStr">
        <is>
          <t>img_1447.jpg</t>
        </is>
      </c>
      <c r="B11" s="24" t="inlineStr">
        <is>
          <t>D</t>
        </is>
      </c>
      <c r="C11" s="24" t="inlineStr">
        <is>
          <t>Unconfirmed</t>
        </is>
      </c>
      <c r="D11" s="24" t="inlineStr">
        <is>
          <t>D</t>
        </is>
      </c>
      <c r="E11" s="24" t="inlineStr">
        <is>
          <t>On file</t>
        </is>
      </c>
      <c r="F11" s="24" t="inlineStr">
        <is>
          <t>HOLD: direction unconfirmed</t>
        </is>
      </c>
      <c r="G11" s="24" t="inlineStr">
        <is>
          <t>Blonde, pearl earring, mole on chin. Change is subtle</t>
        </is>
      </c>
    </row>
    <row r="12">
      <c r="A12" s="24" t="inlineStr">
        <is>
          <t>img_4775.jpg</t>
        </is>
      </c>
      <c r="B12" s="24" t="inlineStr">
        <is>
          <t>G</t>
        </is>
      </c>
      <c r="C12" s="24" t="inlineStr">
        <is>
          <t>Healed result</t>
        </is>
      </c>
      <c r="D12" s="24" t="inlineStr"/>
      <c r="E12" s="24" t="inlineStr">
        <is>
          <t>On file</t>
        </is>
      </c>
      <c r="F12" s="24" t="inlineStr">
        <is>
          <t>Nov 6</t>
        </is>
      </c>
      <c r="G12" s="24" t="inlineStr">
        <is>
          <t>Six angles, healed and settled. Shot full face, needs tight crops</t>
        </is>
      </c>
    </row>
    <row r="13">
      <c r="A13" s="24" t="inlineStr">
        <is>
          <t>img_4777.jpg</t>
        </is>
      </c>
      <c r="B13" s="24" t="inlineStr">
        <is>
          <t>G</t>
        </is>
      </c>
      <c r="C13" s="24" t="inlineStr">
        <is>
          <t>Healed result</t>
        </is>
      </c>
      <c r="D13" s="24" t="inlineStr"/>
      <c r="E13" s="24" t="inlineStr">
        <is>
          <t>On file</t>
        </is>
      </c>
      <c r="F13" s="24" t="inlineStr">
        <is>
          <t>Nov 6</t>
        </is>
      </c>
      <c r="G13" s="24" t="inlineStr">
        <is>
          <t>Six angles, healed and settled. Shot full face, needs tight crops</t>
        </is>
      </c>
    </row>
    <row r="14">
      <c r="A14" s="24" t="inlineStr">
        <is>
          <t>img_4778.jpg</t>
        </is>
      </c>
      <c r="B14" s="24" t="inlineStr">
        <is>
          <t>G</t>
        </is>
      </c>
      <c r="C14" s="24" t="inlineStr">
        <is>
          <t>Healed result</t>
        </is>
      </c>
      <c r="D14" s="24" t="inlineStr"/>
      <c r="E14" s="24" t="inlineStr">
        <is>
          <t>On file</t>
        </is>
      </c>
      <c r="F14" s="24" t="inlineStr">
        <is>
          <t>Nov 6</t>
        </is>
      </c>
      <c r="G14" s="24" t="inlineStr">
        <is>
          <t>Six angles, healed and settled. Shot full face, needs tight crops</t>
        </is>
      </c>
    </row>
    <row r="15">
      <c r="A15" s="24" t="inlineStr">
        <is>
          <t>img_4780.jpg</t>
        </is>
      </c>
      <c r="B15" s="24" t="inlineStr">
        <is>
          <t>G</t>
        </is>
      </c>
      <c r="C15" s="24" t="inlineStr">
        <is>
          <t>Healed result</t>
        </is>
      </c>
      <c r="D15" s="24" t="inlineStr"/>
      <c r="E15" s="24" t="inlineStr">
        <is>
          <t>On file</t>
        </is>
      </c>
      <c r="F15" s="24" t="inlineStr">
        <is>
          <t>Nov 6</t>
        </is>
      </c>
      <c r="G15" s="24" t="inlineStr">
        <is>
          <t>Six angles, healed and settled. Shot full face, needs tight crops</t>
        </is>
      </c>
    </row>
    <row r="16">
      <c r="A16" s="24" t="inlineStr">
        <is>
          <t>img_4781.jpg</t>
        </is>
      </c>
      <c r="B16" s="24" t="inlineStr">
        <is>
          <t>G</t>
        </is>
      </c>
      <c r="C16" s="24" t="inlineStr">
        <is>
          <t>Healed result</t>
        </is>
      </c>
      <c r="D16" s="24" t="inlineStr"/>
      <c r="E16" s="24" t="inlineStr">
        <is>
          <t>On file</t>
        </is>
      </c>
      <c r="F16" s="24" t="inlineStr">
        <is>
          <t>Nov 6</t>
        </is>
      </c>
      <c r="G16" s="24" t="inlineStr">
        <is>
          <t>Six angles, healed and settled. Shot full face, needs tight crops</t>
        </is>
      </c>
    </row>
    <row r="17">
      <c r="A17" s="24" t="inlineStr">
        <is>
          <t>img_4782.jpg</t>
        </is>
      </c>
      <c r="B17" s="24" t="inlineStr">
        <is>
          <t>G</t>
        </is>
      </c>
      <c r="C17" s="24" t="inlineStr">
        <is>
          <t>Healed result</t>
        </is>
      </c>
      <c r="D17" s="24" t="inlineStr"/>
      <c r="E17" s="24" t="inlineStr">
        <is>
          <t>On file</t>
        </is>
      </c>
      <c r="F17" s="24" t="inlineStr">
        <is>
          <t>Nov 6</t>
        </is>
      </c>
      <c r="G17" s="24" t="inlineStr">
        <is>
          <t>Six angles, healed and settled. Shot full face, needs tight crops</t>
        </is>
      </c>
    </row>
    <row r="18">
      <c r="A18" s="24" t="inlineStr">
        <is>
          <t>img_9848.jpg</t>
        </is>
      </c>
      <c r="B18" s="24" t="inlineStr">
        <is>
          <t>F</t>
        </is>
      </c>
      <c r="C18" s="24" t="inlineStr">
        <is>
          <t>Before</t>
        </is>
      </c>
      <c r="D18" s="24" t="inlineStr">
        <is>
          <t>F</t>
        </is>
      </c>
      <c r="E18" s="24" t="inlineStr">
        <is>
          <t>On file</t>
        </is>
      </c>
      <c r="F18" s="24" t="inlineStr">
        <is>
          <t>Oct 15, Oct 22</t>
        </is>
      </c>
      <c r="G18" s="24" t="inlineStr">
        <is>
          <t>Before and after from one appointment, minutes apart. Same camera position, so the best matched pair in the library. The after has visible swelling and pinpoint marks, so label it Right after, never After</t>
        </is>
      </c>
    </row>
    <row r="19">
      <c r="A19" s="24" t="inlineStr">
        <is>
          <t>img_9850.jpg</t>
        </is>
      </c>
      <c r="B19" s="24" t="inlineStr">
        <is>
          <t>F</t>
        </is>
      </c>
      <c r="C19" s="24" t="inlineStr">
        <is>
          <t>After (day 0)</t>
        </is>
      </c>
      <c r="D19" s="24" t="inlineStr">
        <is>
          <t>F</t>
        </is>
      </c>
      <c r="E19" s="24" t="inlineStr">
        <is>
          <t>On file</t>
        </is>
      </c>
      <c r="F19" s="24" t="inlineStr">
        <is>
          <t>Oct 15, Oct 22</t>
        </is>
      </c>
      <c r="G19" s="24" t="inlineStr">
        <is>
          <t>Before and after from one appointment, minutes apart. Same camera position, so the best matched pair in the library. The after has visible swelling and pinpoint marks, so label it Right after, never After</t>
        </is>
      </c>
    </row>
    <row r="20">
      <c r="A20" s="24" t="inlineStr">
        <is>
          <t>whatsapp-image-2026-08-13-at-10.14.36-pm.jpg</t>
        </is>
      </c>
      <c r="B20" s="24" t="inlineStr">
        <is>
          <t>F</t>
        </is>
      </c>
      <c r="C20" s="24" t="inlineStr">
        <is>
          <t>After collage</t>
        </is>
      </c>
      <c r="D20" s="24" t="inlineStr"/>
      <c r="E20" s="24" t="inlineStr">
        <is>
          <t>On file</t>
        </is>
      </c>
      <c r="F20" s="24" t="inlineStr">
        <is>
          <t>Oct 22</t>
        </is>
      </c>
      <c r="G20" s="24" t="inlineStr">
        <is>
          <t>Before and after from one appointment, minutes apart. Same camera position, so the best matched pair in the library. The after has visible swelling and pinpoint marks, so label it Right after, never After</t>
        </is>
      </c>
    </row>
    <row r="21">
      <c r="A21" s="24" t="inlineStr">
        <is>
          <t>img_7715.jpg</t>
        </is>
      </c>
      <c r="B21" s="24" t="inlineStr">
        <is>
          <t>H</t>
        </is>
      </c>
      <c r="C21" s="24" t="inlineStr">
        <is>
          <t>Day 0</t>
        </is>
      </c>
      <c r="D21" s="24" t="inlineStr"/>
      <c r="E21" s="24" t="inlineStr">
        <is>
          <t>On file</t>
        </is>
      </c>
      <c r="F21" s="24" t="inlineStr">
        <is>
          <t>Oct 22</t>
        </is>
      </c>
      <c r="G21" s="24" t="inlineStr">
        <is>
          <t>Reclined, day 0, heavily swollen. No before</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E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42" customWidth="1" style="13" min="1" max="1"/>
    <col width="16" customWidth="1" style="13" min="2" max="2"/>
    <col width="18" customWidth="1" style="13" min="3" max="3"/>
    <col width="42" customWidth="1" style="13" min="4" max="4"/>
    <col width="45" customWidth="1" style="13" min="5" max="5"/>
  </cols>
  <sheetData>
    <row r="1" ht="15" customHeight="1" s="14">
      <c r="A1" s="25" t="inlineStr">
        <is>
          <t>Idea</t>
        </is>
      </c>
      <c r="B1" s="25" t="inlineStr">
        <is>
          <t>Format</t>
        </is>
      </c>
      <c r="C1" s="25" t="inlineStr">
        <is>
          <t>Pillar</t>
        </is>
      </c>
      <c r="D1" s="25" t="inlineStr">
        <is>
          <t>Hook</t>
        </is>
      </c>
      <c r="E1" s="25" t="inlineStr">
        <is>
          <t>Notes</t>
        </is>
      </c>
    </row>
    <row r="2" ht="15" customHeight="1" s="14">
      <c r="A2" s="31" t="inlineStr">
        <is>
          <t>Price transparency: what it actually costs</t>
        </is>
      </c>
      <c r="B2" s="31" t="inlineStr">
        <is>
          <t>Carousel</t>
        </is>
      </c>
      <c r="C2" s="31" t="inlineStr">
        <is>
          <t>Trust &amp; Proof</t>
        </is>
      </c>
      <c r="D2" s="31" t="inlineStr">
        <is>
          <t>Let's talk prices. For real.</t>
        </is>
      </c>
      <c r="E2" s="31" t="inlineStr">
        <is>
          <t>From playbook. Strong differentiator, almost nobody does it</t>
        </is>
      </c>
    </row>
    <row r="3" ht="15" customHeight="1" s="14">
      <c r="A3" s="31" t="inlineStr">
        <is>
          <t>Progress series: 3 sessions, one client</t>
        </is>
      </c>
      <c r="B3" s="31" t="inlineStr">
        <is>
          <t>Carousel</t>
        </is>
      </c>
      <c r="C3" s="31" t="inlineStr">
        <is>
          <t>Trust &amp; Proof</t>
        </is>
      </c>
      <c r="D3" s="31" t="inlineStr">
        <is>
          <t>3 sessions. Watch what happened.</t>
        </is>
      </c>
      <c r="E3" s="31" t="inlineStr">
        <is>
          <t>Needs client consent and photos over time</t>
        </is>
      </c>
    </row>
    <row r="4" ht="15" customHeight="1" s="14">
      <c r="A4" s="31" t="inlineStr">
        <is>
          <t>Under-eye filler: the honest truth</t>
        </is>
      </c>
      <c r="B4" s="31" t="inlineStr">
        <is>
          <t>Carousel</t>
        </is>
      </c>
      <c r="C4" s="31" t="inlineStr">
        <is>
          <t>Education</t>
        </is>
      </c>
      <c r="D4" s="31" t="inlineStr">
        <is>
          <t>The most requested, most misunderstood treatment.</t>
        </is>
      </c>
      <c r="E4" s="31" t="inlineStr">
        <is>
          <t>High search volume topic</t>
        </is>
      </c>
    </row>
    <row r="5" ht="15" customHeight="1" s="14">
      <c r="A5" s="31" t="inlineStr">
        <is>
          <t>Men and Botox: the fastest growing clients</t>
        </is>
      </c>
      <c r="B5" s="31" t="inlineStr">
        <is>
          <t>Carousel</t>
        </is>
      </c>
      <c r="C5" s="31" t="inlineStr">
        <is>
          <t>Education</t>
        </is>
      </c>
      <c r="D5" s="31" t="inlineStr">
        <is>
          <t>Brotox is not a trend. It is a Tuesday.</t>
        </is>
      </c>
      <c r="E5" s="31" t="inlineStr">
        <is>
          <t>Untapped audience</t>
        </is>
      </c>
    </row>
    <row r="6" ht="15" customHeight="1" s="14">
      <c r="A6" s="31" t="inlineStr">
        <is>
          <t>What filters did to beauty standards</t>
        </is>
      </c>
      <c r="B6" s="31" t="inlineStr">
        <is>
          <t>Carousel</t>
        </is>
      </c>
      <c r="C6" s="31" t="inlineStr">
        <is>
          <t>Trust &amp; Proof</t>
        </is>
      </c>
      <c r="D6" s="31" t="inlineStr">
        <is>
          <t>Your face is not supposed to look like a filter.</t>
        </is>
      </c>
      <c r="E6" s="31" t="inlineStr">
        <is>
          <t>Emotional, highly shareable</t>
        </is>
      </c>
    </row>
    <row r="7" ht="15" customHeight="1" s="14">
      <c r="A7" s="31" t="inlineStr">
        <is>
          <t>Skincare before injectables: the right order</t>
        </is>
      </c>
      <c r="B7" s="31" t="inlineStr">
        <is>
          <t>Carousel</t>
        </is>
      </c>
      <c r="C7" s="31" t="inlineStr">
        <is>
          <t>Education</t>
        </is>
      </c>
      <c r="D7" s="31" t="inlineStr">
        <is>
          <t>Do this before you spend a dollar on filler.</t>
        </is>
      </c>
      <c r="E7" s="31" t="inlineStr">
        <is>
          <t>Positions you as honest advisor</t>
        </is>
      </c>
    </row>
    <row r="8" ht="15" customHeight="1" s="14">
      <c r="A8" s="31" t="inlineStr">
        <is>
          <t>IG Live: Ask Me Anything</t>
        </is>
      </c>
      <c r="B8" s="31" t="inlineStr">
        <is>
          <t>Live + Reel clips</t>
        </is>
      </c>
      <c r="C8" s="31" t="inlineStr">
        <is>
          <t>Personality &amp; BTS</t>
        </is>
      </c>
      <c r="D8" s="31" t="inlineStr">
        <is>
          <t>Monthly live Q&amp;A, clip the best answers into reels</t>
        </is>
      </c>
      <c r="E8" s="31" t="inlineStr">
        <is>
          <t>Each live produces 3-5 reels</t>
        </is>
      </c>
    </row>
    <row r="9" ht="15" customHeight="1" s="14">
      <c r="A9" s="31" t="inlineStr">
        <is>
          <t>Duet or stitch a Botox myth video</t>
        </is>
      </c>
      <c r="B9" s="31" t="inlineStr">
        <is>
          <t>TikTok / Reel</t>
        </is>
      </c>
      <c r="C9" s="31" t="inlineStr">
        <is>
          <t>Education</t>
        </is>
      </c>
      <c r="D9" s="31" t="inlineStr">
        <is>
          <t>React to viral misinformation with facts</t>
        </is>
      </c>
      <c r="E9" s="31" t="inlineStr">
        <is>
          <t>TikTok native format, high reach</t>
        </is>
      </c>
    </row>
    <row r="10" ht="15" customHeight="1" s="14">
      <c r="A10" s="31" t="inlineStr">
        <is>
          <t>Get ready with me: injector edition</t>
        </is>
      </c>
      <c r="B10" s="31" t="inlineStr">
        <is>
          <t>Reel / TikTok</t>
        </is>
      </c>
      <c r="C10" s="31" t="inlineStr">
        <is>
          <t>Personality &amp; BTS</t>
        </is>
      </c>
      <c r="D10" s="31" t="inlineStr">
        <is>
          <t>GRWM for a day of consults</t>
        </is>
      </c>
      <c r="E10" s="31" t="inlineStr">
        <is>
          <t>Trending format</t>
        </is>
      </c>
    </row>
    <row r="11" ht="15" customHeight="1" s="14">
      <c r="A11" s="31" t="inlineStr">
        <is>
          <t>Before your event checklist</t>
        </is>
      </c>
      <c r="B11" s="31" t="inlineStr">
        <is>
          <t>Reel</t>
        </is>
      </c>
      <c r="C11" s="31" t="inlineStr">
        <is>
          <t>Promo &amp; CTA</t>
        </is>
      </c>
      <c r="D11" s="31" t="inlineStr">
        <is>
          <t>Wedding or reunion coming? Watch this first.</t>
        </is>
      </c>
      <c r="E11" s="31" t="inlineStr">
        <is>
          <t>Evergreen, re-post seasonally</t>
        </is>
      </c>
    </row>
    <row r="12">
      <c r="A12" s="24" t="inlineStr">
        <is>
          <t>Is Filler Right for You? An Honest Checklist</t>
        </is>
      </c>
      <c r="B12" s="24" t="inlineStr">
        <is>
          <t>Carousel</t>
        </is>
      </c>
      <c r="C12" s="24" t="inlineStr">
        <is>
          <t>Trust &amp; Proof</t>
        </is>
      </c>
      <c r="D12" s="24" t="inlineStr">
        <is>
          <t>Not everyone is a candidate. Here is how to know.</t>
        </is>
      </c>
      <c r="E12" s="24" t="inlineStr">
        <is>
          <t>Displaced from Oct 15 by the real-results carousel. Strong topic, reschedule</t>
        </is>
      </c>
    </row>
    <row r="13">
      <c r="A13" s="24" t="inlineStr">
        <is>
          <t>Quote: Subtle Is the New Dramatic</t>
        </is>
      </c>
      <c r="B13" s="24" t="inlineStr">
        <is>
          <t>Single Image</t>
        </is>
      </c>
      <c r="C13" s="24" t="inlineStr">
        <is>
          <t>Trust &amp; Proof</t>
        </is>
      </c>
      <c r="D13" s="24" t="inlineStr">
        <is>
          <t>The best work whispers.</t>
        </is>
      </c>
      <c r="E13" s="24" t="inlineStr">
        <is>
          <t>Oct 10 now runs this line over a real result instead of a plain quote card</t>
        </is>
      </c>
    </row>
    <row r="14">
      <c r="A14" s="24" t="inlineStr">
        <is>
          <t>The Clinic Is Holiday Ready</t>
        </is>
      </c>
      <c r="B14" s="24" t="inlineStr">
        <is>
          <t>Single Image</t>
        </is>
      </c>
      <c r="C14" s="24" t="inlineStr">
        <is>
          <t>Personality &amp; BTS</t>
        </is>
      </c>
      <c r="D14" s="24" t="inlineStr">
        <is>
          <t>Glow-up season is officially open.</t>
        </is>
      </c>
      <c r="E14" s="24" t="inlineStr">
        <is>
          <t>Displaced from Nov 6 by the every-angle carousel. Needs a clinic photo anyway</t>
        </is>
      </c>
    </row>
    <row r="15">
      <c r="A15" s="24" t="inlineStr">
        <is>
          <t>Pair D before and after</t>
        </is>
      </c>
      <c r="B15" s="24" t="inlineStr">
        <is>
          <t>Before/After</t>
        </is>
      </c>
      <c r="C15" s="24" t="inlineStr">
        <is>
          <t>Trust &amp; Proof</t>
        </is>
      </c>
      <c r="D15" s="24" t="inlineStr">
        <is>
          <t>Subtle lip border refinement.</t>
        </is>
      </c>
      <c r="E15" s="24" t="inlineStr">
        <is>
          <t>img_1444 / img_1447. HOLD: Cleo to confirm which is the before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2026-08-12T18:22:33Z</dcterms:created>
  <dcterms:modified xsi:type="dcterms:W3CDTF">2026-08-19T04:54:52Z</dcterms:modified>
  <cp:revision>0</cp:revision>
</cp:coreProperties>
</file>