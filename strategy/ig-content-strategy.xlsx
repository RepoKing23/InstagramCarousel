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definedName name="_xlnm._FilterDatabase" localSheetId="1" hidden="1">'Posting Schedule'!$A$1:$AB$66</definedName>
    <definedName name="_xlnm._FilterDatabase" localSheetId="3" hidden="1">'Monthly Themes'!$A$1:$E$5</definedName>
    <definedName name="_xlnm._FilterDatabase" localSheetId="4" hidden="1">'Content Pillars'!$A$1:$E$5</definedName>
    <definedName name="_xlnm._FilterDatabase" localSheetId="5" hidden="1">'Hashtag Sets'!$A$1:$C$6</definedName>
    <definedName name="_xlnm._FilterDatabase" localSheetId="6" hidden="1">'Photo Library'!$A$1:$G$21</definedName>
    <definedName name="_xlnm._FilterDatabase" localSheetId="7" hidden="1">'Ideas Backlog'!$A$1:$E$15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yyyy-mm-dd"/>
    <numFmt numFmtId="166" formatCode="yyyy-mm-dd h:mm:ss"/>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
      <name val="Calibri"/>
      <b val="1"/>
      <color rgb="00FFFFFF"/>
      <sz val="11"/>
    </font>
    <font>
      <name val="Calibri"/>
      <b val="1"/>
    </font>
  </fonts>
  <fills count="8">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
      <patternFill patternType="solid">
        <fgColor rgb="00FFF6DF"/>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xf numFmtId="0" fontId="21" fillId="5" borderId="0" applyAlignment="1" pivotButton="0" quotePrefix="0" xfId="0">
      <alignment vertical="center" wrapText="1"/>
    </xf>
    <xf numFmtId="0" fontId="21" fillId="5" borderId="1" applyAlignment="1" pivotButton="0" quotePrefix="0" xfId="0">
      <alignment vertical="center" wrapText="1"/>
    </xf>
    <xf numFmtId="0" fontId="7" fillId="7" borderId="1" applyAlignment="1" pivotButton="0" quotePrefix="0" xfId="0">
      <alignment horizontal="general" vertical="top" wrapText="1"/>
    </xf>
    <xf numFmtId="0" fontId="19" fillId="7" borderId="0" applyAlignment="1" pivotButton="0" quotePrefix="0" xfId="0">
      <alignment vertical="top" wrapText="1"/>
    </xf>
    <xf numFmtId="0" fontId="22" fillId="0" borderId="0" pivotButton="0" quotePrefix="0" xfId="0"/>
    <xf numFmtId="0" fontId="19" fillId="0" borderId="0" applyAlignment="1" pivotButton="0" quotePrefix="0" xfId="0">
      <alignment vertical="center"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q2csrSPGM_k"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6zVwAYoqWM"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XGv1wuuNvYU"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HtXyytr9304"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qJ1mYraktLg"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16mHHrY3PUk"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N6N-DcYcDZ8"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w6zVwAYoqWM"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qJ1mYraktLg"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MGKzomg0Dts"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4Dj3MshHQ0"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GG8i22DQTHw"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SlpmIhUd860"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0YT1p3lEPTg"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H9YAbOsqDt8"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k6vhjQF720E"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 Type="http://schemas.openxmlformats.org/officeDocument/2006/relationships/hyperlink" Target="https://www.instagram.com/luxury_beauty_aestheticz/" TargetMode="External" Id="rId173" /><Relationship Type="http://schemas.openxmlformats.org/officeDocument/2006/relationships/hyperlink" Target="https://github.com/RepoKing23/InstagramCarousel/tree/claude/med-spa-carousel-ideas-sim9wz/content/gbp" TargetMode="External" Id="rId174" /><Relationship Type="http://schemas.openxmlformats.org/officeDocument/2006/relationships/hyperlink" Target="https://raw.githubusercontent.com/RepoKing23/InstagramCarousel/claude/med-spa-carousel-ideas-sim9wz/content/gbp/2026-10-01-why-i-say-no.jpg" TargetMode="External" Id="rId175" /><Relationship Type="http://schemas.openxmlformats.org/officeDocument/2006/relationships/hyperlink" Target="https://unsplash.com/photos/TQSPgNqeCo8" TargetMode="External" Id="rId176" /><Relationship Type="http://schemas.openxmlformats.org/officeDocument/2006/relationships/hyperlink" Target="https://www.instagram.com/luxury_beauty_aestheticz/" TargetMode="External" Id="rId177" /><Relationship Type="http://schemas.openxmlformats.org/officeDocument/2006/relationships/hyperlink" Target="https://github.com/RepoKing23/InstagramCarousel/tree/claude/med-spa-carousel-ideas-sim9wz/content/gbp" TargetMode="External" Id="rId178" /><Relationship Type="http://schemas.openxmlformats.org/officeDocument/2006/relationships/hyperlink" Target="https://raw.githubusercontent.com/RepoKing23/InstagramCarousel/claude/med-spa-carousel-ideas-sim9wz/content/gbp/2026-10-02-every-first-timer.jpg" TargetMode="External" Id="rId179" /><Relationship Type="http://schemas.openxmlformats.org/officeDocument/2006/relationships/hyperlink" Target="https://unsplash.com/photos/PqyzuzFiQfY" TargetMode="External" Id="rId180" /><Relationship Type="http://schemas.openxmlformats.org/officeDocument/2006/relationships/hyperlink" Target="https://www.instagram.com/luxury_beauty_aestheticz/" TargetMode="External" Id="rId181" /><Relationship Type="http://schemas.openxmlformats.org/officeDocument/2006/relationships/hyperlink" Target="https://github.com/RepoKing23/InstagramCarousel/tree/claude/med-spa-carousel-ideas-sim9wz/content/gbp" TargetMode="External" Id="rId182" /><Relationship Type="http://schemas.openxmlformats.org/officeDocument/2006/relationships/hyperlink" Target="https://raw.githubusercontent.com/RepoKing23/InstagramCarousel/claude/med-spa-carousel-ideas-sim9wz/content/gbp/2026-10-03-no-is-protection.jpg" TargetMode="External" Id="rId183" /><Relationship Type="http://schemas.openxmlformats.org/officeDocument/2006/relationships/hyperlink" Target="https://unsplash.com/photos/n5RNynnttF8" TargetMode="External" Id="rId184" /><Relationship Type="http://schemas.openxmlformats.org/officeDocument/2006/relationships/hyperlink" Target="https://www.instagram.com/luxury_beauty_aestheticz/" TargetMode="External" Id="rId185" /><Relationship Type="http://schemas.openxmlformats.org/officeDocument/2006/relationships/hyperlink" Target="https://github.com/RepoKing23/InstagramCarousel/tree/claude/med-spa-carousel-ideas-sim9wz/content/gbp" TargetMode="External" Id="rId186" /><Relationship Type="http://schemas.openxmlformats.org/officeDocument/2006/relationships/hyperlink" Target="https://raw.githubusercontent.com/RepoKing23/InstagramCarousel/claude/med-spa-carousel-ideas-sim9wz/content/gbp/2026-10-04-is-filler-safe.jpg" TargetMode="External" Id="rId187" /><Relationship Type="http://schemas.openxmlformats.org/officeDocument/2006/relationships/hyperlink" Target="https://unsplash.com/photos/HtXyytr9304" TargetMode="External" Id="rId188" /><Relationship Type="http://schemas.openxmlformats.org/officeDocument/2006/relationships/hyperlink" Target="https://www.instagram.com/luxury_beauty_aestheticz/" TargetMode="External" Id="rId189" /><Relationship Type="http://schemas.openxmlformats.org/officeDocument/2006/relationships/hyperlink" Target="https://github.com/RepoKing23/InstagramCarousel/tree/claude/med-spa-carousel-ideas-sim9wz/content/gbp" TargetMode="External" Id="rId190" /><Relationship Type="http://schemas.openxmlformats.org/officeDocument/2006/relationships/hyperlink" Target="https://raw.githubusercontent.com/RepoKing23/InstagramCarousel/claude/med-spa-carousel-ideas-sim9wz/content/gbp/2026-10-05-fake-is-not-the-filler.jpg" TargetMode="External" Id="rId191" /><Relationship Type="http://schemas.openxmlformats.org/officeDocument/2006/relationships/hyperlink" Target="https://unsplash.com/photos/4mCQh80Jzyo" TargetMode="External" Id="rId192" /><Relationship Type="http://schemas.openxmlformats.org/officeDocument/2006/relationships/hyperlink" Target="https://www.instagram.com/luxury_beauty_aestheticz/" TargetMode="External" Id="rId193" /><Relationship Type="http://schemas.openxmlformats.org/officeDocument/2006/relationships/hyperlink" Target="https://github.com/RepoKing23/InstagramCarousel/tree/claude/med-spa-carousel-ideas-sim9wz/content/gbp" TargetMode="External" Id="rId194" /><Relationship Type="http://schemas.openxmlformats.org/officeDocument/2006/relationships/hyperlink" Target="https://raw.githubusercontent.com/RepoKing23/InstagramCarousel/claude/med-spa-carousel-ideas-sim9wz/content/gbp/2026-10-06-spotlight-dermal-filler.jpg" TargetMode="External" Id="rId195" /><Relationship Type="http://schemas.openxmlformats.org/officeDocument/2006/relationships/hyperlink" Target="https://unsplash.com/photos/0YT1p3lEPTg" TargetMode="External" Id="rId196" /><Relationship Type="http://schemas.openxmlformats.org/officeDocument/2006/relationships/hyperlink" Target="https://www.instagram.com/luxury_beauty_aestheticz/" TargetMode="External" Id="rId197" /><Relationship Type="http://schemas.openxmlformats.org/officeDocument/2006/relationships/hyperlink" Target="https://github.com/RepoKing23/InstagramCarousel/tree/claude/med-spa-carousel-ideas-sim9wz/content/gbp" TargetMode="External" Id="rId198" /><Relationship Type="http://schemas.openxmlformats.org/officeDocument/2006/relationships/hyperlink" Target="https://raw.githubusercontent.com/RepoKing23/InstagramCarousel/claude/med-spa-carousel-ideas-sim9wz/content/gbp/2026-10-07-before-the-syringe.jpg" TargetMode="External" Id="rId199" /><Relationship Type="http://schemas.openxmlformats.org/officeDocument/2006/relationships/hyperlink" Target="https://unsplash.com/photos/Pe9IXUuC6QU" TargetMode="External" Id="rId200" /><Relationship Type="http://schemas.openxmlformats.org/officeDocument/2006/relationships/hyperlink" Target="https://www.instagram.com/luxury_beauty_aestheticz/" TargetMode="External" Id="rId201" /><Relationship Type="http://schemas.openxmlformats.org/officeDocument/2006/relationships/hyperlink" Target="https://github.com/RepoKing23/InstagramCarousel/tree/claude/med-spa-carousel-ideas-sim9wz/content/gbp" TargetMode="External" Id="rId202" /><Relationship Type="http://schemas.openxmlformats.org/officeDocument/2006/relationships/hyperlink" Target="https://raw.githubusercontent.com/RepoKing23/InstagramCarousel/claude/med-spa-carousel-ideas-sim9wz/content/gbp/2026-10-08-natural-or-overdone.jpg" TargetMode="External" Id="rId203" /><Relationship Type="http://schemas.openxmlformats.org/officeDocument/2006/relationships/hyperlink" Target="https://unsplash.com/photos/w4Dj3MshHQ0" TargetMode="External" Id="rId204" /><Relationship Type="http://schemas.openxmlformats.org/officeDocument/2006/relationships/hyperlink" Target="https://www.instagram.com/luxury_beauty_aestheticz/" TargetMode="External" Id="rId205" /><Relationship Type="http://schemas.openxmlformats.org/officeDocument/2006/relationships/hyperlink" Target="https://github.com/RepoKing23/InstagramCarousel/tree/claude/med-spa-carousel-ideas-sim9wz/content/gbp" TargetMode="External" Id="rId206" /><Relationship Type="http://schemas.openxmlformats.org/officeDocument/2006/relationships/hyperlink" Target="https://raw.githubusercontent.com/RepoKing23/InstagramCarousel/claude/med-spa-carousel-ideas-sim9wz/content/gbp/2026-10-09-inside-the-appointment.jpg" TargetMode="External" Id="rId207" /><Relationship Type="http://schemas.openxmlformats.org/officeDocument/2006/relationships/hyperlink" Target="https://unsplash.com/photos/6Cz6R3El3p0" TargetMode="External" Id="rId208" /><Relationship Type="http://schemas.openxmlformats.org/officeDocument/2006/relationships/hyperlink" Target="https://www.instagram.com/luxury_beauty_aestheticz/" TargetMode="External" Id="rId209" /><Relationship Type="http://schemas.openxmlformats.org/officeDocument/2006/relationships/hyperlink" Target="https://github.com/RepoKing23/InstagramCarousel/tree/claude/med-spa-carousel-ideas-sim9wz/content/gbp" TargetMode="External" Id="rId210" /><Relationship Type="http://schemas.openxmlformats.org/officeDocument/2006/relationships/hyperlink" Target="https://raw.githubusercontent.com/RepoKing23/InstagramCarousel/claude/med-spa-carousel-ideas-sim9wz/content/gbp/2026-10-10-subtle-is-the-point.jpg" TargetMode="External" Id="rId211" /><Relationship Type="http://schemas.openxmlformats.org/officeDocument/2006/relationships/hyperlink" Target="https://unsplash.com/photos/GG8i22DQTHw" TargetMode="External" Id="rId212" /><Relationship Type="http://schemas.openxmlformats.org/officeDocument/2006/relationships/hyperlink" Target="https://www.instagram.com/luxury_beauty_aestheticz/" TargetMode="External" Id="rId213" /><Relationship Type="http://schemas.openxmlformats.org/officeDocument/2006/relationships/hyperlink" Target="https://github.com/RepoKing23/InstagramCarousel/tree/claude/med-spa-carousel-ideas-sim9wz/content/gbp" TargetMode="External" Id="rId214" /><Relationship Type="http://schemas.openxmlformats.org/officeDocument/2006/relationships/hyperlink" Target="https://raw.githubusercontent.com/RepoKing23/InstagramCarousel/claude/med-spa-carousel-ideas-sim9wz/content/gbp/2026-10-11-find-the-studio.jpg" TargetMode="External" Id="rId215" /><Relationship Type="http://schemas.openxmlformats.org/officeDocument/2006/relationships/hyperlink" Target="https://unsplash.com/photos/SlpmIhUd860" TargetMode="External" Id="rId216" /><Relationship Type="http://schemas.openxmlformats.org/officeDocument/2006/relationships/hyperlink" Target="https://www.instagram.com/luxury_beauty_aestheticz/" TargetMode="External" Id="rId217" /><Relationship Type="http://schemas.openxmlformats.org/officeDocument/2006/relationships/hyperlink" Target="https://github.com/RepoKing23/InstagramCarousel/tree/claude/med-spa-carousel-ideas-sim9wz/content/gbp" TargetMode="External" Id="rId218" /><Relationship Type="http://schemas.openxmlformats.org/officeDocument/2006/relationships/hyperlink" Target="https://raw.githubusercontent.com/RepoKing23/InstagramCarousel/claude/med-spa-carousel-ideas-sim9wz/content/gbp/2026-10-12-cheeks-hold-the-face.jpg" TargetMode="External" Id="rId219" /><Relationship Type="http://schemas.openxmlformats.org/officeDocument/2006/relationships/hyperlink" Target="https://unsplash.com/photos/XGv1wuuNvYU" TargetMode="External" Id="rId220" /><Relationship Type="http://schemas.openxmlformats.org/officeDocument/2006/relationships/hyperlink" Target="https://www.instagram.com/luxury_beauty_aestheticz/" TargetMode="External" Id="rId221" /><Relationship Type="http://schemas.openxmlformats.org/officeDocument/2006/relationships/hyperlink" Target="https://github.com/RepoKing23/InstagramCarousel/tree/claude/med-spa-carousel-ideas-sim9wz/content/gbp" TargetMode="External" Id="rId222" /><Relationship Type="http://schemas.openxmlformats.org/officeDocument/2006/relationships/hyperlink" Target="https://raw.githubusercontent.com/RepoKing23/InstagramCarousel/claude/med-spa-carousel-ideas-sim9wz/content/gbp/2026-10-13-spotlight-cheek-filler.jpg" TargetMode="External" Id="rId223" /><Relationship Type="http://schemas.openxmlformats.org/officeDocument/2006/relationships/hyperlink" Target="https://unsplash.com/photos/H9YAbOsqDt8" TargetMode="External" Id="rId224" /><Relationship Type="http://schemas.openxmlformats.org/officeDocument/2006/relationships/hyperlink" Target="https://www.instagram.com/luxury_beauty_aestheticz/" TargetMode="External" Id="rId225" /><Relationship Type="http://schemas.openxmlformats.org/officeDocument/2006/relationships/hyperlink" Target="https://github.com/RepoKing23/InstagramCarousel/tree/claude/med-spa-carousel-ideas-sim9wz/content/gbp" TargetMode="External" Id="rId226" /><Relationship Type="http://schemas.openxmlformats.org/officeDocument/2006/relationships/hyperlink" Target="https://raw.githubusercontent.com/RepoKing23/InstagramCarousel/claude/med-spa-carousel-ideas-sim9wz/content/gbp/2026-10-14-not-everyone-is-a-candidate.jpg" TargetMode="External" Id="rId227" /><Relationship Type="http://schemas.openxmlformats.org/officeDocument/2006/relationships/hyperlink" Target="https://unsplash.com/photos/q2csrSPGM_k" TargetMode="External" Id="rId228" /><Relationship Type="http://schemas.openxmlformats.org/officeDocument/2006/relationships/hyperlink" Target="https://www.instagram.com/luxury_beauty_aestheticz/" TargetMode="External" Id="rId229" /><Relationship Type="http://schemas.openxmlformats.org/officeDocument/2006/relationships/hyperlink" Target="https://github.com/RepoKing23/InstagramCarousel/tree/claude/med-spa-carousel-ideas-sim9wz/content/gbp" TargetMode="External" Id="rId230" /><Relationship Type="http://schemas.openxmlformats.org/officeDocument/2006/relationships/hyperlink" Target="https://raw.githubusercontent.com/RepoKing23/InstagramCarousel/claude/med-spa-carousel-ideas-sim9wz/content/gbp/2026-10-15-real-lips-real-results.jpg" TargetMode="External" Id="rId231" /><Relationship Type="http://schemas.openxmlformats.org/officeDocument/2006/relationships/hyperlink" Target="https://unsplash.com/photos/w6zVwAYoqWM" TargetMode="External" Id="rId232" /><Relationship Type="http://schemas.openxmlformats.org/officeDocument/2006/relationships/hyperlink" Target="https://www.instagram.com/luxury_beauty_aestheticz/" TargetMode="External" Id="rId233" /><Relationship Type="http://schemas.openxmlformats.org/officeDocument/2006/relationships/hyperlink" Target="https://github.com/RepoKing23/InstagramCarousel/tree/claude/med-spa-carousel-ideas-sim9wz/content/gbp" TargetMode="External" Id="rId234" /><Relationship Type="http://schemas.openxmlformats.org/officeDocument/2006/relationships/hyperlink" Target="https://raw.githubusercontent.com/RepoKing23/InstagramCarousel/claude/med-spa-carousel-ideas-sim9wz/content/gbp/2026-10-16-facial-balancing-101.jpg" TargetMode="External" Id="rId235" /><Relationship Type="http://schemas.openxmlformats.org/officeDocument/2006/relationships/hyperlink" Target="https://unsplash.com/photos/MGKzomg0Dts" TargetMode="External" Id="rId236" /><Relationship Type="http://schemas.openxmlformats.org/officeDocument/2006/relationships/hyperlink" Target="https://www.instagram.com/luxury_beauty_aestheticz/" TargetMode="External" Id="rId237" /><Relationship Type="http://schemas.openxmlformats.org/officeDocument/2006/relationships/hyperlink" Target="https://github.com/RepoKing23/InstagramCarousel/tree/claude/med-spa-carousel-ideas-sim9wz/content/gbp" TargetMode="External" Id="rId238" /><Relationship Type="http://schemas.openxmlformats.org/officeDocument/2006/relationships/hyperlink" Target="https://raw.githubusercontent.com/RepoKing23/InstagramCarousel/claude/med-spa-carousel-ideas-sim9wz/content/gbp/2026-10-17-how-much-do-i-need.jpg" TargetMode="External" Id="rId239" /><Relationship Type="http://schemas.openxmlformats.org/officeDocument/2006/relationships/hyperlink" Target="https://unsplash.com/photos/hX9V80PDxrQ" TargetMode="External" Id="rId240" /><Relationship Type="http://schemas.openxmlformats.org/officeDocument/2006/relationships/hyperlink" Target="https://www.instagram.com/luxury_beauty_aestheticz/" TargetMode="External" Id="rId241" /><Relationship Type="http://schemas.openxmlformats.org/officeDocument/2006/relationships/hyperlink" Target="https://github.com/RepoKing23/InstagramCarousel/tree/claude/med-spa-carousel-ideas-sim9wz/content/gbp" TargetMode="External" Id="rId242" /><Relationship Type="http://schemas.openxmlformats.org/officeDocument/2006/relationships/hyperlink" Target="https://raw.githubusercontent.com/RepoKing23/InstagramCarousel/claude/med-spa-carousel-ideas-sim9wz/content/gbp/2026-10-18-on-the-day-itself.jpg" TargetMode="External" Id="rId243" /><Relationship Type="http://schemas.openxmlformats.org/officeDocument/2006/relationships/hyperlink" Target="https://unsplash.com/photos/Bsg_9a2PDX0" TargetMode="External" Id="rId244" /><Relationship Type="http://schemas.openxmlformats.org/officeDocument/2006/relationships/hyperlink" Target="https://www.instagram.com/luxury_beauty_aestheticz/" TargetMode="External" Id="rId245" /><Relationship Type="http://schemas.openxmlformats.org/officeDocument/2006/relationships/hyperlink" Target="https://github.com/RepoKing23/InstagramCarousel/tree/claude/med-spa-carousel-ideas-sim9wz/content/gbp" TargetMode="External" Id="rId246" /><Relationship Type="http://schemas.openxmlformats.org/officeDocument/2006/relationships/hyperlink" Target="https://raw.githubusercontent.com/RepoKing23/InstagramCarousel/claude/med-spa-carousel-ideas-sim9wz/content/gbp/2026-10-19-it-dissolves.jpg" TargetMode="External" Id="rId247" /><Relationship Type="http://schemas.openxmlformats.org/officeDocument/2006/relationships/hyperlink" Target="https://unsplash.com/photos/-FT1IVUnUd8" TargetMode="External" Id="rId248" /><Relationship Type="http://schemas.openxmlformats.org/officeDocument/2006/relationships/hyperlink" Target="https://www.instagram.com/luxury_beauty_aestheticz/" TargetMode="External" Id="rId249" /><Relationship Type="http://schemas.openxmlformats.org/officeDocument/2006/relationships/hyperlink" Target="https://github.com/RepoKing23/InstagramCarousel/tree/claude/med-spa-carousel-ideas-sim9wz/content/gbp" TargetMode="External" Id="rId250" /><Relationship Type="http://schemas.openxmlformats.org/officeDocument/2006/relationships/hyperlink" Target="https://raw.githubusercontent.com/RepoKing23/InstagramCarousel/claude/med-spa-carousel-ideas-sim9wz/content/gbp/2026-10-20-the-filler-timeline.jpg" TargetMode="External" Id="rId251" /><Relationship Type="http://schemas.openxmlformats.org/officeDocument/2006/relationships/hyperlink" Target="https://unsplash.com/photos/k6vhjQF720E" TargetMode="External" Id="rId252" /><Relationship Type="http://schemas.openxmlformats.org/officeDocument/2006/relationships/hyperlink" Target="https://www.instagram.com/luxury_beauty_aestheticz/" TargetMode="External" Id="rId253" /><Relationship Type="http://schemas.openxmlformats.org/officeDocument/2006/relationships/hyperlink" Target="https://github.com/RepoKing23/InstagramCarousel/tree/claude/med-spa-carousel-ideas-sim9wz/content/gbp" TargetMode="External" Id="rId254" /><Relationship Type="http://schemas.openxmlformats.org/officeDocument/2006/relationships/hyperlink" Target="https://raw.githubusercontent.com/RepoKing23/InstagramCarousel/claude/med-spa-carousel-ideas-sim9wz/content/gbp/2026-10-21-will-i-bruise.jpg" TargetMode="External" Id="rId255" /><Relationship Type="http://schemas.openxmlformats.org/officeDocument/2006/relationships/hyperlink" Target="https://unsplash.com/photos/N6N-DcYcDZ8" TargetMode="External" Id="rId256" /><Relationship Type="http://schemas.openxmlformats.org/officeDocument/2006/relationships/hyperlink" Target="https://www.instagram.com/luxury_beauty_aestheticz/" TargetMode="External" Id="rId257" /><Relationship Type="http://schemas.openxmlformats.org/officeDocument/2006/relationships/hyperlink" Target="https://github.com/RepoKing23/InstagramCarousel/tree/claude/med-spa-carousel-ideas-sim9wz/content/gbp" TargetMode="External" Id="rId258" /><Relationship Type="http://schemas.openxmlformats.org/officeDocument/2006/relationships/hyperlink" Target="https://raw.githubusercontent.com/RepoKing23/InstagramCarousel/claude/med-spa-carousel-ideas-sim9wz/content/gbp/2026-10-22-the-first-week.jpg" TargetMode="External" Id="rId259" /><Relationship Type="http://schemas.openxmlformats.org/officeDocument/2006/relationships/hyperlink" Target="https://unsplash.com/photos/qJ1mYraktLg" TargetMode="External" Id="rId260" /><Relationship Type="http://schemas.openxmlformats.org/officeDocument/2006/relationships/hyperlink" Target="https://www.instagram.com/luxury_beauty_aestheticz/" TargetMode="External" Id="rId261" /><Relationship Type="http://schemas.openxmlformats.org/officeDocument/2006/relationships/hyperlink" Target="https://github.com/RepoKing23/InstagramCarousel/tree/claude/med-spa-carousel-ideas-sim9wz/content/gbp" TargetMode="External" Id="rId262" /><Relationship Type="http://schemas.openxmlformats.org/officeDocument/2006/relationships/hyperlink" Target="https://raw.githubusercontent.com/RepoKing23/InstagramCarousel/claude/med-spa-carousel-ideas-sim9wz/content/gbp/2026-10-23-aftercare-essentials.jpg" TargetMode="External" Id="rId263" /><Relationship Type="http://schemas.openxmlformats.org/officeDocument/2006/relationships/hyperlink" Target="https://unsplash.com/photos/Pe9IXUuC6QU" TargetMode="External" Id="rId264" /><Relationship Type="http://schemas.openxmlformats.org/officeDocument/2006/relationships/hyperlink" Target="https://www.instagram.com/luxury_beauty_aestheticz/" TargetMode="External" Id="rId265" /><Relationship Type="http://schemas.openxmlformats.org/officeDocument/2006/relationships/hyperlink" Target="https://github.com/RepoKing23/InstagramCarousel/tree/claude/med-spa-carousel-ideas-sim9wz/content/gbp" TargetMode="External" Id="rId266" /><Relationship Type="http://schemas.openxmlformats.org/officeDocument/2006/relationships/hyperlink" Target="https://raw.githubusercontent.com/RepoKing23/InstagramCarousel/claude/med-spa-carousel-ideas-sim9wz/content/gbp/2026-10-24-client-words-lips.jpg" TargetMode="External" Id="rId267" /><Relationship Type="http://schemas.openxmlformats.org/officeDocument/2006/relationships/hyperlink" Target="https://unsplash.com/photos/0YT1p3lEPTg" TargetMode="External" Id="rId268" /><Relationship Type="http://schemas.openxmlformats.org/officeDocument/2006/relationships/hyperlink" Target="https://www.instagram.com/luxury_beauty_aestheticz/" TargetMode="External" Id="rId269" /><Relationship Type="http://schemas.openxmlformats.org/officeDocument/2006/relationships/hyperlink" Target="https://github.com/RepoKing23/InstagramCarousel/tree/claude/med-spa-carousel-ideas-sim9wz/content/gbp" TargetMode="External" Id="rId270" /><Relationship Type="http://schemas.openxmlformats.org/officeDocument/2006/relationships/hyperlink" Target="https://raw.githubusercontent.com/RepoKing23/InstagramCarousel/claude/med-spa-carousel-ideas-sim9wz/content/gbp/2026-10-25-how-to-book-filler.jpg" TargetMode="External" Id="rId271" /><Relationship Type="http://schemas.openxmlformats.org/officeDocument/2006/relationships/hyperlink" Target="https://unsplash.com/photos/TQSPgNqeCo8" TargetMode="External" Id="rId272" /><Relationship Type="http://schemas.openxmlformats.org/officeDocument/2006/relationships/hyperlink" Target="https://www.instagram.com/luxury_beauty_aestheticz/" TargetMode="External" Id="rId273" /><Relationship Type="http://schemas.openxmlformats.org/officeDocument/2006/relationships/hyperlink" Target="https://github.com/RepoKing23/InstagramCarousel/tree/claude/med-spa-carousel-ideas-sim9wz/content/gbp" TargetMode="External" Id="rId274" /><Relationship Type="http://schemas.openxmlformats.org/officeDocument/2006/relationships/hyperlink" Target="https://raw.githubusercontent.com/RepoKing23/InstagramCarousel/claude/med-spa-carousel-ideas-sim9wz/content/gbp/2026-10-26-five-filler-lies.jpg" TargetMode="External" Id="rId275" /><Relationship Type="http://schemas.openxmlformats.org/officeDocument/2006/relationships/hyperlink" Target="https://unsplash.com/photos/PqyzuzFiQfY" TargetMode="External" Id="rId276" /><Relationship Type="http://schemas.openxmlformats.org/officeDocument/2006/relationships/hyperlink" Target="https://www.instagram.com/luxury_beauty_aestheticz/" TargetMode="External" Id="rId277" /><Relationship Type="http://schemas.openxmlformats.org/officeDocument/2006/relationships/hyperlink" Target="https://github.com/RepoKing23/InstagramCarousel/tree/claude/med-spa-carousel-ideas-sim9wz/content/gbp" TargetMode="External" Id="rId278" /><Relationship Type="http://schemas.openxmlformats.org/officeDocument/2006/relationships/hyperlink" Target="https://raw.githubusercontent.com/RepoKing23/InstagramCarousel/claude/med-spa-carousel-ideas-sim9wz/content/gbp/2026-10-27-myth-vs-truth-filler.jpg" TargetMode="External" Id="rId279" /><Relationship Type="http://schemas.openxmlformats.org/officeDocument/2006/relationships/hyperlink" Target="https://unsplash.com/photos/16mHHrY3PUk" TargetMode="External" Id="rId280" /><Relationship Type="http://schemas.openxmlformats.org/officeDocument/2006/relationships/hyperlink" Target="https://www.instagram.com/luxury_beauty_aestheticz/" TargetMode="External" Id="rId281" /><Relationship Type="http://schemas.openxmlformats.org/officeDocument/2006/relationships/hyperlink" Target="https://github.com/RepoKing23/InstagramCarousel/tree/claude/med-spa-carousel-ideas-sim9wz/content/gbp" TargetMode="External" Id="rId282" /><Relationship Type="http://schemas.openxmlformats.org/officeDocument/2006/relationships/hyperlink" Target="https://raw.githubusercontent.com/RepoKing23/InstagramCarousel/claude/med-spa-carousel-ideas-sim9wz/content/gbp/2026-10-28-priced-by-the-syringe.jpg" TargetMode="External" Id="rId283" /><Relationship Type="http://schemas.openxmlformats.org/officeDocument/2006/relationships/hyperlink" Target="https://unsplash.com/photos/q2csrSPGM_k" TargetMode="External" Id="rId284" /><Relationship Type="http://schemas.openxmlformats.org/officeDocument/2006/relationships/hyperlink" Target="https://www.instagram.com/luxury_beauty_aestheticz/" TargetMode="External" Id="rId285" /><Relationship Type="http://schemas.openxmlformats.org/officeDocument/2006/relationships/hyperlink" Target="https://github.com/RepoKing23/InstagramCarousel/tree/claude/med-spa-carousel-ideas-sim9wz/content/gbp" TargetMode="External" Id="rId286" /><Relationship Type="http://schemas.openxmlformats.org/officeDocument/2006/relationships/hyperlink" Target="https://raw.githubusercontent.com/RepoKing23/InstagramCarousel/claude/med-spa-carousel-ideas-sim9wz/content/gbp/2026-10-29-faces-not-lines.jpg" TargetMode="External" Id="rId287" /><Relationship Type="http://schemas.openxmlformats.org/officeDocument/2006/relationships/hyperlink" Target="https://unsplash.com/photos/XGv1wuuNvYU" TargetMode="External" Id="rId288" /><Relationship Type="http://schemas.openxmlformats.org/officeDocument/2006/relationships/hyperlink" Target="https://www.instagram.com/luxury_beauty_aestheticz/" TargetMode="External" Id="rId289" /><Relationship Type="http://schemas.openxmlformats.org/officeDocument/2006/relationships/hyperlink" Target="https://github.com/RepoKing23/InstagramCarousel/tree/claude/med-spa-carousel-ideas-sim9wz/content/gbp" TargetMode="External" Id="rId290" /><Relationship Type="http://schemas.openxmlformats.org/officeDocument/2006/relationships/hyperlink" Target="https://raw.githubusercontent.com/RepoKing23/InstagramCarousel/claude/med-spa-carousel-ideas-sim9wz/content/gbp/2026-10-30-one-syringe-balanced-lips.jpg" TargetMode="External" Id="rId291" /><Relationship Type="http://schemas.openxmlformats.org/officeDocument/2006/relationships/hyperlink" Target="https://unsplash.com/photos/w6zVwAYoqWM" TargetMode="External" Id="rId292" /><Relationship Type="http://schemas.openxmlformats.org/officeDocument/2006/relationships/hyperlink" Target="https://www.instagram.com/luxury_beauty_aestheticz/" TargetMode="External" Id="rId293" /><Relationship Type="http://schemas.openxmlformats.org/officeDocument/2006/relationships/hyperlink" Target="https://github.com/RepoKing23/InstagramCarousel/tree/claude/med-spa-carousel-ideas-sim9wz/content/gbp" TargetMode="External" Id="rId294" /><Relationship Type="http://schemas.openxmlformats.org/officeDocument/2006/relationships/hyperlink" Target="https://raw.githubusercontent.com/RepoKing23/InstagramCarousel/claude/med-spa-carousel-ideas-sim9wz/content/gbp/2026-10-31-ask-anything-filler.jpg" TargetMode="External" Id="rId295" /><Relationship Type="http://schemas.openxmlformats.org/officeDocument/2006/relationships/hyperlink" Target="https://unsplash.com/photos/-FT1IVUnUd8" TargetMode="External" Id="rId296" /></Relationships>
</file>

<file path=xl/worksheets/sheet1.xml><?xml version="1.0" encoding="utf-8"?>
<worksheet xmlns="http://schemas.openxmlformats.org/spreadsheetml/2006/main">
  <sheetPr>
    <tabColor rgb="002E2A23"/>
    <outlinePr summaryBelow="1" summaryRight="1"/>
    <pageSetUpPr/>
  </sheetPr>
  <dimension ref="A1:C56"/>
  <sheetViews>
    <sheetView showGridLines="0" workbookViewId="0">
      <selection activeCell="A1" sqref="A1"/>
    </sheetView>
  </sheetViews>
  <sheetFormatPr baseColWidth="8" defaultRowHeight="15"/>
  <cols>
    <col width="3" customWidth="1" style="14" min="1" max="1"/>
    <col width="26" customWidth="1" style="14" min="2" max="2"/>
    <col width="104" customWidth="1" style="14" min="3" max="3"/>
  </cols>
  <sheetData>
    <row r="1" s="14">
      <c r="A1" s="57" t="n"/>
      <c r="B1" s="57" t="n"/>
      <c r="C1" s="57" t="n"/>
    </row>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row r="47">
      <c r="B47" s="56" t="inlineStr">
        <is>
          <t>GBP DAILY SNAPSHOT</t>
        </is>
      </c>
      <c r="C47" s="49" t="inlineStr"/>
    </row>
    <row r="48">
      <c r="B48" s="56" t="inlineStr">
        <is>
          <t>Daily posts planned</t>
        </is>
      </c>
      <c r="C48" s="49">
        <f>COUNTA('GBP Daily'!A2:A44)</f>
        <v/>
      </c>
    </row>
    <row r="49">
      <c r="B49" s="56" t="inlineStr">
        <is>
          <t>Ready to post</t>
        </is>
      </c>
      <c r="C49" s="49">
        <f>COUNTIF('GBP Daily'!P2:P44,"Ready")</f>
        <v/>
      </c>
    </row>
    <row r="50">
      <c r="B50" s="56" t="inlineStr">
        <is>
          <t>Posted</t>
        </is>
      </c>
      <c r="C50" s="49">
        <f>COUNTIF('GBP Daily'!P2:P44,"Posted")</f>
        <v/>
      </c>
    </row>
    <row r="52">
      <c r="B52" s="56" t="inlineStr">
        <is>
          <t>READING THIS FILE</t>
        </is>
      </c>
      <c r="C52" s="49" t="inlineStr"/>
    </row>
    <row r="53">
      <c r="B53" s="56" t="inlineStr">
        <is>
          <t>Shaded cells</t>
        </is>
      </c>
      <c r="C53" s="49" t="inlineStr">
        <is>
          <t>The cream shaded columns are yours to fill in: Status, Posted Link, Reach, Saves, Comments, DMs, Bookings on the schedule, and Status and Notes on GBP Daily. Everything else is generated.</t>
        </is>
      </c>
    </row>
    <row r="54">
      <c r="B54" s="56" t="inlineStr">
        <is>
          <t>Which tab wins</t>
        </is>
      </c>
      <c r="C54" s="49" t="inlineStr">
        <is>
          <t>GBP Daily is the source of truth for Google Business Profile from Aug 19 to Sep 30, one post every day. The GBP Caption, GBP CTA and GBP Image Link columns on Posting Schedule cover the Instagram posting days only, and run past Sep 30 where GBP Daily stops.</t>
        </is>
      </c>
    </row>
    <row r="55">
      <c r="B55" s="56" t="inlineStr">
        <is>
          <t>Preview column</t>
        </is>
      </c>
      <c r="C55" s="49" t="inlineStr">
        <is>
          <t>Preview uses IMAGE(), which is a Google Sheets function. It shows a live thumbnail there and an error in Excel. Open Folder, Open Image and every other link work in both.</t>
        </is>
      </c>
    </row>
    <row r="56">
      <c r="B56" s="56" t="inlineStr">
        <is>
          <t>Regenerating</t>
        </is>
      </c>
      <c r="C56" s="49" t="inlineStr">
        <is>
          <t>GBP Daily is rebuilt by design/build-gbp-daily.py from strategy/gbp-daily-content.json. Run strategy/organize-workbook.py afterwards to restore this formatting. Status and Notes survive a rebuild, matched by date; other edits to that tab do not.</t>
        </is>
      </c>
    </row>
  </sheetData>
  <pageMargins left="0.75" right="0.75" top="1" bottom="1" header="0.5" footer="0.5"/>
</worksheet>
</file>

<file path=xl/worksheets/sheet2.xml><?xml version="1.0" encoding="utf-8"?>
<worksheet xmlns="http://schemas.openxmlformats.org/spreadsheetml/2006/main">
  <sheetPr filterMode="0">
    <tabColor rgb="00C9A85C"/>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30" customHeight="1" s="14">
      <c r="A1" s="53" t="inlineStr">
        <is>
          <t>Date</t>
        </is>
      </c>
      <c r="B1" s="53" t="inlineStr">
        <is>
          <t>Day</t>
        </is>
      </c>
      <c r="C1" s="53" t="inlineStr">
        <is>
          <t>Week</t>
        </is>
      </c>
      <c r="D1" s="53" t="inlineStr">
        <is>
          <t>Month Theme</t>
        </is>
      </c>
      <c r="E1" s="53" t="inlineStr">
        <is>
          <t>Format</t>
        </is>
      </c>
      <c r="F1" s="52" t="inlineStr">
        <is>
          <t>Tone</t>
        </is>
      </c>
      <c r="G1" s="53" t="inlineStr">
        <is>
          <t>Platforms</t>
        </is>
      </c>
      <c r="H1" s="53" t="inlineStr">
        <is>
          <t>Pillar</t>
        </is>
      </c>
      <c r="I1" s="53" t="inlineStr">
        <is>
          <t>Topic &amp; Hook</t>
        </is>
      </c>
      <c r="J1" s="53" t="inlineStr">
        <is>
          <t>Caption Draft</t>
        </is>
      </c>
      <c r="K1" s="53" t="inlineStr">
        <is>
          <t>CTA</t>
        </is>
      </c>
      <c r="L1" s="53" t="inlineStr">
        <is>
          <t>Hashtag Set</t>
        </is>
      </c>
      <c r="M1" s="53" t="inlineStr">
        <is>
          <t>Visual / Asset</t>
        </is>
      </c>
      <c r="N1" s="52" t="inlineStr">
        <is>
          <t>Photo Assets</t>
        </is>
      </c>
      <c r="O1" s="52" t="inlineStr">
        <is>
          <t>Consent</t>
        </is>
      </c>
      <c r="P1" s="53" t="inlineStr">
        <is>
          <t>Folder Link</t>
        </is>
      </c>
      <c r="Q1" s="52" t="inlineStr">
        <is>
          <t>Image Link</t>
        </is>
      </c>
      <c r="R1" s="52" t="inlineStr">
        <is>
          <t>Preview</t>
        </is>
      </c>
      <c r="S1" s="53" t="inlineStr">
        <is>
          <t>Status</t>
        </is>
      </c>
      <c r="T1" s="53" t="inlineStr">
        <is>
          <t>Posted Link</t>
        </is>
      </c>
      <c r="U1" s="53" t="inlineStr">
        <is>
          <t>Reach</t>
        </is>
      </c>
      <c r="V1" s="53" t="inlineStr">
        <is>
          <t>Saves</t>
        </is>
      </c>
      <c r="W1" s="53" t="inlineStr">
        <is>
          <t>Comments</t>
        </is>
      </c>
      <c r="X1" s="53" t="inlineStr">
        <is>
          <t>DMs</t>
        </is>
      </c>
      <c r="Y1" s="53" t="inlineStr">
        <is>
          <t>Bookings</t>
        </is>
      </c>
      <c r="Z1" s="52" t="inlineStr">
        <is>
          <t>GBP Caption</t>
        </is>
      </c>
      <c r="AA1" s="52" t="inlineStr">
        <is>
          <t>GBP CTA</t>
        </is>
      </c>
      <c r="AB1" s="52"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54" t="n"/>
      <c r="U2" s="54" t="n"/>
      <c r="V2" s="54" t="n"/>
      <c r="W2" s="54" t="n"/>
      <c r="X2" s="54" t="n"/>
      <c r="Y2" s="54" t="n"/>
      <c r="Z2" s="24" t="n"/>
      <c r="AA2" s="24" t="inlineStr">
        <is>
          <t>Learn more &gt; Instagram</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54" t="n"/>
      <c r="U3" s="54" t="n"/>
      <c r="V3" s="54" t="n"/>
      <c r="W3" s="54" t="n"/>
      <c r="X3" s="54" t="n"/>
      <c r="Y3" s="54" t="n"/>
      <c r="Z3" s="24" t="n"/>
      <c r="AA3" s="24" t="inlineStr">
        <is>
          <t>Learn more &gt; Instagram</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54" t="n"/>
      <c r="U4" s="54" t="n"/>
      <c r="V4" s="54" t="n"/>
      <c r="W4" s="54" t="n"/>
      <c r="X4" s="54" t="n"/>
      <c r="Y4" s="54"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54" t="n"/>
      <c r="U5" s="54" t="n"/>
      <c r="V5" s="54" t="n"/>
      <c r="W5" s="54" t="n"/>
      <c r="X5" s="54" t="n"/>
      <c r="Y5" s="54"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54" t="n"/>
      <c r="U6" s="54" t="n"/>
      <c r="V6" s="54" t="n"/>
      <c r="W6" s="54" t="n"/>
      <c r="X6" s="54" t="n"/>
      <c r="Y6" s="54"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54" t="n"/>
      <c r="U7" s="54" t="n"/>
      <c r="V7" s="54" t="n"/>
      <c r="W7" s="54" t="n"/>
      <c r="X7" s="54" t="n"/>
      <c r="Y7" s="54"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54" t="n"/>
      <c r="U8" s="54" t="n"/>
      <c r="V8" s="54" t="n"/>
      <c r="W8" s="54" t="n"/>
      <c r="X8" s="54" t="n"/>
      <c r="Y8" s="54"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54" t="n"/>
      <c r="U9" s="54" t="n"/>
      <c r="V9" s="54" t="n"/>
      <c r="W9" s="54" t="n"/>
      <c r="X9" s="54" t="n"/>
      <c r="Y9" s="54"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54" t="n"/>
      <c r="U10" s="54" t="n"/>
      <c r="V10" s="54" t="n"/>
      <c r="W10" s="54" t="n"/>
      <c r="X10" s="54" t="n"/>
      <c r="Y10" s="54"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54" t="n"/>
      <c r="U11" s="54" t="n"/>
      <c r="V11" s="54" t="n"/>
      <c r="W11" s="54" t="n"/>
      <c r="X11" s="54" t="n"/>
      <c r="Y11" s="54"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54" t="n"/>
      <c r="U12" s="54" t="n"/>
      <c r="V12" s="54" t="n"/>
      <c r="W12" s="54" t="n"/>
      <c r="X12" s="54" t="n"/>
      <c r="Y12" s="54"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54" t="n"/>
      <c r="U13" s="54" t="n"/>
      <c r="V13" s="54" t="n"/>
      <c r="W13" s="54" t="n"/>
      <c r="X13" s="54" t="n"/>
      <c r="Y13" s="54"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54" t="n"/>
      <c r="U14" s="54" t="n"/>
      <c r="V14" s="54" t="n"/>
      <c r="W14" s="54" t="n"/>
      <c r="X14" s="54" t="n"/>
      <c r="Y14" s="54"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54" t="n"/>
      <c r="U15" s="54" t="n"/>
      <c r="V15" s="54" t="n"/>
      <c r="W15" s="54" t="n"/>
      <c r="X15" s="54" t="n"/>
      <c r="Y15" s="54"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54" t="n"/>
      <c r="U16" s="54" t="n"/>
      <c r="V16" s="54" t="n"/>
      <c r="W16" s="54" t="n"/>
      <c r="X16" s="54" t="n"/>
      <c r="Y16" s="54"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54" t="n"/>
      <c r="U17" s="54" t="n"/>
      <c r="V17" s="54" t="n"/>
      <c r="W17" s="54" t="n"/>
      <c r="X17" s="54" t="n"/>
      <c r="Y17" s="54"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54" t="n"/>
      <c r="U18" s="54" t="n"/>
      <c r="V18" s="54" t="n"/>
      <c r="W18" s="54" t="n"/>
      <c r="X18" s="54" t="n"/>
      <c r="Y18" s="54"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54" t="n"/>
      <c r="U19" s="54" t="n"/>
      <c r="V19" s="54" t="n"/>
      <c r="W19" s="54" t="n"/>
      <c r="X19" s="54" t="n"/>
      <c r="Y19" s="54"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54" t="n"/>
      <c r="U20" s="54" t="n"/>
      <c r="V20" s="54" t="n"/>
      <c r="W20" s="54" t="n"/>
      <c r="X20" s="54" t="n"/>
      <c r="Y20" s="54"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54" t="n"/>
      <c r="U21" s="54" t="n"/>
      <c r="V21" s="54" t="n"/>
      <c r="W21" s="54" t="n"/>
      <c r="X21" s="54" t="n"/>
      <c r="Y21" s="54"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54" t="n"/>
      <c r="U22" s="54" t="n"/>
      <c r="V22" s="54" t="n"/>
      <c r="W22" s="54" t="n"/>
      <c r="X22" s="54" t="n"/>
      <c r="Y22" s="54"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54" t="n"/>
      <c r="U23" s="54" t="n"/>
      <c r="V23" s="54" t="n"/>
      <c r="W23" s="54" t="n"/>
      <c r="X23" s="54" t="n"/>
      <c r="Y23" s="54"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54" t="n"/>
      <c r="U24" s="54" t="n"/>
      <c r="V24" s="54" t="n"/>
      <c r="W24" s="54" t="n"/>
      <c r="X24" s="54" t="n"/>
      <c r="Y24" s="54"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54" t="n"/>
      <c r="U25" s="54" t="n"/>
      <c r="V25" s="54" t="n"/>
      <c r="W25" s="54" t="n"/>
      <c r="X25" s="54" t="n"/>
      <c r="Y25" s="54"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54" t="n"/>
      <c r="U26" s="54" t="n"/>
      <c r="V26" s="54" t="n"/>
      <c r="W26" s="54" t="n"/>
      <c r="X26" s="54" t="n"/>
      <c r="Y26" s="54"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54" t="n"/>
      <c r="U27" s="54" t="n"/>
      <c r="V27" s="54" t="n"/>
      <c r="W27" s="54" t="n"/>
      <c r="X27" s="54" t="n"/>
      <c r="Y27" s="54"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54" t="n"/>
      <c r="U28" s="54" t="n"/>
      <c r="V28" s="54" t="n"/>
      <c r="W28" s="54" t="n"/>
      <c r="X28" s="54" t="n"/>
      <c r="Y28" s="54"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54" t="n"/>
      <c r="U29" s="54" t="n"/>
      <c r="V29" s="54" t="n"/>
      <c r="W29" s="54" t="n"/>
      <c r="X29" s="54" t="n"/>
      <c r="Y29" s="54"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54" t="n"/>
      <c r="U30" s="54" t="n"/>
      <c r="V30" s="54" t="n"/>
      <c r="W30" s="54" t="n"/>
      <c r="X30" s="54" t="n"/>
      <c r="Y30" s="54"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54" t="n"/>
      <c r="U31" s="54" t="n"/>
      <c r="V31" s="54" t="n"/>
      <c r="W31" s="54" t="n"/>
      <c r="X31" s="54" t="n"/>
      <c r="Y31" s="54"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54" t="n"/>
      <c r="U32" s="54" t="n"/>
      <c r="V32" s="54" t="n"/>
      <c r="W32" s="54" t="n"/>
      <c r="X32" s="54" t="n"/>
      <c r="Y32" s="54"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54" t="n"/>
      <c r="U33" s="54" t="n"/>
      <c r="V33" s="54" t="n"/>
      <c r="W33" s="54" t="n"/>
      <c r="X33" s="54" t="n"/>
      <c r="Y33" s="54"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54" t="n"/>
      <c r="U34" s="54" t="n"/>
      <c r="V34" s="54" t="n"/>
      <c r="W34" s="54" t="n"/>
      <c r="X34" s="54" t="n"/>
      <c r="Y34" s="54"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54" t="n"/>
      <c r="U35" s="54" t="n"/>
      <c r="V35" s="54" t="n"/>
      <c r="W35" s="54" t="n"/>
      <c r="X35" s="54" t="n"/>
      <c r="Y35" s="54"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54" t="n"/>
      <c r="U36" s="54" t="n"/>
      <c r="V36" s="54" t="n"/>
      <c r="W36" s="54" t="n"/>
      <c r="X36" s="54" t="n"/>
      <c r="Y36" s="54"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54" t="n"/>
      <c r="U37" s="54" t="n"/>
      <c r="V37" s="54" t="n"/>
      <c r="W37" s="54" t="n"/>
      <c r="X37" s="54" t="n"/>
      <c r="Y37" s="54"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54" t="n"/>
      <c r="U38" s="54" t="n"/>
      <c r="V38" s="54" t="n"/>
      <c r="W38" s="54" t="n"/>
      <c r="X38" s="54" t="n"/>
      <c r="Y38" s="54"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54" t="n"/>
      <c r="U39" s="54" t="n"/>
      <c r="V39" s="54" t="n"/>
      <c r="W39" s="54" t="n"/>
      <c r="X39" s="54" t="n"/>
      <c r="Y39" s="54"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54" t="n"/>
      <c r="U40" s="54" t="n"/>
      <c r="V40" s="54" t="n"/>
      <c r="W40" s="54" t="n"/>
      <c r="X40" s="54" t="n"/>
      <c r="Y40" s="54"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54" t="n"/>
      <c r="U41" s="54" t="n"/>
      <c r="V41" s="54" t="n"/>
      <c r="W41" s="54" t="n"/>
      <c r="X41" s="54" t="n"/>
      <c r="Y41" s="54"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54" t="n"/>
      <c r="U42" s="54" t="n"/>
      <c r="V42" s="54" t="n"/>
      <c r="W42" s="54" t="n"/>
      <c r="X42" s="54" t="n"/>
      <c r="Y42" s="54"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54" t="n"/>
      <c r="U43" s="54" t="n"/>
      <c r="V43" s="54" t="n"/>
      <c r="W43" s="54" t="n"/>
      <c r="X43" s="54" t="n"/>
      <c r="Y43" s="54"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54" t="n"/>
      <c r="U44" s="54" t="n"/>
      <c r="V44" s="54" t="n"/>
      <c r="W44" s="54" t="n"/>
      <c r="X44" s="54" t="n"/>
      <c r="Y44" s="54"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54" t="n"/>
      <c r="U45" s="54" t="n"/>
      <c r="V45" s="54" t="n"/>
      <c r="W45" s="54" t="n"/>
      <c r="X45" s="54" t="n"/>
      <c r="Y45" s="54"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54" t="n"/>
      <c r="U46" s="54" t="n"/>
      <c r="V46" s="54" t="n"/>
      <c r="W46" s="54" t="n"/>
      <c r="X46" s="54" t="n"/>
      <c r="Y46" s="54"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54" t="n"/>
      <c r="U47" s="54" t="n"/>
      <c r="V47" s="54" t="n"/>
      <c r="W47" s="54" t="n"/>
      <c r="X47" s="54" t="n"/>
      <c r="Y47" s="54"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54" t="n"/>
      <c r="U48" s="54" t="n"/>
      <c r="V48" s="54" t="n"/>
      <c r="W48" s="54" t="n"/>
      <c r="X48" s="54" t="n"/>
      <c r="Y48" s="54"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54" t="n"/>
      <c r="U49" s="54" t="n"/>
      <c r="V49" s="54" t="n"/>
      <c r="W49" s="54" t="n"/>
      <c r="X49" s="54" t="n"/>
      <c r="Y49" s="54"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54" t="n"/>
      <c r="U50" s="54" t="n"/>
      <c r="V50" s="54" t="n"/>
      <c r="W50" s="54" t="n"/>
      <c r="X50" s="54" t="n"/>
      <c r="Y50" s="54"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54" t="n"/>
      <c r="U51" s="54" t="n"/>
      <c r="V51" s="54" t="n"/>
      <c r="W51" s="54" t="n"/>
      <c r="X51" s="54" t="n"/>
      <c r="Y51" s="54"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54" t="n"/>
      <c r="U52" s="54" t="n"/>
      <c r="V52" s="54" t="n"/>
      <c r="W52" s="54" t="n"/>
      <c r="X52" s="54" t="n"/>
      <c r="Y52" s="54"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54" t="n"/>
      <c r="U53" s="54" t="n"/>
      <c r="V53" s="54" t="n"/>
      <c r="W53" s="54" t="n"/>
      <c r="X53" s="54" t="n"/>
      <c r="Y53" s="54"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54" t="n"/>
      <c r="U54" s="54" t="n"/>
      <c r="V54" s="54" t="n"/>
      <c r="W54" s="54" t="n"/>
      <c r="X54" s="54" t="n"/>
      <c r="Y54" s="54"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54" t="n"/>
      <c r="U55" s="54" t="n"/>
      <c r="V55" s="54" t="n"/>
      <c r="W55" s="54" t="n"/>
      <c r="X55" s="54" t="n"/>
      <c r="Y55" s="54"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54" t="n"/>
      <c r="U56" s="54" t="n"/>
      <c r="V56" s="54" t="n"/>
      <c r="W56" s="54" t="n"/>
      <c r="X56" s="54" t="n"/>
      <c r="Y56" s="54"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54" t="n"/>
      <c r="U57" s="54" t="n"/>
      <c r="V57" s="54" t="n"/>
      <c r="W57" s="54" t="n"/>
      <c r="X57" s="54" t="n"/>
      <c r="Y57" s="54"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54" t="n"/>
      <c r="U58" s="54" t="n"/>
      <c r="V58" s="54" t="n"/>
      <c r="W58" s="54" t="n"/>
      <c r="X58" s="54" t="n"/>
      <c r="Y58" s="54"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54" t="n"/>
      <c r="U59" s="54" t="n"/>
      <c r="V59" s="54" t="n"/>
      <c r="W59" s="54" t="n"/>
      <c r="X59" s="54" t="n"/>
      <c r="Y59" s="54"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54" t="n"/>
      <c r="U60" s="54" t="n"/>
      <c r="V60" s="54" t="n"/>
      <c r="W60" s="54" t="n"/>
      <c r="X60" s="54" t="n"/>
      <c r="Y60" s="54"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54" t="n"/>
      <c r="U61" s="54" t="n"/>
      <c r="V61" s="54" t="n"/>
      <c r="W61" s="54" t="n"/>
      <c r="X61" s="54" t="n"/>
      <c r="Y61" s="54"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54" t="n"/>
      <c r="U62" s="54" t="n"/>
      <c r="V62" s="54" t="n"/>
      <c r="W62" s="54" t="n"/>
      <c r="X62" s="54" t="n"/>
      <c r="Y62" s="54"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54" t="n"/>
      <c r="U63" s="54" t="n"/>
      <c r="V63" s="54" t="n"/>
      <c r="W63" s="54" t="n"/>
      <c r="X63" s="54" t="n"/>
      <c r="Y63" s="54"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54" t="n"/>
      <c r="U64" s="54" t="n"/>
      <c r="V64" s="54" t="n"/>
      <c r="W64" s="54" t="n"/>
      <c r="X64" s="54" t="n"/>
      <c r="Y64" s="54"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54" t="n"/>
      <c r="U65" s="54" t="n"/>
      <c r="V65" s="54" t="n"/>
      <c r="W65" s="54" t="n"/>
      <c r="X65" s="54" t="n"/>
      <c r="Y65" s="54"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54" t="n"/>
      <c r="U66" s="54" t="n"/>
      <c r="V66" s="54" t="n"/>
      <c r="W66" s="54" t="n"/>
      <c r="X66" s="54" t="n"/>
      <c r="Y66" s="54" t="n"/>
      <c r="Z66" s="24" t="n"/>
      <c r="AA66" s="24" t="n"/>
      <c r="AB66" s="24" t="inlineStr">
        <is>
          <t>Not designed yet</t>
        </is>
      </c>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Q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c r="A1" s="39" t="inlineStr">
        <is>
          <t>Date</t>
        </is>
      </c>
      <c r="B1" s="39" t="inlineStr">
        <is>
          <t>Day</t>
        </is>
      </c>
      <c r="C1" s="39" t="inlineStr">
        <is>
          <t>Source</t>
        </is>
      </c>
      <c r="D1" s="39" t="inlineStr">
        <is>
          <t>Pillar</t>
        </is>
      </c>
      <c r="E1" s="39" t="inlineStr">
        <is>
          <t>Post Text (short)</t>
        </is>
      </c>
      <c r="F1" s="39" t="inlineStr">
        <is>
          <t>Chars</t>
        </is>
      </c>
      <c r="G1" s="39" t="inlineStr">
        <is>
          <t>Description (long, SEO)</t>
        </is>
      </c>
      <c r="H1" s="39" t="inlineStr">
        <is>
          <t>Desc Chars</t>
        </is>
      </c>
      <c r="I1" s="39" t="inlineStr">
        <is>
          <t>CTA Button</t>
        </is>
      </c>
      <c r="J1" s="39" t="inlineStr">
        <is>
          <t>CTA Link</t>
        </is>
      </c>
      <c r="K1" s="39" t="inlineStr">
        <is>
          <t>Image File</t>
        </is>
      </c>
      <c r="L1" s="39" t="inlineStr">
        <is>
          <t>Open Folder</t>
        </is>
      </c>
      <c r="M1" s="39" t="inlineStr">
        <is>
          <t>Open Image</t>
        </is>
      </c>
      <c r="N1" s="39" t="inlineStr">
        <is>
          <t>Preview</t>
        </is>
      </c>
      <c r="O1" s="39" t="inlineStr">
        <is>
          <t>Photo Credit</t>
        </is>
      </c>
      <c r="P1" s="39" t="inlineStr">
        <is>
          <t>Status</t>
        </is>
      </c>
      <c r="Q1" s="39"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42"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46"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Masum Rahimi / Unsplash</t>
        </is>
      </c>
      <c r="P4" s="45" t="inlineStr">
        <is>
          <t>Ready</t>
        </is>
      </c>
      <c r="Q4" s="46"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46"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42"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46"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Vitaliy Shevchenko / Unsplash</t>
        </is>
      </c>
      <c r="P8" s="45" t="inlineStr">
        <is>
          <t>Ready</t>
        </is>
      </c>
      <c r="Q8" s="46"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42"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46"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46"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46"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Elist Nguyen / Unsplash</t>
        </is>
      </c>
      <c r="P13" s="41" t="inlineStr">
        <is>
          <t>Ready</t>
        </is>
      </c>
      <c r="Q13" s="42"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46"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46"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Look Studio / Unsplash</t>
        </is>
      </c>
      <c r="P16" s="41" t="inlineStr">
        <is>
          <t>Ready</t>
        </is>
      </c>
      <c r="Q16" s="42"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Soheil Kmp / Unsplash</t>
        </is>
      </c>
      <c r="P17" s="45" t="inlineStr">
        <is>
          <t>Ready</t>
        </is>
      </c>
      <c r="Q17" s="46"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46"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46"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Ionela Mat / Unsplash</t>
        </is>
      </c>
      <c r="P20" s="41" t="inlineStr">
        <is>
          <t>Ready</t>
        </is>
      </c>
      <c r="Q20" s="42"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Neda Vidakovic / Unsplash</t>
        </is>
      </c>
      <c r="P21" s="45" t="inlineStr">
        <is>
          <t>Ready</t>
        </is>
      </c>
      <c r="Q21" s="46"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Vitaliy Shevchenko / Unsplash</t>
        </is>
      </c>
      <c r="P22" s="45" t="inlineStr">
        <is>
          <t>Ready</t>
        </is>
      </c>
      <c r="Q22" s="46"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Soheil Kmp / Unsplash</t>
        </is>
      </c>
      <c r="P23" s="41" t="inlineStr">
        <is>
          <t>Ready</t>
        </is>
      </c>
      <c r="Q23" s="42"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Masum Rahimi / Unsplash</t>
        </is>
      </c>
      <c r="P24" s="45" t="inlineStr">
        <is>
          <t>Ready</t>
        </is>
      </c>
      <c r="Q24" s="46"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46"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46"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42"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Fleur Kaan / Unsplash</t>
        </is>
      </c>
      <c r="P28" s="45" t="inlineStr">
        <is>
          <t>Ready</t>
        </is>
      </c>
      <c r="Q28" s="46"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Fleur Kaan / Unsplash</t>
        </is>
      </c>
      <c r="P29" s="45" t="inlineStr">
        <is>
          <t>Ready</t>
        </is>
      </c>
      <c r="Q29" s="46"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Wco Global / Unsplash</t>
        </is>
      </c>
      <c r="P30" s="41" t="inlineStr">
        <is>
          <t>Ready</t>
        </is>
      </c>
      <c r="Q30" s="42"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46"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46"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46"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42"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46"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46"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42"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46"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46"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Elist Nguyen / Unsplash</t>
        </is>
      </c>
      <c r="P40" s="45" t="inlineStr">
        <is>
          <t>Ready</t>
        </is>
      </c>
      <c r="Q40" s="46"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42"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 Botox seems to be fading faster than it used to, the usual answer is that the dose is no longer right rather than any resistance to the product. Month by month timeline on Instagram.</t>
        </is>
      </c>
      <c r="H42" s="45" t="n">
        <v>693</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Zac Taheriyan / Unsplash</t>
        </is>
      </c>
      <c r="P42" s="45" t="inlineStr">
        <is>
          <t>Ready</t>
        </is>
      </c>
      <c r="Q42" s="46"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Zulfugar Karimov / Unsplash</t>
        </is>
      </c>
      <c r="P43" s="45" t="inlineStr">
        <is>
          <t>Ready</t>
        </is>
      </c>
      <c r="Q43" s="46"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42" t="inlineStr"/>
    </row>
    <row r="45" ht="132" customHeight="1" s="14">
      <c r="A45" s="51" t="n">
        <v>46296</v>
      </c>
      <c r="B45" s="45" t="inlineStr">
        <is>
          <t>Thu</t>
        </is>
      </c>
      <c r="C45" s="45" t="inlineStr">
        <is>
          <t>IG: Why We Sometimes Say No</t>
        </is>
      </c>
      <c r="D45" s="45" t="inlineStr">
        <is>
          <t>Trust &amp; Proof</t>
        </is>
      </c>
      <c r="E45" s="46" t="inlineStr">
        <is>
          <t>I have turned people away from filler and had them thank me later. Some faces do not need it, and some do not need it yet. Candidacy is part of the assessment, not a step on the way to a sale. The full post is on Instagram.</t>
        </is>
      </c>
      <c r="F45" s="45" t="n">
        <v>223</v>
      </c>
      <c r="G45" s="46" t="inlineStr">
        <is>
          <t>I have turned people away from filler, and they thanked me later.
Some faces do not need it. Some do not need it yet. And some are asking filler to fix something filler does not fix, usually skin quality or a heavy lower face that needs a different plan entirely. Saying yes to all three is easy. It is also how people end up with a result that never sat right and money spent twice.
Candidacy is part of the assessment at our Oakville studio, not a step on the way to a sale. If I do not think you will be happy in six months, I will tell you at the consult and it costs you nothing.
A provider who has never said no to anyone is telling you something. The full post is on Instagram.</t>
        </is>
      </c>
      <c r="H45" s="45" t="n">
        <v>687</v>
      </c>
      <c r="I45" s="45" t="inlineStr">
        <is>
          <t>Learn more</t>
        </is>
      </c>
      <c r="J45" s="47" t="inlineStr">
        <is>
          <t>@luxury_beauty_aestheticz</t>
        </is>
      </c>
      <c r="K45" s="45" t="inlineStr">
        <is>
          <t>2026-10-01-why-i-say-no.jpg</t>
        </is>
      </c>
      <c r="L45" s="47" t="inlineStr">
        <is>
          <t>Open folder</t>
        </is>
      </c>
      <c r="M45" s="47" t="inlineStr">
        <is>
          <t>Open image</t>
        </is>
      </c>
      <c r="N45" s="45">
        <f>IMAGE("https://raw.githubusercontent.com/RepoKing23/InstagramCarousel/claude/med-spa-carousel-ideas-sim9wz/content/gbp/2026-10-01-why-i-say-no.jpg")</f>
        <v/>
      </c>
      <c r="O45" s="47" t="inlineStr">
        <is>
          <t>Look Studio / Unsplash</t>
        </is>
      </c>
      <c r="P45" s="45" t="inlineStr">
        <is>
          <t>Ready</t>
        </is>
      </c>
      <c r="Q45" s="46" t="inlineStr"/>
    </row>
    <row r="46" ht="132" customHeight="1" s="14">
      <c r="A46" s="51" t="n">
        <v>46297</v>
      </c>
      <c r="B46" s="45" t="inlineStr">
        <is>
          <t>Fri</t>
        </is>
      </c>
      <c r="C46" s="45" t="inlineStr">
        <is>
          <t>IG: What I Tell Every First-Timer</t>
        </is>
      </c>
      <c r="D46" s="45" t="inlineStr">
        <is>
          <t>Trust &amp; Proof</t>
        </is>
      </c>
      <c r="E46" s="46" t="inlineStr">
        <is>
          <t>The same four things I tell every first time filler client. Start smaller than you think, judge it at two weeks, swelling is not your result, and you can always add. Nobody regrets going conservative first. On Instagram.</t>
        </is>
      </c>
      <c r="F46" s="45" t="n">
        <v>220</v>
      </c>
      <c r="G46" s="46" t="inlineStr">
        <is>
          <t>Four things I tell every first time filler client in Oakville, before anything is opened.
Start smaller than you think. A partial syringe is a real option and a good one. Judge it at two weeks, not at day two, because what you see in the first 48 hours is swelling and not your result. Nothing about the first appointment has to be the final answer, since we can add at the review.
And the last one, which matters most: tell me what you actually want to look like, not which treatment you think you want. The plan is my job. The goal is yours.
Nobody has ever regretted going conservative on their first syringe. Book a consult, or read the full post on Instagram.</t>
        </is>
      </c>
      <c r="H46" s="45" t="n">
        <v>667</v>
      </c>
      <c r="I46" s="45" t="inlineStr">
        <is>
          <t>Learn more</t>
        </is>
      </c>
      <c r="J46" s="47" t="inlineStr">
        <is>
          <t>@luxury_beauty_aestheticz</t>
        </is>
      </c>
      <c r="K46" s="45" t="inlineStr">
        <is>
          <t>2026-10-02-every-first-timer.jpg</t>
        </is>
      </c>
      <c r="L46" s="47" t="inlineStr">
        <is>
          <t>Open folder</t>
        </is>
      </c>
      <c r="M46" s="47" t="inlineStr">
        <is>
          <t>Open image</t>
        </is>
      </c>
      <c r="N46" s="45">
        <f>IMAGE("https://raw.githubusercontent.com/RepoKing23/InstagramCarousel/claude/med-spa-carousel-ideas-sim9wz/content/gbp/2026-10-02-every-first-timer.jpg")</f>
        <v/>
      </c>
      <c r="O46" s="47" t="inlineStr">
        <is>
          <t>karelys Ruiz / Unsplash</t>
        </is>
      </c>
      <c r="P46" s="45" t="inlineStr">
        <is>
          <t>Ready</t>
        </is>
      </c>
      <c r="Q46" s="46" t="inlineStr"/>
    </row>
    <row r="47" ht="132" customHeight="1" s="14">
      <c r="A47" s="51" t="n">
        <v>46298</v>
      </c>
      <c r="B47" s="45" t="inlineStr">
        <is>
          <t>Sat</t>
        </is>
      </c>
      <c r="C47" s="45" t="inlineStr">
        <is>
          <t>IG: Quote: No Is Protection</t>
        </is>
      </c>
      <c r="D47" s="45" t="inlineStr">
        <is>
          <t>Trust &amp; Proof</t>
        </is>
      </c>
      <c r="E47" s="46" t="inlineStr">
        <is>
          <t>No is protection. It is the most underrated part of good injecting and the hardest thing to hear from someone you were ready to pay. A provider willing to lose the booking is the one worth booking. More on Instagram.</t>
        </is>
      </c>
      <c r="F47" s="45" t="n">
        <v>216</v>
      </c>
      <c r="G47" s="46" t="inlineStr">
        <is>
          <t>No is protection. It is the most underrated part of good injecting.
It is also the hardest thing to hear from a provider you were already prepared to pay. Nobody arrives at a consult hoping to be told to wait, or to be told the thing they read about is not the thing their face needs. But the alternative is worse, and it is the reason a certain kind of result is recognisable across a room.
A nurse practitioner willing to lose the booking is the one worth booking. That is the whole of it.
If you have been told yes to everything you have ever asked for, that is not a compliment to your face. It is information about the person holding the syringe. More on Instagram, or come and ask in Oakville.</t>
        </is>
      </c>
      <c r="H47" s="45" t="n">
        <v>702</v>
      </c>
      <c r="I47" s="45" t="inlineStr">
        <is>
          <t>Learn more</t>
        </is>
      </c>
      <c r="J47" s="47" t="inlineStr">
        <is>
          <t>@luxury_beauty_aestheticz</t>
        </is>
      </c>
      <c r="K47" s="45" t="inlineStr">
        <is>
          <t>2026-10-03-no-is-protection.jpg</t>
        </is>
      </c>
      <c r="L47" s="47" t="inlineStr">
        <is>
          <t>Open folder</t>
        </is>
      </c>
      <c r="M47" s="47" t="inlineStr">
        <is>
          <t>Open image</t>
        </is>
      </c>
      <c r="N47" s="45">
        <f>IMAGE("https://raw.githubusercontent.com/RepoKing23/InstagramCarousel/claude/med-spa-carousel-ideas-sim9wz/content/gbp/2026-10-03-no-is-protection.jpg")</f>
        <v/>
      </c>
      <c r="O47" s="47" t="inlineStr">
        <is>
          <t>engin akyurt / Unsplash</t>
        </is>
      </c>
      <c r="P47" s="45" t="inlineStr">
        <is>
          <t>Ready</t>
        </is>
      </c>
      <c r="Q47" s="46" t="inlineStr"/>
    </row>
    <row r="48" ht="132" customHeight="1" s="14">
      <c r="A48" s="50" t="n">
        <v>46299</v>
      </c>
      <c r="B48" s="41" t="inlineStr">
        <is>
          <t>Sun</t>
        </is>
      </c>
      <c r="C48" s="41" t="inlineStr">
        <is>
          <t>GBP only</t>
        </is>
      </c>
      <c r="D48" s="41" t="inlineStr">
        <is>
          <t>Education</t>
        </is>
      </c>
      <c r="E48" s="42" t="inlineStr">
        <is>
          <t>The honest answer on filler safety. The fillers I use are hyaluronic acid, which the body already makes and which can be dissolved if a result is not right. Safety comes from the injector, the assessment and the anatomy. More on Instagram.</t>
        </is>
      </c>
      <c r="F48" s="41" t="n">
        <v>239</v>
      </c>
      <c r="G48" s="42" t="inlineStr">
        <is>
          <t>The honest answer on filler safety, without the sales gloss.
The fillers used at the Oakville studio are hyaluronic acid, a substance the body already makes. That matters for one specific reason: it can be dissolved. If a result is not right, or settles unevenly, there is a way back. That is not true of every product on the market, which is exactly why I use these ones.
The real safety question is not the product, it is the person holding the syringe and whether they know the anatomy underneath. Filler goes near vessels. Placement is the whole job.
Injections here are done by a nurse practitioner and never delegated. Bring your questions to the consult, including the uncomfortable ones.</t>
        </is>
      </c>
      <c r="H48" s="41" t="n">
        <v>698</v>
      </c>
      <c r="I48" s="41" t="inlineStr">
        <is>
          <t>Learn more</t>
        </is>
      </c>
      <c r="J48" s="43" t="inlineStr">
        <is>
          <t>@luxury_beauty_aestheticz</t>
        </is>
      </c>
      <c r="K48" s="41" t="inlineStr">
        <is>
          <t>2026-10-04-is-filler-safe.jpg</t>
        </is>
      </c>
      <c r="L48" s="43" t="inlineStr">
        <is>
          <t>Open folder</t>
        </is>
      </c>
      <c r="M48" s="43" t="inlineStr">
        <is>
          <t>Open image</t>
        </is>
      </c>
      <c r="N48" s="41">
        <f>IMAGE("https://raw.githubusercontent.com/RepoKing23/InstagramCarousel/claude/med-spa-carousel-ideas-sim9wz/content/gbp/2026-10-04-is-filler-safe.jpg")</f>
        <v/>
      </c>
      <c r="O48" s="43" t="inlineStr">
        <is>
          <t>Look Studio / Unsplash</t>
        </is>
      </c>
      <c r="P48" s="41" t="inlineStr">
        <is>
          <t>Ready</t>
        </is>
      </c>
      <c r="Q48" s="42" t="inlineStr"/>
    </row>
    <row r="49" ht="132" customHeight="1" s="14">
      <c r="A49" s="51" t="n">
        <v>46300</v>
      </c>
      <c r="B49" s="45" t="inlineStr">
        <is>
          <t>Mon</t>
        </is>
      </c>
      <c r="C49" s="45" t="inlineStr">
        <is>
          <t>IG: Filler Won't Make You Look Fake</t>
        </is>
      </c>
      <c r="D49" s="45" t="inlineStr">
        <is>
          <t>Education</t>
        </is>
      </c>
      <c r="E49" s="46" t="inlineStr">
        <is>
          <t>Filler is not what makes a face look fake. Volume in the wrong place, too much at once, and treating one feature while ignoring the rest are what make a face look done. The technique is the variable, not the product. On Instagram.</t>
        </is>
      </c>
      <c r="F49" s="45" t="n">
        <v>230</v>
      </c>
      <c r="G49" s="46" t="inlineStr">
        <is>
          <t>Filler does not make a face look fake. Technique does.
The three things that actually cause it: too much product at one sitting, product placed in the wrong plane or the wrong compartment, and chasing one feature while the rest of the face is ignored. Lips built on a face that has lost midface support will always read as lips first, no matter how carefully they are shaped.
This is why the assessment looks at the whole face even when you came in asking about one part of it. Balance is the point, and volume is only ever a means to it.
The results people admire and cannot identify are filler too. You just never got told. See the full carousel on Instagram, or book an assessment in Oakville.</t>
        </is>
      </c>
      <c r="H49" s="45" t="n">
        <v>699</v>
      </c>
      <c r="I49" s="45" t="inlineStr">
        <is>
          <t>Learn more</t>
        </is>
      </c>
      <c r="J49" s="47" t="inlineStr">
        <is>
          <t>@luxury_beauty_aestheticz</t>
        </is>
      </c>
      <c r="K49" s="45" t="inlineStr">
        <is>
          <t>2026-10-05-fake-is-not-the-filler.jpg</t>
        </is>
      </c>
      <c r="L49" s="47" t="inlineStr">
        <is>
          <t>Open folder</t>
        </is>
      </c>
      <c r="M49" s="47" t="inlineStr">
        <is>
          <t>Open image</t>
        </is>
      </c>
      <c r="N49" s="45">
        <f>IMAGE("https://raw.githubusercontent.com/RepoKing23/InstagramCarousel/claude/med-spa-carousel-ideas-sim9wz/content/gbp/2026-10-05-fake-is-not-the-filler.jpg")</f>
        <v/>
      </c>
      <c r="O49" s="47" t="inlineStr">
        <is>
          <t>JEaLiFe Pictures / Unsplash</t>
        </is>
      </c>
      <c r="P49" s="45" t="inlineStr">
        <is>
          <t>Ready</t>
        </is>
      </c>
      <c r="Q49" s="46" t="inlineStr"/>
    </row>
    <row r="50" ht="132" customHeight="1" s="14">
      <c r="A50" s="51" t="n">
        <v>46301</v>
      </c>
      <c r="B50" s="45" t="inlineStr">
        <is>
          <t>Tue</t>
        </is>
      </c>
      <c r="C50" s="45" t="inlineStr">
        <is>
          <t>IG: Service Spotlight: Dermal Filler</t>
        </is>
      </c>
      <c r="D50" s="45" t="inlineStr">
        <is>
          <t>Education</t>
        </is>
      </c>
      <c r="E50" s="46" t="inlineStr">
        <is>
          <t>Dermal filler, plainly. It replaces volume the face has lost or shapes what was always a little short, which is a different job from Botox. Lips, cheeks, chin and jawline, injected by a nurse practitioner in Oakville. See the spotlight on Instagram.</t>
        </is>
      </c>
      <c r="F50" s="45" t="n">
        <v>249</v>
      </c>
      <c r="G50" s="46" t="inlineStr">
        <is>
          <t>Dermal filler, explained plainly, because it gets confused with Botox constantly.
Botox relaxes muscle, so it softens lines that movement creates. Filler adds structure, so it replaces volume the face has lost or shapes what was always a little short. Different problems, different tools, and plenty of faces need neither yet.
At the Oakville studio I treat lips, cheeks, chin and jawline with hyaluronic acid filler, injected by a nurse practitioner and never delegated to anyone else.
Most first appointments are one syringe or less. Results are visible immediately, settle over about two weeks, and last somewhere between six and eighteen months depending on the area and how your body handles it. See the spotlight on Instagram.</t>
        </is>
      </c>
      <c r="H50" s="45" t="n">
        <v>735</v>
      </c>
      <c r="I50" s="45" t="inlineStr">
        <is>
          <t>Learn more</t>
        </is>
      </c>
      <c r="J50" s="47" t="inlineStr">
        <is>
          <t>@luxury_beauty_aestheticz</t>
        </is>
      </c>
      <c r="K50" s="45" t="inlineStr">
        <is>
          <t>2026-10-06-spotlight-dermal-filler.jpg</t>
        </is>
      </c>
      <c r="L50" s="47" t="inlineStr">
        <is>
          <t>Open folder</t>
        </is>
      </c>
      <c r="M50" s="47" t="inlineStr">
        <is>
          <t>Open image</t>
        </is>
      </c>
      <c r="N50" s="45">
        <f>IMAGE("https://raw.githubusercontent.com/RepoKing23/InstagramCarousel/claude/med-spa-carousel-ideas-sim9wz/content/gbp/2026-10-06-spotlight-dermal-filler.jpg")</f>
        <v/>
      </c>
      <c r="O50" s="47" t="inlineStr">
        <is>
          <t>Elist Nguyen / Unsplash</t>
        </is>
      </c>
      <c r="P50" s="45" t="inlineStr">
        <is>
          <t>Ready</t>
        </is>
      </c>
      <c r="Q50" s="46" t="inlineStr"/>
    </row>
    <row r="51" ht="132" customHeight="1" s="14">
      <c r="A51" s="50" t="n">
        <v>46302</v>
      </c>
      <c r="B51" s="41" t="inlineStr">
        <is>
          <t>Wed</t>
        </is>
      </c>
      <c r="C51" s="41" t="inlineStr">
        <is>
          <t>GBP only</t>
        </is>
      </c>
      <c r="D51" s="41" t="inlineStr">
        <is>
          <t>Trust &amp; Proof</t>
        </is>
      </c>
      <c r="E51" s="42" t="inlineStr">
        <is>
          <t>What a filler consult includes at our Oakville studio. A full face assessment, your history and medications, an honest read on candidacy, a plan with an area and an amount, and a price before anything is opened. You can leave without booking.</t>
        </is>
      </c>
      <c r="F51" s="41" t="n">
        <v>242</v>
      </c>
      <c r="G51" s="42" t="inlineStr">
        <is>
          <t>What a filler consult includes, before anything is opened.
We start with what is bothering you, in your words. Then a full face assessment, because the answer is often not where the complaint is. Then your health history and medications, since blood thinners and a few other things change the plan and the bruising risk.
You leave with an area, an amount, a price and a realistic idea of what it will and will not do. If the honest answer is not yet, or not this, you get that instead, and it costs you nothing.
No product is opened until you have agreed to the plan and the price. Nobody is talked into anything in this room. The studio is on Preserve Dr in Oakville, with free parking at the door.</t>
        </is>
      </c>
      <c r="H51" s="41" t="n">
        <v>702</v>
      </c>
      <c r="I51" s="41" t="inlineStr">
        <is>
          <t>Learn more</t>
        </is>
      </c>
      <c r="J51" s="43" t="inlineStr">
        <is>
          <t>@luxury_beauty_aestheticz</t>
        </is>
      </c>
      <c r="K51" s="41" t="inlineStr">
        <is>
          <t>2026-10-07-before-the-syringe.jpg</t>
        </is>
      </c>
      <c r="L51" s="43" t="inlineStr">
        <is>
          <t>Open folder</t>
        </is>
      </c>
      <c r="M51" s="43" t="inlineStr">
        <is>
          <t>Open image</t>
        </is>
      </c>
      <c r="N51" s="41">
        <f>IMAGE("https://raw.githubusercontent.com/RepoKing23/InstagramCarousel/claude/med-spa-carousel-ideas-sim9wz/content/gbp/2026-10-07-before-the-syringe.jpg")</f>
        <v/>
      </c>
      <c r="O51" s="43" t="inlineStr">
        <is>
          <t>Rosa Rafael / Unsplash</t>
        </is>
      </c>
      <c r="P51" s="41" t="inlineStr">
        <is>
          <t>Ready</t>
        </is>
      </c>
      <c r="Q51" s="42" t="inlineStr"/>
    </row>
    <row r="52" ht="132" customHeight="1" s="14">
      <c r="A52" s="51" t="n">
        <v>46303</v>
      </c>
      <c r="B52" s="45" t="inlineStr">
        <is>
          <t>Thu</t>
        </is>
      </c>
      <c r="C52" s="45" t="inlineStr">
        <is>
          <t>IG: Lip Filler: Natural vs Overdone</t>
        </is>
      </c>
      <c r="D52" s="45" t="inlineStr">
        <is>
          <t>Education</t>
        </is>
      </c>
      <c r="E52" s="46" t="inlineStr">
        <is>
          <t>Natural versus overdone lips, side by side. The difference is ratio and shape, not the brand of filler. Respect the border, keep the lower fuller than the upper, and stop before it is obvious. Shared with client consent on Instagram.</t>
        </is>
      </c>
      <c r="F52" s="45" t="n">
        <v>233</v>
      </c>
      <c r="G52" s="46" t="inlineStr">
        <is>
          <t>Natural or overdone. The difference is ratio and shape, not the product.
A lip that reads as natural keeps its border, keeps the lower lip fuller than the upper, and keeps the height of the upper lip in proportion to the space above it. A lip that reads as done usually broke one of those three, most often by filling past the border or by adding volume that the lip could not carry.
Amount matters less than people assume. I have seen a full syringe look untouched and half of one look obvious, and the variable both times was placement.
The lip filler work worth showing is the kind nobody identifies as work. Real examples, shared with client consent, are on Instagram. Assessments in Oakville.</t>
        </is>
      </c>
      <c r="H52" s="45" t="n">
        <v>700</v>
      </c>
      <c r="I52" s="45" t="inlineStr">
        <is>
          <t>Learn more</t>
        </is>
      </c>
      <c r="J52" s="47" t="inlineStr">
        <is>
          <t>@luxury_beauty_aestheticz</t>
        </is>
      </c>
      <c r="K52" s="45" t="inlineStr">
        <is>
          <t>2026-10-08-natural-or-overdone.jpg</t>
        </is>
      </c>
      <c r="L52" s="47" t="inlineStr">
        <is>
          <t>Open folder</t>
        </is>
      </c>
      <c r="M52" s="47" t="inlineStr">
        <is>
          <t>Open image</t>
        </is>
      </c>
      <c r="N52" s="45">
        <f>IMAGE("https://raw.githubusercontent.com/RepoKing23/InstagramCarousel/claude/med-spa-carousel-ideas-sim9wz/content/gbp/2026-10-08-natural-or-overdone.jpg")</f>
        <v/>
      </c>
      <c r="O52" s="47" t="inlineStr">
        <is>
          <t>Fleur Kaan / Unsplash</t>
        </is>
      </c>
      <c r="P52" s="45" t="inlineStr">
        <is>
          <t>Ready</t>
        </is>
      </c>
      <c r="Q52" s="46" t="inlineStr"/>
    </row>
    <row r="53" ht="132" customHeight="1" s="14">
      <c r="A53" s="51" t="n">
        <v>46304</v>
      </c>
      <c r="B53" s="45" t="inlineStr">
        <is>
          <t>Fri</t>
        </is>
      </c>
      <c r="C53" s="45" t="inlineStr">
        <is>
          <t>IG: Inside the Filler Appointment</t>
        </is>
      </c>
      <c r="D53" s="45" t="inlineStr">
        <is>
          <t>Personality &amp; BTS</t>
        </is>
      </c>
      <c r="E53" s="46" t="inlineStr">
        <is>
          <t>What a filler appointment actually looks like. Photos, numbing cream for around twenty minutes, mapping while it works, then injecting in small increments with a mirror check as we go. About forty five minutes door to door. On Instagram.</t>
        </is>
      </c>
      <c r="F53" s="45" t="n">
        <v>237</v>
      </c>
      <c r="G53" s="46" t="inlineStr">
        <is>
          <t>What a filler appointment actually looks like, start to finish.
Photos first, because memory is unreliable and you will want the comparison. Numbing cream for about twenty minutes, and I map the face while it works. Then the injecting, done in small increments with a mirror in your hand at the checkpoints, not one long uninterrupted run.
Most of the appointment is not the needle. Around forty five minutes door to door for a single area, and you leave with ice, aftercare in writing and my number.
The part people are surprised by is how much talking there is in the middle of it. Adjusting as we go is not indecision, it is how a symmetrical result happens. Come and see the room on Instagram, or book in Oakville.</t>
        </is>
      </c>
      <c r="H53" s="45" t="n">
        <v>721</v>
      </c>
      <c r="I53" s="45" t="inlineStr">
        <is>
          <t>Learn more</t>
        </is>
      </c>
      <c r="J53" s="47" t="inlineStr">
        <is>
          <t>@luxury_beauty_aestheticz</t>
        </is>
      </c>
      <c r="K53" s="45" t="inlineStr">
        <is>
          <t>2026-10-09-inside-the-appointment.jpg</t>
        </is>
      </c>
      <c r="L53" s="47" t="inlineStr">
        <is>
          <t>Open folder</t>
        </is>
      </c>
      <c r="M53" s="47" t="inlineStr">
        <is>
          <t>Open image</t>
        </is>
      </c>
      <c r="N53" s="45">
        <f>IMAGE("https://raw.githubusercontent.com/RepoKing23/InstagramCarousel/claude/med-spa-carousel-ideas-sim9wz/content/gbp/2026-10-09-inside-the-appointment.jpg")</f>
        <v/>
      </c>
      <c r="O53" s="47" t="inlineStr">
        <is>
          <t>Anuruddha Lokuhapuarachchi / Unsplash</t>
        </is>
      </c>
      <c r="P53" s="45" t="inlineStr">
        <is>
          <t>Ready</t>
        </is>
      </c>
      <c r="Q53" s="46" t="inlineStr"/>
    </row>
    <row r="54" ht="132" customHeight="1" s="14">
      <c r="A54" s="51" t="n">
        <v>46305</v>
      </c>
      <c r="B54" s="45" t="inlineStr">
        <is>
          <t>Sat</t>
        </is>
      </c>
      <c r="C54" s="45" t="inlineStr">
        <is>
          <t>IG: Subtle Is the New Dramatic</t>
        </is>
      </c>
      <c r="D54" s="45" t="inlineStr">
        <is>
          <t>Trust &amp; Proof</t>
        </is>
      </c>
      <c r="E54" s="46" t="inlineStr">
        <is>
          <t>Subtle is not a compromise, it is the goal. If the first thing anyone notices about your face is the filler, something in the plan was wrong. A real result, shared with client consent, is on Instagram.</t>
        </is>
      </c>
      <c r="F54" s="45" t="n">
        <v>201</v>
      </c>
      <c r="G54" s="46" t="inlineStr">
        <is>
          <t>Subtle is not a compromise. It is the goal.
The dramatic result is easy. Anyone can add volume until a change is undeniable. The difficult version is the one where your face looks rested and balanced and nobody can name what changed, which takes restraint, an honest read of proportion, and a willingness to stop early.
If the first thing people notice about you is your filler, the plan was wrong before the needle came out.
This is the standard everything at the Oakville studio is held to. Half a syringe placed properly beats a full one placed to be seen, every single time. A real result, shared with the client's consent, is on Instagram. Assessments for lips, cheeks and jawline are booked the same way.</t>
        </is>
      </c>
      <c r="H54" s="45" t="n">
        <v>713</v>
      </c>
      <c r="I54" s="45" t="inlineStr">
        <is>
          <t>Learn more</t>
        </is>
      </c>
      <c r="J54" s="47" t="inlineStr">
        <is>
          <t>@luxury_beauty_aestheticz</t>
        </is>
      </c>
      <c r="K54" s="45" t="inlineStr">
        <is>
          <t>2026-10-10-subtle-is-the-point.jpg</t>
        </is>
      </c>
      <c r="L54" s="47" t="inlineStr">
        <is>
          <t>Open folder</t>
        </is>
      </c>
      <c r="M54" s="47" t="inlineStr">
        <is>
          <t>Open image</t>
        </is>
      </c>
      <c r="N54" s="45">
        <f>IMAGE("https://raw.githubusercontent.com/RepoKing23/InstagramCarousel/claude/med-spa-carousel-ideas-sim9wz/content/gbp/2026-10-10-subtle-is-the-point.jpg")</f>
        <v/>
      </c>
      <c r="O54" s="47" t="inlineStr">
        <is>
          <t>Fleur Kaan / Unsplash</t>
        </is>
      </c>
      <c r="P54" s="45" t="inlineStr">
        <is>
          <t>Ready</t>
        </is>
      </c>
      <c r="Q54" s="46" t="inlineStr"/>
    </row>
    <row r="55" ht="132" customHeight="1" s="14">
      <c r="A55" s="50" t="n">
        <v>46306</v>
      </c>
      <c r="B55" s="41" t="inlineStr">
        <is>
          <t>Sun</t>
        </is>
      </c>
      <c r="C55" s="41" t="inlineStr">
        <is>
          <t>GBP only</t>
        </is>
      </c>
      <c r="D55" s="41" t="inlineStr">
        <is>
          <t>Trust &amp; Proof</t>
        </is>
      </c>
      <c r="E55" s="42" t="inlineStr">
        <is>
          <t>We are at 3060 Preserve Dr in Oakville, a private studio rather than a clinic floor, with free parking at the door. Clients come from Burlington, Milton and Mississauga for Botox and filler. Appointment only, evenings available.</t>
        </is>
      </c>
      <c r="F55" s="41" t="n">
        <v>228</v>
      </c>
      <c r="G55" s="42" t="inlineStr">
        <is>
          <t>A private studio in Oakville, not a clinic floor and not a shopping centre counter.
We are at 3060 Preserve Dr, with free parking directly outside and no lobby to sit in. Appointments are one at a time, which is why the schedule is by booking only and why nobody is ever rushed through.
Clients drive in from Burlington, Milton and Mississauga, and a good number from north Oakville who did not know there was anything closer than the QEW.
Botox, dermal filler, lip filler and cheek filler, all injected by a nurse practitioner. Evening appointments are available for people coming after work, which is most of them. Send a message on Instagram to book, or ask for directions and I will send them.</t>
        </is>
      </c>
      <c r="H55" s="41" t="n">
        <v>700</v>
      </c>
      <c r="I55" s="41" t="inlineStr">
        <is>
          <t>Learn more</t>
        </is>
      </c>
      <c r="J55" s="43" t="inlineStr">
        <is>
          <t>@luxury_beauty_aestheticz</t>
        </is>
      </c>
      <c r="K55" s="41" t="inlineStr">
        <is>
          <t>2026-10-11-find-the-studio.jpg</t>
        </is>
      </c>
      <c r="L55" s="43" t="inlineStr">
        <is>
          <t>Open folder</t>
        </is>
      </c>
      <c r="M55" s="43" t="inlineStr">
        <is>
          <t>Open image</t>
        </is>
      </c>
      <c r="N55" s="41">
        <f>IMAGE("https://raw.githubusercontent.com/RepoKing23/InstagramCarousel/claude/med-spa-carousel-ideas-sim9wz/content/gbp/2026-10-11-find-the-studio.jpg")</f>
        <v/>
      </c>
      <c r="O55" s="43" t="inlineStr">
        <is>
          <t>Wco Global / Unsplash</t>
        </is>
      </c>
      <c r="P55" s="41" t="inlineStr">
        <is>
          <t>Ready</t>
        </is>
      </c>
      <c r="Q55" s="42" t="inlineStr"/>
    </row>
    <row r="56" ht="132" customHeight="1" s="14">
      <c r="A56" s="51" t="n">
        <v>46307</v>
      </c>
      <c r="B56" s="45" t="inlineStr">
        <is>
          <t>Mon</t>
        </is>
      </c>
      <c r="C56" s="45" t="inlineStr">
        <is>
          <t>IG: Cheek Filler: The Secret Nobody Talks About</t>
        </is>
      </c>
      <c r="D56" s="45" t="inlineStr">
        <is>
          <t>Education</t>
        </is>
      </c>
      <c r="E56" s="46" t="inlineStr">
        <is>
          <t>The cheek is the most underrated area on the face. Support the midface and the lower face softens, because half of what looks heavy at the jaw is really volume that dropped from above. Most people ask for the wrong area first. On Instagram.</t>
        </is>
      </c>
      <c r="F56" s="45" t="n">
        <v>240</v>
      </c>
      <c r="G56" s="46" t="inlineStr">
        <is>
          <t>Cheeks hold the face up. That is the part nobody talks about.
When the midface loses volume, the tissue below it has less to sit on, so it settles. That is why the lines at the mouth deepen, why the lower face starts reading heavy, and why treating either one directly often does very little. The problem is above where you are looking.
Restore midface support and the lower face lifts with it. No filler in the lower face at all, and it still softens.
This is the most common redirection I make at consults in Oakville. Someone comes in asking about the lines around the mouth and leaves with a plan for cheeks, and it is a smaller amount of product than they expected. The full explanation is on Instagram.</t>
        </is>
      </c>
      <c r="H56" s="45" t="n">
        <v>711</v>
      </c>
      <c r="I56" s="45" t="inlineStr">
        <is>
          <t>Learn more</t>
        </is>
      </c>
      <c r="J56" s="47" t="inlineStr">
        <is>
          <t>@luxury_beauty_aestheticz</t>
        </is>
      </c>
      <c r="K56" s="45" t="inlineStr">
        <is>
          <t>2026-10-12-cheeks-hold-the-face.jpg</t>
        </is>
      </c>
      <c r="L56" s="47" t="inlineStr">
        <is>
          <t>Open folder</t>
        </is>
      </c>
      <c r="M56" s="47" t="inlineStr">
        <is>
          <t>Open image</t>
        </is>
      </c>
      <c r="N56" s="45">
        <f>IMAGE("https://raw.githubusercontent.com/RepoKing23/InstagramCarousel/claude/med-spa-carousel-ideas-sim9wz/content/gbp/2026-10-12-cheeks-hold-the-face.jpg")</f>
        <v/>
      </c>
      <c r="O56" s="47" t="inlineStr">
        <is>
          <t>Elist Nguyen / Unsplash</t>
        </is>
      </c>
      <c r="P56" s="45" t="inlineStr">
        <is>
          <t>Ready</t>
        </is>
      </c>
      <c r="Q56" s="46" t="inlineStr"/>
    </row>
    <row r="57" ht="132" customHeight="1" s="14">
      <c r="A57" s="51" t="n">
        <v>46308</v>
      </c>
      <c r="B57" s="45" t="inlineStr">
        <is>
          <t>Tue</t>
        </is>
      </c>
      <c r="C57" s="45" t="inlineStr">
        <is>
          <t>IG: Service Spotlight: Cheek Filler</t>
        </is>
      </c>
      <c r="D57" s="45" t="inlineStr">
        <is>
          <t>Education</t>
        </is>
      </c>
      <c r="E57" s="46" t="inlineStr">
        <is>
          <t>Cheek filler in Oakville, explained. Placed deep for structure rather than fullness, it restores the support the midface has lost. Usually one syringe, results visible immediately, settled by two weeks, lasting twelve to eighteen months. On Instagram.</t>
        </is>
      </c>
      <c r="F57" s="45" t="n">
        <v>251</v>
      </c>
      <c r="G57" s="46" t="inlineStr">
        <is>
          <t>Cheek filler is structure, not volume. That distinction is the entire treatment.
Placed deep, on bone, it restores the support the midface lost rather than sitting shallow and making a face look fuller. Done well it reads as looking rested and slightly lifted. Done shallow or done too much, it reads as cheeks, which is the version everyone has seen and nobody wants.
Most cheek appointments at the Oakville studio are one syringe, sometimes split across two visits so we can assess in between.
Results are visible the same day, settle over about two weeks, and typically last twelve to eighteen months, longer than lips because the area moves less. Injected by a nurse practitioner. See the spotlight on Instagram.</t>
        </is>
      </c>
      <c r="H57" s="45" t="n">
        <v>719</v>
      </c>
      <c r="I57" s="45" t="inlineStr">
        <is>
          <t>Learn more</t>
        </is>
      </c>
      <c r="J57" s="47" t="inlineStr">
        <is>
          <t>@luxury_beauty_aestheticz</t>
        </is>
      </c>
      <c r="K57" s="45" t="inlineStr">
        <is>
          <t>2026-10-13-spotlight-cheek-filler.jpg</t>
        </is>
      </c>
      <c r="L57" s="47" t="inlineStr">
        <is>
          <t>Open folder</t>
        </is>
      </c>
      <c r="M57" s="47" t="inlineStr">
        <is>
          <t>Open image</t>
        </is>
      </c>
      <c r="N57" s="45">
        <f>IMAGE("https://raw.githubusercontent.com/RepoKing23/InstagramCarousel/claude/med-spa-carousel-ideas-sim9wz/content/gbp/2026-10-13-spotlight-cheek-filler.jpg")</f>
        <v/>
      </c>
      <c r="O57" s="47" t="inlineStr">
        <is>
          <t>Zac Taheriyan / Unsplash</t>
        </is>
      </c>
      <c r="P57" s="45" t="inlineStr">
        <is>
          <t>Ready</t>
        </is>
      </c>
      <c r="Q57" s="46" t="inlineStr"/>
    </row>
    <row r="58" ht="132" customHeight="1" s="14">
      <c r="A58" s="50" t="n">
        <v>46309</v>
      </c>
      <c r="B58" s="41" t="inlineStr">
        <is>
          <t>Wed</t>
        </is>
      </c>
      <c r="C58" s="41" t="inlineStr">
        <is>
          <t>GBP only</t>
        </is>
      </c>
      <c r="D58" s="41" t="inlineStr">
        <is>
          <t>Trust &amp; Proof</t>
        </is>
      </c>
      <c r="E58" s="42" t="inlineStr">
        <is>
          <t>Filler is not right for everyone, and not right for everyone today. Pregnancy and breastfeeding, an active skin infection at the site, certain medications and an event too close to the date are all reasons I will ask you to wait. Ask at the consult.</t>
        </is>
      </c>
      <c r="F58" s="41" t="n">
        <v>249</v>
      </c>
      <c r="G58" s="42" t="inlineStr">
        <is>
          <t>Filler is not right for everyone, and not right for everyone today.
The clear ones: pregnancy and breastfeeding, an active skin infection or breakout at the injection site, and a recent dental procedure, which we sit out for two weeks in either direction. Some medications change the plan rather than cancel it, blood thinners in particular, so bring your full list to the consult.
Timing is the one people fight me on. A wedding in ten days is not the week to start, because bruising and swelling need room.
The other reason to wait is simply that your face does not need it yet, which is a real answer and one I give often at the Oakville studio. Ask me directly and you will get a direct answer.</t>
        </is>
      </c>
      <c r="H58" s="41" t="n">
        <v>701</v>
      </c>
      <c r="I58" s="41" t="inlineStr">
        <is>
          <t>Learn more</t>
        </is>
      </c>
      <c r="J58" s="43" t="inlineStr">
        <is>
          <t>@luxury_beauty_aestheticz</t>
        </is>
      </c>
      <c r="K58" s="41" t="inlineStr">
        <is>
          <t>2026-10-14-not-everyone-is-a-candidate.jpg</t>
        </is>
      </c>
      <c r="L58" s="43" t="inlineStr">
        <is>
          <t>Open folder</t>
        </is>
      </c>
      <c r="M58" s="43" t="inlineStr">
        <is>
          <t>Open image</t>
        </is>
      </c>
      <c r="N58" s="41">
        <f>IMAGE("https://raw.githubusercontent.com/RepoKing23/InstagramCarousel/claude/med-spa-carousel-ideas-sim9wz/content/gbp/2026-10-14-not-everyone-is-a-candidate.jpg")</f>
        <v/>
      </c>
      <c r="O58" s="43" t="inlineStr">
        <is>
          <t>Masum Rahimi / Unsplash</t>
        </is>
      </c>
      <c r="P58" s="41" t="inlineStr">
        <is>
          <t>Ready</t>
        </is>
      </c>
      <c r="Q58" s="42" t="inlineStr"/>
    </row>
    <row r="59" ht="132" customHeight="1" s="14">
      <c r="A59" s="51" t="n">
        <v>46310</v>
      </c>
      <c r="B59" s="45" t="inlineStr">
        <is>
          <t>Thu</t>
        </is>
      </c>
      <c r="C59" s="45" t="inlineStr">
        <is>
          <t>IG: Real Lips. Real Results.</t>
        </is>
      </c>
      <c r="D59" s="45" t="inlineStr">
        <is>
          <t>Trust &amp; Proof</t>
        </is>
      </c>
      <c r="E59" s="46" t="inlineStr">
        <is>
          <t>Real lip filler results from the Oakville studio, shared with written client consent. Same lighting, same angle, no filter, no smoothing. Some are half a syringe. This is what the work actually looks like. On Instagram.</t>
        </is>
      </c>
      <c r="F59" s="45" t="n">
        <v>219</v>
      </c>
      <c r="G59" s="46" t="inlineStr">
        <is>
          <t>Real lips, real results, shared with written client consent.
Every comparison is the same lighting, the same angle and the same distance, with no filter and no smoothing. That is a low bar and it should be standard, but it is not, which is why the change in some of these will look smaller than what you see elsewhere. Smaller is the point.
A few of these are half a syringe. One is a correction of somebody else's work, and that is labelled, because it is a different job with a different starting point.
If you want to know what lip filler in Oakville actually looks like on ordinary faces rather than on a screen, this is the honest version. The full set is on Instagram, and consultations are booked from there.</t>
        </is>
      </c>
      <c r="H59" s="45" t="n">
        <v>718</v>
      </c>
      <c r="I59" s="45" t="inlineStr">
        <is>
          <t>Learn more</t>
        </is>
      </c>
      <c r="J59" s="47" t="inlineStr">
        <is>
          <t>@luxury_beauty_aestheticz</t>
        </is>
      </c>
      <c r="K59" s="45" t="inlineStr">
        <is>
          <t>2026-10-15-real-lips-real-results.jpg</t>
        </is>
      </c>
      <c r="L59" s="47" t="inlineStr">
        <is>
          <t>Open folder</t>
        </is>
      </c>
      <c r="M59" s="47" t="inlineStr">
        <is>
          <t>Open image</t>
        </is>
      </c>
      <c r="N59" s="45">
        <f>IMAGE("https://raw.githubusercontent.com/RepoKing23/InstagramCarousel/claude/med-spa-carousel-ideas-sim9wz/content/gbp/2026-10-15-real-lips-real-results.jpg")</f>
        <v/>
      </c>
      <c r="O59" s="47" t="inlineStr">
        <is>
          <t>Vitaliy Shevchenko / Unsplash</t>
        </is>
      </c>
      <c r="P59" s="45" t="inlineStr">
        <is>
          <t>Ready</t>
        </is>
      </c>
      <c r="Q59" s="46" t="inlineStr"/>
    </row>
    <row r="60" ht="132" customHeight="1" s="14">
      <c r="A60" s="51" t="n">
        <v>46311</v>
      </c>
      <c r="B60" s="45" t="inlineStr">
        <is>
          <t>Fri</t>
        </is>
      </c>
      <c r="C60" s="45" t="inlineStr">
        <is>
          <t>IG: Facial Balancing 101</t>
        </is>
      </c>
      <c r="D60" s="45" t="inlineStr">
        <is>
          <t>Education</t>
        </is>
      </c>
      <c r="E60" s="46" t="inlineStr">
        <is>
          <t>Facial balancing, in one post. It treats the relationship between features rather than the one feature that bothers you. A chin that is slightly short changes how the lips read, so treating the lips alone would have chased the wrong thing. On Instagram.</t>
        </is>
      </c>
      <c r="F60" s="45" t="n">
        <v>253</v>
      </c>
      <c r="G60" s="46" t="inlineStr">
        <is>
          <t>Facial balancing treats proportion, not the feature you came in about.
Here is the version that makes it click. A chin that sits slightly short makes the lower lip look like it is projecting further than it is, so someone comes in asking to have their upper lip built to match. Do that and you have made both problems worse. Support the chin and the lips read as balanced without touching them.
The same logic runs through the midface, the jawline and the temples. Features are read against each other, never on their own.
This is why a consult in Oakville looks at the whole face even when your question is about one part of it, and why the plan is often a smaller amount of product in a different place. The full explanation is on Instagram.</t>
        </is>
      </c>
      <c r="H60" s="45" t="n">
        <v>746</v>
      </c>
      <c r="I60" s="45" t="inlineStr">
        <is>
          <t>Learn more</t>
        </is>
      </c>
      <c r="J60" s="47" t="inlineStr">
        <is>
          <t>@luxury_beauty_aestheticz</t>
        </is>
      </c>
      <c r="K60" s="45" t="inlineStr">
        <is>
          <t>2026-10-16-facial-balancing-101.jpg</t>
        </is>
      </c>
      <c r="L60" s="47" t="inlineStr">
        <is>
          <t>Open folder</t>
        </is>
      </c>
      <c r="M60" s="47" t="inlineStr">
        <is>
          <t>Open image</t>
        </is>
      </c>
      <c r="N60" s="45">
        <f>IMAGE("https://raw.githubusercontent.com/RepoKing23/InstagramCarousel/claude/med-spa-carousel-ideas-sim9wz/content/gbp/2026-10-16-facial-balancing-101.jpg")</f>
        <v/>
      </c>
      <c r="O60" s="47" t="inlineStr">
        <is>
          <t>Masum Rahimi / Unsplash</t>
        </is>
      </c>
      <c r="P60" s="45" t="inlineStr">
        <is>
          <t>Ready</t>
        </is>
      </c>
      <c r="Q60" s="46" t="inlineStr"/>
    </row>
    <row r="61" ht="132" customHeight="1" s="14">
      <c r="A61" s="51" t="n">
        <v>46312</v>
      </c>
      <c r="B61" s="45" t="inlineStr">
        <is>
          <t>Sat</t>
        </is>
      </c>
      <c r="C61" s="45" t="inlineStr">
        <is>
          <t>IG: FAQ: How Much Filler Do I Need?</t>
        </is>
      </c>
      <c r="D61" s="45" t="inlineStr">
        <is>
          <t>Education</t>
        </is>
      </c>
      <c r="E61" s="46" t="inlineStr">
        <is>
          <t>How much filler do you need? Usually less than you think. One syringe is roughly a fifth of a teaspoon, and for lips that is often a full result or more than one appointment needs. Half syringes are a real option here. Details on Instagram.</t>
        </is>
      </c>
      <c r="F61" s="45" t="n">
        <v>240</v>
      </c>
      <c r="G61" s="46" t="inlineStr">
        <is>
          <t>How much filler do I need? Almost always less than you think.
One syringe is about a millilitre, which is roughly a fifth of a teaspoon. On lips that is frequently a complete result, and for a first appointment half of one is often the better call. Cheeks usually take a full syringe per side over time, though rarely all at once. Chin and jawline sit somewhere in between.
The number that matters is not how many syringes, it is how much your face can carry before it stops looking like your face.
At the Oakville studio I would rather you come back in a month and add than sit with too much for the next year. Filler dissolves, but waiting it out is nobody's idea of a good outcome. Ask at the consult, or read the FAQ on Instagram.</t>
        </is>
      </c>
      <c r="H61" s="45" t="n">
        <v>737</v>
      </c>
      <c r="I61" s="45" t="inlineStr">
        <is>
          <t>Learn more</t>
        </is>
      </c>
      <c r="J61" s="47" t="inlineStr">
        <is>
          <t>@luxury_beauty_aestheticz</t>
        </is>
      </c>
      <c r="K61" s="45" t="inlineStr">
        <is>
          <t>2026-10-17-how-much-do-i-need.jpg</t>
        </is>
      </c>
      <c r="L61" s="47" t="inlineStr">
        <is>
          <t>Open folder</t>
        </is>
      </c>
      <c r="M61" s="47" t="inlineStr">
        <is>
          <t>Open image</t>
        </is>
      </c>
      <c r="N61" s="45">
        <f>IMAGE("https://raw.githubusercontent.com/RepoKing23/InstagramCarousel/claude/med-spa-carousel-ideas-sim9wz/content/gbp/2026-10-17-how-much-do-i-need.jpg")</f>
        <v/>
      </c>
      <c r="O61" s="47" t="inlineStr">
        <is>
          <t>Victor Meza / Unsplash</t>
        </is>
      </c>
      <c r="P61" s="45" t="inlineStr">
        <is>
          <t>Ready</t>
        </is>
      </c>
      <c r="Q61" s="46" t="inlineStr"/>
    </row>
    <row r="62" ht="132" customHeight="1" s="14">
      <c r="A62" s="50" t="n">
        <v>46313</v>
      </c>
      <c r="B62" s="41" t="inlineStr">
        <is>
          <t>Sun</t>
        </is>
      </c>
      <c r="C62" s="41" t="inlineStr">
        <is>
          <t>GBP only</t>
        </is>
      </c>
      <c r="D62" s="41" t="inlineStr">
        <is>
          <t>Education</t>
        </is>
      </c>
      <c r="E62" s="42" t="inlineStr">
        <is>
          <t>How to arrive for filler. Eat beforehand, skip alcohol for 24 hours, hold fish oil and ibuprofen if your doctor allows, come with a clean face and leave the evening plans open. Small things, and they change how the next two days go.</t>
        </is>
      </c>
      <c r="F62" s="41" t="n">
        <v>232</v>
      </c>
      <c r="G62" s="42" t="inlineStr">
        <is>
          <t>How to arrive for a filler appointment, so the next two days go easier.
Eat first. People who come in on an empty stomach are the ones who feel lightheaded. Skip alcohol for the 24 hours before, since it thins the blood and bruising follows. If your own doctor is fine with it, hold fish oil, high dose vitamin E and ibuprofen for a few days beforehand, and never stop a prescribed blood thinner without asking them.
Come with a clean face. Makeup goes off before we start anyway, so save yourself the step.
And leave the evening open. You will look swollen, possibly uneven, and that is the treatment working rather than the result. Appointments at the Oakville studio run about forty five minutes, including numbing.</t>
        </is>
      </c>
      <c r="H62" s="41" t="n">
        <v>721</v>
      </c>
      <c r="I62" s="41" t="inlineStr">
        <is>
          <t>Learn more</t>
        </is>
      </c>
      <c r="J62" s="43" t="inlineStr">
        <is>
          <t>@luxury_beauty_aestheticz</t>
        </is>
      </c>
      <c r="K62" s="41" t="inlineStr">
        <is>
          <t>2026-10-18-on-the-day-itself.jpg</t>
        </is>
      </c>
      <c r="L62" s="43" t="inlineStr">
        <is>
          <t>Open folder</t>
        </is>
      </c>
      <c r="M62" s="43" t="inlineStr">
        <is>
          <t>Open image</t>
        </is>
      </c>
      <c r="N62" s="41">
        <f>IMAGE("https://raw.githubusercontent.com/RepoKing23/InstagramCarousel/claude/med-spa-carousel-ideas-sim9wz/content/gbp/2026-10-18-on-the-day-itself.jpg")</f>
        <v/>
      </c>
      <c r="O62" s="43" t="inlineStr">
        <is>
          <t>Christin Hume / Unsplash</t>
        </is>
      </c>
      <c r="P62" s="41" t="inlineStr">
        <is>
          <t>Ready</t>
        </is>
      </c>
      <c r="Q62" s="42" t="inlineStr"/>
    </row>
    <row r="63" ht="132" customHeight="1" s="14">
      <c r="A63" s="51" t="n">
        <v>46314</v>
      </c>
      <c r="B63" s="45" t="inlineStr">
        <is>
          <t>Mon</t>
        </is>
      </c>
      <c r="C63" s="45" t="inlineStr">
        <is>
          <t>IG: Filler Dissolves. Here Is the Real Timeline.</t>
        </is>
      </c>
      <c r="D63" s="45" t="inlineStr">
        <is>
          <t>Education</t>
        </is>
      </c>
      <c r="E63" s="46" t="inlineStr">
        <is>
          <t>Filler is not permanent. Lips run six to twelve months, cheeks and jawline twelve to eighteen, because areas that move more break product down faster. And hyaluronic acid can be dissolved deliberately if a result is wrong. On Instagram.</t>
        </is>
      </c>
      <c r="F63" s="45" t="n">
        <v>236</v>
      </c>
      <c r="G63" s="46" t="inlineStr">
        <is>
          <t>Filler dissolves. Here is the real timeline, area by area.
Lips run about six to twelve months, because the mouth never stops moving and movement breaks product down. Cheeks and jawline run twelve to eighteen for the opposite reason. Chin sits near the longer end. Your metabolism moves all of those numbers, and people who train hard usually sit at the short end of every range.
What does not happen is filler disappearing overnight. It softens gradually, which is why people think it lasted longer than it did.
And the part that should be said more often: hyaluronic acid filler can be dissolved deliberately, in one appointment, if a result is not right. That is not a hypothetical safety net, it is a treatment I actually perform in Oakville. Full timeline on Instagram.</t>
        </is>
      </c>
      <c r="H63" s="45" t="n">
        <v>777</v>
      </c>
      <c r="I63" s="45" t="inlineStr">
        <is>
          <t>Learn more</t>
        </is>
      </c>
      <c r="J63" s="47" t="inlineStr">
        <is>
          <t>@luxury_beauty_aestheticz</t>
        </is>
      </c>
      <c r="K63" s="45" t="inlineStr">
        <is>
          <t>2026-10-19-it-dissolves.jpg</t>
        </is>
      </c>
      <c r="L63" s="47" t="inlineStr">
        <is>
          <t>Open folder</t>
        </is>
      </c>
      <c r="M63" s="47" t="inlineStr">
        <is>
          <t>Open image</t>
        </is>
      </c>
      <c r="N63" s="45">
        <f>IMAGE("https://raw.githubusercontent.com/RepoKing23/InstagramCarousel/claude/med-spa-carousel-ideas-sim9wz/content/gbp/2026-10-19-it-dissolves.jpg")</f>
        <v/>
      </c>
      <c r="O63" s="47" t="inlineStr">
        <is>
          <t>Alef Morais / Unsplash</t>
        </is>
      </c>
      <c r="P63" s="45" t="inlineStr">
        <is>
          <t>Ready</t>
        </is>
      </c>
      <c r="Q63" s="46" t="inlineStr"/>
    </row>
    <row r="64" ht="132" customHeight="1" s="14">
      <c r="A64" s="51" t="n">
        <v>46315</v>
      </c>
      <c r="B64" s="45" t="inlineStr">
        <is>
          <t>Tue</t>
        </is>
      </c>
      <c r="C64" s="45" t="inlineStr">
        <is>
          <t>IG: The Filler Timeline</t>
        </is>
      </c>
      <c r="D64" s="45" t="inlineStr">
        <is>
          <t>Education</t>
        </is>
      </c>
      <c r="E64" s="46" t="inlineStr">
        <is>
          <t>Day by day after lip filler. Day one is swollen and firm, day two is often the peak, by day three it is settling, bruising clears through week one, and two weeks is your actual result. Judge it then, not before. On Instagram.</t>
        </is>
      </c>
      <c r="F64" s="45" t="n">
        <v>225</v>
      </c>
      <c r="G64" s="46" t="inlineStr">
        <is>
          <t>Day one swollen. Day three settling. Two weeks is your result.
Day one, expect firm and larger than the final shape, sometimes noticeably uneven. Day two is the swelling peak for most people, which is the day everybody messages me. Day three it begins to come down and starts to look like a lip again. Any bruising surfaces and clears through the first week.
Week two is when the product has fully integrated and the shape is real. That is the only fair point to judge it, and the point at which we review.
The day two panic is the single most common message I get after lip filler in Oakville, and it is almost never a problem. Save the timeline from Instagram so you have it on your phone when you need it.</t>
        </is>
      </c>
      <c r="H64" s="45" t="n">
        <v>711</v>
      </c>
      <c r="I64" s="45" t="inlineStr">
        <is>
          <t>Learn more</t>
        </is>
      </c>
      <c r="J64" s="47" t="inlineStr">
        <is>
          <t>@luxury_beauty_aestheticz</t>
        </is>
      </c>
      <c r="K64" s="45" t="inlineStr">
        <is>
          <t>2026-10-20-the-filler-timeline.jpg</t>
        </is>
      </c>
      <c r="L64" s="47" t="inlineStr">
        <is>
          <t>Open folder</t>
        </is>
      </c>
      <c r="M64" s="47" t="inlineStr">
        <is>
          <t>Open image</t>
        </is>
      </c>
      <c r="N64" s="45">
        <f>IMAGE("https://raw.githubusercontent.com/RepoKing23/InstagramCarousel/claude/med-spa-carousel-ideas-sim9wz/content/gbp/2026-10-20-the-filler-timeline.jpg")</f>
        <v/>
      </c>
      <c r="O64" s="47" t="inlineStr">
        <is>
          <t>Zulfugar Karimov / Unsplash</t>
        </is>
      </c>
      <c r="P64" s="45" t="inlineStr">
        <is>
          <t>Ready</t>
        </is>
      </c>
      <c r="Q64" s="46" t="inlineStr"/>
    </row>
    <row r="65" ht="132" customHeight="1" s="14">
      <c r="A65" s="50" t="n">
        <v>46316</v>
      </c>
      <c r="B65" s="41" t="inlineStr">
        <is>
          <t>Wed</t>
        </is>
      </c>
      <c r="C65" s="41" t="inlineStr">
        <is>
          <t>GBP only</t>
        </is>
      </c>
      <c r="D65" s="41" t="inlineStr">
        <is>
          <t>Education</t>
        </is>
      </c>
      <c r="E65" s="42" t="inlineStr">
        <is>
          <t>Will filler bruise? Sometimes, and it is not a sign anything went wrong. Lips bruise most because the tissue is vascular. Skip alcohol beforehand, hold blood thinning supplements if your doctor agrees, ice after, and expect it clear within a week.</t>
        </is>
      </c>
      <c r="F65" s="41" t="n">
        <v>247</v>
      </c>
      <c r="G65" s="42" t="inlineStr">
        <is>
          <t>Will I bruise? Sometimes, and it does not mean anything went wrong.
Filler is placed in tissue that has blood vessels running through it, and lips have more of them than anywhere else I treat. A needle can meet one. Careful technique lowers the odds and no technique removes them, which is why I will not promise you a bruise free appointment.
What helps: no alcohol for 24 hours beforehand, holding fish oil, vitamin E and ibuprofen for a few days if your own doctor agrees, ice afterwards, and arnica if you like it.
Most bruising is small, most of it is coverable with makeup after 24 hours, and nearly all of it is gone inside a week. Book with a week of room before anything you care about, and you will never have to think about it.</t>
        </is>
      </c>
      <c r="H65" s="41" t="n">
        <v>741</v>
      </c>
      <c r="I65" s="41" t="inlineStr">
        <is>
          <t>Learn more</t>
        </is>
      </c>
      <c r="J65" s="43" t="inlineStr">
        <is>
          <t>@luxury_beauty_aestheticz</t>
        </is>
      </c>
      <c r="K65" s="41" t="inlineStr">
        <is>
          <t>2026-10-21-will-i-bruise.jpg</t>
        </is>
      </c>
      <c r="L65" s="43" t="inlineStr">
        <is>
          <t>Open folder</t>
        </is>
      </c>
      <c r="M65" s="43" t="inlineStr">
        <is>
          <t>Open image</t>
        </is>
      </c>
      <c r="N65" s="41">
        <f>IMAGE("https://raw.githubusercontent.com/RepoKing23/InstagramCarousel/claude/med-spa-carousel-ideas-sim9wz/content/gbp/2026-10-21-will-i-bruise.jpg")</f>
        <v/>
      </c>
      <c r="O65" s="43" t="inlineStr">
        <is>
          <t>Neda Vidakovic / Unsplash</t>
        </is>
      </c>
      <c r="P65" s="41" t="inlineStr">
        <is>
          <t>Ready</t>
        </is>
      </c>
      <c r="Q65" s="42" t="inlineStr"/>
    </row>
    <row r="66" ht="132" customHeight="1" s="14">
      <c r="A66" s="51" t="n">
        <v>46317</v>
      </c>
      <c r="B66" s="45" t="inlineStr">
        <is>
          <t>Thu</t>
        </is>
      </c>
      <c r="C66" s="45" t="inlineStr">
        <is>
          <t>IG: Lip Filler Aftercare: Your First Week</t>
        </is>
      </c>
      <c r="D66" s="45" t="inlineStr">
        <is>
          <t>Education</t>
        </is>
      </c>
      <c r="E66" s="46" t="inlineStr">
        <is>
          <t>Lip filler aftercare for the first week. Ice on and off for the first day, sleep propped up, no gym, sauna or hot yoga for 48 hours, no pressing or massaging unless I asked you to, and keep the water up. Save the post on Instagram.</t>
        </is>
      </c>
      <c r="F66" s="45" t="n">
        <v>231</v>
      </c>
      <c r="G66" s="46" t="inlineStr">
        <is>
          <t>Your first week after lip filler, in the order it matters.
First 48 hours: ice on and off, sleep propped up on an extra pillow, and skip the gym, sauna and hot yoga because heat and blood flow both make swelling worse. Do not press, pinch or massage the lips unless I have specifically told you to. No dental work, and hold off on flying if you can.
Drink more water than usual. Hyaluronic acid draws water, and dehydrated lips feel tighter and look flatter.
After 48 hours you are essentially back to normal. Small lumps in the first week are common and usually resolve on their own, but message me rather than sitting and worrying about it. Every client at the Oakville studio leaves with this in writing and my number. Save it from Instagram.</t>
        </is>
      </c>
      <c r="H66" s="45" t="n">
        <v>748</v>
      </c>
      <c r="I66" s="45" t="inlineStr">
        <is>
          <t>Learn more</t>
        </is>
      </c>
      <c r="J66" s="47" t="inlineStr">
        <is>
          <t>@luxury_beauty_aestheticz</t>
        </is>
      </c>
      <c r="K66" s="45" t="inlineStr">
        <is>
          <t>2026-10-22-the-first-week.jpg</t>
        </is>
      </c>
      <c r="L66" s="47" t="inlineStr">
        <is>
          <t>Open folder</t>
        </is>
      </c>
      <c r="M66" s="47" t="inlineStr">
        <is>
          <t>Open image</t>
        </is>
      </c>
      <c r="N66" s="45">
        <f>IMAGE("https://raw.githubusercontent.com/RepoKing23/InstagramCarousel/claude/med-spa-carousel-ideas-sim9wz/content/gbp/2026-10-22-the-first-week.jpg")</f>
        <v/>
      </c>
      <c r="O66" s="47" t="inlineStr">
        <is>
          <t>Soheil Kmp / Unsplash</t>
        </is>
      </c>
      <c r="P66" s="45" t="inlineStr">
        <is>
          <t>Ready</t>
        </is>
      </c>
      <c r="Q66" s="46" t="inlineStr"/>
    </row>
    <row r="67" ht="132" customHeight="1" s="14">
      <c r="A67" s="51" t="n">
        <v>46318</v>
      </c>
      <c r="B67" s="45" t="inlineStr">
        <is>
          <t>Fri</t>
        </is>
      </c>
      <c r="C67" s="45" t="inlineStr">
        <is>
          <t>IG: Aftercare Essentials</t>
        </is>
      </c>
      <c r="D67" s="45" t="inlineStr">
        <is>
          <t>Education</t>
        </is>
      </c>
      <c r="E67" s="46" t="inlineStr">
        <is>
          <t>The whole filler aftercare list on one card. Ice, water, an extra pillow, no heat or hard exercise for 48 hours, no pressing at it, and no judging the result before two weeks. Save it to your phone. On Instagram.</t>
        </is>
      </c>
      <c r="F67" s="45" t="n">
        <v>212</v>
      </c>
      <c r="G67" s="46" t="inlineStr">
        <is>
          <t>The entire filler aftercare list, on one card, because it really is short.
Ice on and off for the first day. Water, more than you think. An extra pillow for two nights. No gym, sauna or hot yoga for 48 hours. No pressing, pinching or massaging the area. No judging the result until two weeks, which is the rule people break most.
That is the list. Everything else you have read online is either a variation on those six or somebody selling you something.
Every client at the Oakville studio leaves with this in writing and a way to reach me directly, because the reassuring answer at 9pm on day two is worth more than any leaflet. Save the card from Instagram so it is on your phone when you need it.</t>
        </is>
      </c>
      <c r="H67" s="45" t="n">
        <v>703</v>
      </c>
      <c r="I67" s="45" t="inlineStr">
        <is>
          <t>Learn more</t>
        </is>
      </c>
      <c r="J67" s="47" t="inlineStr">
        <is>
          <t>@luxury_beauty_aestheticz</t>
        </is>
      </c>
      <c r="K67" s="45" t="inlineStr">
        <is>
          <t>2026-10-23-aftercare-essentials.jpg</t>
        </is>
      </c>
      <c r="L67" s="47" t="inlineStr">
        <is>
          <t>Open folder</t>
        </is>
      </c>
      <c r="M67" s="47" t="inlineStr">
        <is>
          <t>Open image</t>
        </is>
      </c>
      <c r="N67" s="45">
        <f>IMAGE("https://raw.githubusercontent.com/RepoKing23/InstagramCarousel/claude/med-spa-carousel-ideas-sim9wz/content/gbp/2026-10-23-aftercare-essentials.jpg")</f>
        <v/>
      </c>
      <c r="O67" s="47" t="inlineStr">
        <is>
          <t>Rosa Rafael / Unsplash</t>
        </is>
      </c>
      <c r="P67" s="45" t="inlineStr">
        <is>
          <t>Ready</t>
        </is>
      </c>
      <c r="Q67" s="46" t="inlineStr"/>
    </row>
    <row r="68" ht="132" customHeight="1" s="14">
      <c r="A68" s="51" t="n">
        <v>46319</v>
      </c>
      <c r="B68" s="45" t="inlineStr">
        <is>
          <t>Sat</t>
        </is>
      </c>
      <c r="C68" s="45" t="inlineStr">
        <is>
          <t>IG: Client Words: The Lip Glow-Up</t>
        </is>
      </c>
      <c r="D68" s="45" t="inlineStr">
        <is>
          <t>Trust &amp; Proof</t>
        </is>
      </c>
      <c r="E68" s="46" t="inlineStr">
        <is>
          <t>In her words, shared with consent: she wanted lips that looked like hers on a good day, and nobody at work has asked what she had done. That is the brief, met. Her result is on Instagram beside it.</t>
        </is>
      </c>
      <c r="F68" s="45" t="n">
        <v>197</v>
      </c>
      <c r="G68" s="46" t="inlineStr">
        <is>
          <t>Her words, not mine, shared with her written consent.
What she asked for was lips that looked like hers on a good day. Not bigger, not a shape she had saved from someone else. She had talked herself out of it twice, both times because of results she had seen on other people and did not want.
We used less than one syringe, in a single appointment, and reviewed at two weeks.
The line from her review that I keep thinking about: nobody at work has asked what she had done, and two people have asked if she has been sleeping better. That is the brief, met exactly. Her result is posted beside her words on Instagram, with permission. Lip filler consultations in Oakville are booked from there.</t>
        </is>
      </c>
      <c r="H68" s="45" t="n">
        <v>695</v>
      </c>
      <c r="I68" s="45" t="inlineStr">
        <is>
          <t>Learn more</t>
        </is>
      </c>
      <c r="J68" s="47" t="inlineStr">
        <is>
          <t>@luxury_beauty_aestheticz</t>
        </is>
      </c>
      <c r="K68" s="45" t="inlineStr">
        <is>
          <t>2026-10-24-client-words-lips.jpg</t>
        </is>
      </c>
      <c r="L68" s="47" t="inlineStr">
        <is>
          <t>Open folder</t>
        </is>
      </c>
      <c r="M68" s="47" t="inlineStr">
        <is>
          <t>Open image</t>
        </is>
      </c>
      <c r="N68" s="45">
        <f>IMAGE("https://raw.githubusercontent.com/RepoKing23/InstagramCarousel/claude/med-spa-carousel-ideas-sim9wz/content/gbp/2026-10-24-client-words-lips.jpg")</f>
        <v/>
      </c>
      <c r="O68" s="47" t="inlineStr">
        <is>
          <t>Elist Nguyen / Unsplash</t>
        </is>
      </c>
      <c r="P68" s="45" t="inlineStr">
        <is>
          <t>Ready</t>
        </is>
      </c>
      <c r="Q68" s="46" t="inlineStr"/>
    </row>
    <row r="69" ht="132" customHeight="1" s="14">
      <c r="A69" s="50" t="n">
        <v>46320</v>
      </c>
      <c r="B69" s="41" t="inlineStr">
        <is>
          <t>Sun</t>
        </is>
      </c>
      <c r="C69" s="41" t="inlineStr">
        <is>
          <t>GBP only</t>
        </is>
      </c>
      <c r="D69" s="41" t="inlineStr">
        <is>
          <t>Trust &amp; Proof</t>
        </is>
      </c>
      <c r="E69" s="42" t="inlineStr">
        <is>
          <t>Booking is straightforward. Send a message on Instagram with what is bothering you and roughly when suits, and we start with a consult. Evenings available. Appointment only, at 3060 Preserve Dr, Oakville, with free parking at the door.</t>
        </is>
      </c>
      <c r="F69" s="41" t="n">
        <v>235</v>
      </c>
      <c r="G69" s="42" t="inlineStr">
        <is>
          <t>Booking at the Oakville studio is straightforward, and it starts with a conversation.
Send a message on Instagram with what is bothering you and roughly when suits. You do not need to know which treatment you want, and you do not need the vocabulary. Describing it in your own words is genuinely enough, and often more useful.
Every new client starts with a consult, which can be the same visit as treatment if you are a clear candidate and comfortable going ahead.
We are appointment only at 3060 Preserve Dr, with free parking at the door and evening slots for people coming after work. Clients travel in from Burlington, Milton and Mississauga. Botox, lip filler, cheek filler and jawline, all injected by a nurse practitioner.</t>
        </is>
      </c>
      <c r="H69" s="41" t="n">
        <v>733</v>
      </c>
      <c r="I69" s="41" t="inlineStr">
        <is>
          <t>Learn more</t>
        </is>
      </c>
      <c r="J69" s="43" t="inlineStr">
        <is>
          <t>@luxury_beauty_aestheticz</t>
        </is>
      </c>
      <c r="K69" s="41" t="inlineStr">
        <is>
          <t>2026-10-25-how-to-book-filler.jpg</t>
        </is>
      </c>
      <c r="L69" s="43" t="inlineStr">
        <is>
          <t>Open folder</t>
        </is>
      </c>
      <c r="M69" s="43" t="inlineStr">
        <is>
          <t>Open image</t>
        </is>
      </c>
      <c r="N69" s="41">
        <f>IMAGE("https://raw.githubusercontent.com/RepoKing23/InstagramCarousel/claude/med-spa-carousel-ideas-sim9wz/content/gbp/2026-10-25-how-to-book-filler.jpg")</f>
        <v/>
      </c>
      <c r="O69" s="43" t="inlineStr">
        <is>
          <t>Look Studio / Unsplash</t>
        </is>
      </c>
      <c r="P69" s="41" t="inlineStr">
        <is>
          <t>Ready</t>
        </is>
      </c>
      <c r="Q69" s="42" t="inlineStr"/>
    </row>
    <row r="70" ht="132" customHeight="1" s="14">
      <c r="A70" s="51" t="n">
        <v>46321</v>
      </c>
      <c r="B70" s="45" t="inlineStr">
        <is>
          <t>Mon</t>
        </is>
      </c>
      <c r="C70" s="45" t="inlineStr">
        <is>
          <t>IG: 5 Filler Lies You Still Believe</t>
        </is>
      </c>
      <c r="D70" s="45" t="inlineStr">
        <is>
          <t>Education</t>
        </is>
      </c>
      <c r="E70" s="46" t="inlineStr">
        <is>
          <t>Five filler lies, taken apart. It does not migrate on its own, it does not stretch your skin, it is not permanent, you are not committed for life, and one syringe is not a dramatic change. Every one of them has a real answer. On Instagram.</t>
        </is>
      </c>
      <c r="F70" s="45" t="n">
        <v>239</v>
      </c>
      <c r="G70" s="46" t="inlineStr">
        <is>
          <t>Five things people still believe about filler, and what is actually true.
It migrates on its own. It does not. Migration is overfilling or misplacement, and it is a technique problem, not a property of the product. It stretches your skin permanently. There is no good evidence for that at the volumes used properly. It is permanent. Hyaluronic acid filler is not, and it can be dissolved on purpose.
Once you start you cannot stop. You can stop whenever you like, and your face returns to where it would have been.
And the fifth, which is the most expensive one: that one syringe is a dramatic change. It is about a fifth of a teaspoon. All five taken apart properly on Instagram, or ask me directly at a consult in Oakville.</t>
        </is>
      </c>
      <c r="H70" s="45" t="n">
        <v>728</v>
      </c>
      <c r="I70" s="45" t="inlineStr">
        <is>
          <t>Learn more</t>
        </is>
      </c>
      <c r="J70" s="47" t="inlineStr">
        <is>
          <t>@luxury_beauty_aestheticz</t>
        </is>
      </c>
      <c r="K70" s="45" t="inlineStr">
        <is>
          <t>2026-10-26-five-filler-lies.jpg</t>
        </is>
      </c>
      <c r="L70" s="47" t="inlineStr">
        <is>
          <t>Open folder</t>
        </is>
      </c>
      <c r="M70" s="47" t="inlineStr">
        <is>
          <t>Open image</t>
        </is>
      </c>
      <c r="N70" s="45">
        <f>IMAGE("https://raw.githubusercontent.com/RepoKing23/InstagramCarousel/claude/med-spa-carousel-ideas-sim9wz/content/gbp/2026-10-26-five-filler-lies.jpg")</f>
        <v/>
      </c>
      <c r="O70" s="47" t="inlineStr">
        <is>
          <t>karelys Ruiz / Unsplash</t>
        </is>
      </c>
      <c r="P70" s="45" t="inlineStr">
        <is>
          <t>Ready</t>
        </is>
      </c>
      <c r="Q70" s="46" t="inlineStr"/>
    </row>
    <row r="71" ht="132" customHeight="1" s="14">
      <c r="A71" s="51" t="n">
        <v>46322</v>
      </c>
      <c r="B71" s="45" t="inlineStr">
        <is>
          <t>Tue</t>
        </is>
      </c>
      <c r="C71" s="45" t="inlineStr">
        <is>
          <t>IG: Myth vs Truth: Filler Edition</t>
        </is>
      </c>
      <c r="D71" s="45" t="inlineStr">
        <is>
          <t>Education</t>
        </is>
      </c>
      <c r="E71" s="46" t="inlineStr">
        <is>
          <t>Myth versus truth, filler edition. Six claims side by side, with the real answer next to each one. If you have been putting off asking because of something you read, one of these is probably it. On Instagram.</t>
        </is>
      </c>
      <c r="F71" s="45" t="n">
        <v>208</v>
      </c>
      <c r="G71" s="46" t="inlineStr">
        <is>
          <t>Myth on one side, truth on the other, six of them.
These are the six I hear most often at consults in Oakville, and they have a pattern. Every one of them started with somebody seeing a bad result and concluding that the treatment does that, rather than that the injector did that. Bad filler is loud and visible. Good filler is invisible by design, so it never gets counted.
That asymmetry is the whole reason this misinformation survives.
If you have been putting off asking a question because of something you read, there is a decent chance it is on this card with the real answer beside it. And if it is not, message me and I will answer it directly rather than sending you a leaflet. The card is on Instagram.</t>
        </is>
      </c>
      <c r="H71" s="45" t="n">
        <v>717</v>
      </c>
      <c r="I71" s="45" t="inlineStr">
        <is>
          <t>Learn more</t>
        </is>
      </c>
      <c r="J71" s="47" t="inlineStr">
        <is>
          <t>@luxury_beauty_aestheticz</t>
        </is>
      </c>
      <c r="K71" s="45" t="inlineStr">
        <is>
          <t>2026-10-27-myth-vs-truth-filler.jpg</t>
        </is>
      </c>
      <c r="L71" s="47" t="inlineStr">
        <is>
          <t>Open folder</t>
        </is>
      </c>
      <c r="M71" s="47" t="inlineStr">
        <is>
          <t>Open image</t>
        </is>
      </c>
      <c r="N71" s="45">
        <f>IMAGE("https://raw.githubusercontent.com/RepoKing23/InstagramCarousel/claude/med-spa-carousel-ideas-sim9wz/content/gbp/2026-10-27-myth-vs-truth-filler.jpg")</f>
        <v/>
      </c>
      <c r="O71" s="47" t="inlineStr">
        <is>
          <t>Ionela Mat / Unsplash</t>
        </is>
      </c>
      <c r="P71" s="45" t="inlineStr">
        <is>
          <t>Ready</t>
        </is>
      </c>
      <c r="Q71" s="46" t="inlineStr"/>
    </row>
    <row r="72" ht="132" customHeight="1" s="14">
      <c r="A72" s="50" t="n">
        <v>46323</v>
      </c>
      <c r="B72" s="41" t="inlineStr">
        <is>
          <t>Wed</t>
        </is>
      </c>
      <c r="C72" s="41" t="inlineStr">
        <is>
          <t>GBP only</t>
        </is>
      </c>
      <c r="D72" s="41" t="inlineStr">
        <is>
          <t>Trust &amp; Proof</t>
        </is>
      </c>
      <c r="E72" s="42" t="inlineStr">
        <is>
          <t>How filler is priced here. Per syringe, quoted at your consult once we know the area and the amount, and half a syringe is priced as half. No package pressure and no product opened before you have agreed to the number.</t>
        </is>
      </c>
      <c r="F72" s="41" t="n">
        <v>218</v>
      </c>
      <c r="G72" s="42" t="inlineStr">
        <is>
          <t>Filler is priced per syringe, and you get the number before anything is opened.
I do not post a price list, for the same reason I do not post one for Botox. The honest figure depends on the area, how much it actually needs and whether we are starting fresh or working alongside existing product, and a number posted without that context is either a lure or a guess.
What you get instead: a quote at your consult, in writing, for the plan we agreed on. Half a syringe is priced as half.
There are no packages to commit to and no pressure to book a series at the Oakville studio. If the plan is one syringe and a review, that is what you pay for. Ask at the consult and you will get a straight number.</t>
        </is>
      </c>
      <c r="H72" s="41" t="n">
        <v>702</v>
      </c>
      <c r="I72" s="41" t="inlineStr">
        <is>
          <t>Learn more</t>
        </is>
      </c>
      <c r="J72" s="43" t="inlineStr">
        <is>
          <t>@luxury_beauty_aestheticz</t>
        </is>
      </c>
      <c r="K72" s="41" t="inlineStr">
        <is>
          <t>2026-10-28-priced-by-the-syringe.jpg</t>
        </is>
      </c>
      <c r="L72" s="43" t="inlineStr">
        <is>
          <t>Open folder</t>
        </is>
      </c>
      <c r="M72" s="43" t="inlineStr">
        <is>
          <t>Open image</t>
        </is>
      </c>
      <c r="N72" s="41">
        <f>IMAGE("https://raw.githubusercontent.com/RepoKing23/InstagramCarousel/claude/med-spa-carousel-ideas-sim9wz/content/gbp/2026-10-28-priced-by-the-syringe.jpg")</f>
        <v/>
      </c>
      <c r="O72" s="43" t="inlineStr">
        <is>
          <t>Masum Rahimi / Unsplash</t>
        </is>
      </c>
      <c r="P72" s="41" t="inlineStr">
        <is>
          <t>Ready</t>
        </is>
      </c>
      <c r="Q72" s="42" t="inlineStr"/>
    </row>
    <row r="73" ht="132" customHeight="1" s="14">
      <c r="A73" s="51" t="n">
        <v>46324</v>
      </c>
      <c r="B73" s="45" t="inlineStr">
        <is>
          <t>Thu</t>
        </is>
      </c>
      <c r="C73" s="45" t="inlineStr">
        <is>
          <t>IG: Facial Balancing: Why We Treat Faces, Not Lines</t>
        </is>
      </c>
      <c r="D73" s="45" t="inlineStr">
        <is>
          <t>Trust &amp; Proof</t>
        </is>
      </c>
      <c r="E73" s="46" t="inlineStr">
        <is>
          <t>Why I treat faces and not lines. Chasing each line as it appears is how people end up overfilled and still unhappy, because the line was a symptom of lost support somewhere else. Fix the structure and the line softens. On Instagram.</t>
        </is>
      </c>
      <c r="F73" s="45" t="n">
        <v>232</v>
      </c>
      <c r="G73" s="46" t="inlineStr">
        <is>
          <t>Treating lines one at a time is how faces end up overfilled.
A line is usually a symptom. The fold at the side of the mouth is the clearest example, since most of the time it is not a lack of volume at the fold, it is a lack of support above it that let the tissue settle. Fill the fold directly and you get a heavy, obvious result that still does not look right, and you will be back to fill it again.
Support the structure and the line softens on its own, using less product in a place you were not looking at.
This is the difference between an assessment and an order form. At the Oakville studio the consult starts with your whole face regardless of which line brought you in. The full explanation is on Instagram.</t>
        </is>
      </c>
      <c r="H73" s="45" t="n">
        <v>721</v>
      </c>
      <c r="I73" s="45" t="inlineStr">
        <is>
          <t>Learn more</t>
        </is>
      </c>
      <c r="J73" s="47" t="inlineStr">
        <is>
          <t>@luxury_beauty_aestheticz</t>
        </is>
      </c>
      <c r="K73" s="45" t="inlineStr">
        <is>
          <t>2026-10-29-faces-not-lines.jpg</t>
        </is>
      </c>
      <c r="L73" s="47" t="inlineStr">
        <is>
          <t>Open folder</t>
        </is>
      </c>
      <c r="M73" s="47" t="inlineStr">
        <is>
          <t>Open image</t>
        </is>
      </c>
      <c r="N73" s="45">
        <f>IMAGE("https://raw.githubusercontent.com/RepoKing23/InstagramCarousel/claude/med-spa-carousel-ideas-sim9wz/content/gbp/2026-10-29-faces-not-lines.jpg")</f>
        <v/>
      </c>
      <c r="O73" s="47" t="inlineStr">
        <is>
          <t>Elist Nguyen / Unsplash</t>
        </is>
      </c>
      <c r="P73" s="45" t="inlineStr">
        <is>
          <t>Ready</t>
        </is>
      </c>
      <c r="Q73" s="46" t="inlineStr"/>
    </row>
    <row r="74" ht="132" customHeight="1" s="14">
      <c r="A74" s="51" t="n">
        <v>46325</v>
      </c>
      <c r="B74" s="45" t="inlineStr">
        <is>
          <t>Fri</t>
        </is>
      </c>
      <c r="C74" s="45" t="inlineStr">
        <is>
          <t>IG: One Syringe. Balanced Lips.</t>
        </is>
      </c>
      <c r="D74" s="45" t="inlineStr">
        <is>
          <t>Trust &amp; Proof</t>
        </is>
      </c>
      <c r="E74" s="46" t="inlineStr">
        <is>
          <t>One syringe, one appointment, photographed two weeks apart in the same light. The upper lip was short against the lower, so the work was ratio rather than volume. Shared with client consent on Instagram.</t>
        </is>
      </c>
      <c r="F74" s="45" t="n">
        <v>203</v>
      </c>
      <c r="G74" s="46" t="inlineStr">
        <is>
          <t>One syringe, one appointment, and the photos are two weeks apart in the same light.
The brief was balance rather than size. Her upper lip sat short against the lower, which made the whole mouth read slightly downturned in photos, and it was bothering her more in pictures than in the mirror. The work was ratio: height in the upper lip, support at the corners, nothing added for the sake of volume.
Same lighting, same angle, no filter and no smoothing on either frame.
If you look at these and think the change is subtle, that is the correct reaction and the reason she is happy with it. Shared with her written consent, on Instagram. Lip filler consultations in Oakville are booked from there, and half syringes are a real option.</t>
        </is>
      </c>
      <c r="H74" s="45" t="n">
        <v>735</v>
      </c>
      <c r="I74" s="45" t="inlineStr">
        <is>
          <t>Learn more</t>
        </is>
      </c>
      <c r="J74" s="47" t="inlineStr">
        <is>
          <t>@luxury_beauty_aestheticz</t>
        </is>
      </c>
      <c r="K74" s="45" t="inlineStr">
        <is>
          <t>2026-10-30-one-syringe-balanced-lips.jpg</t>
        </is>
      </c>
      <c r="L74" s="47" t="inlineStr">
        <is>
          <t>Open folder</t>
        </is>
      </c>
      <c r="M74" s="47" t="inlineStr">
        <is>
          <t>Open image</t>
        </is>
      </c>
      <c r="N74" s="45">
        <f>IMAGE("https://raw.githubusercontent.com/RepoKing23/InstagramCarousel/claude/med-spa-carousel-ideas-sim9wz/content/gbp/2026-10-30-one-syringe-balanced-lips.jpg")</f>
        <v/>
      </c>
      <c r="O74" s="47" t="inlineStr">
        <is>
          <t>Vitaliy Shevchenko / Unsplash</t>
        </is>
      </c>
      <c r="P74" s="45" t="inlineStr">
        <is>
          <t>Ready</t>
        </is>
      </c>
      <c r="Q74" s="46" t="inlineStr"/>
    </row>
    <row r="75" ht="132" customHeight="1" s="14">
      <c r="A75" s="51" t="n">
        <v>46326</v>
      </c>
      <c r="B75" s="45" t="inlineStr">
        <is>
          <t>Sat</t>
        </is>
      </c>
      <c r="C75" s="45" t="inlineStr">
        <is>
          <t>IG: Ask Anything: Filler Edition</t>
        </is>
      </c>
      <c r="D75" s="45" t="inlineStr">
        <is>
          <t>Personality &amp; BTS</t>
        </is>
      </c>
      <c r="E75" s="46" t="inlineStr">
        <is>
          <t>The question box is open all weekend, filler edition. Anonymous, and I answer the awkward ones first. Cost, pain, migration, dissolving, whether you are too young or too late. Ask on Instagram and I will answer this week.</t>
        </is>
      </c>
      <c r="F75" s="45" t="n">
        <v>221</v>
      </c>
      <c r="G75" s="46" t="inlineStr">
        <is>
          <t>The question box is open all weekend, filler edition. Ask me anything.
It is anonymous, and I answer the awkward ones first because those are the ones stopping people from booking. Cost, pain, migration, dissolving, whether you are too young to start or too late to bother, what happens if you stop, what to do about work you had done somewhere else and do not like.
October here has been a month about filler, and this is where it lands.
Every answer goes up this week, and nothing gets skipped for being uncomfortable. If a question is better answered in person, I will say so rather than guessing at your face from a paragraph. Ask on Instagram, or book a consult at the Oakville studio and ask across the room.</t>
        </is>
      </c>
      <c r="H75" s="45" t="n">
        <v>717</v>
      </c>
      <c r="I75" s="45" t="inlineStr">
        <is>
          <t>Learn more</t>
        </is>
      </c>
      <c r="J75" s="47" t="inlineStr">
        <is>
          <t>@luxury_beauty_aestheticz</t>
        </is>
      </c>
      <c r="K75" s="45" t="inlineStr">
        <is>
          <t>2026-10-31-ask-anything-filler.jpg</t>
        </is>
      </c>
      <c r="L75" s="47" t="inlineStr">
        <is>
          <t>Open folder</t>
        </is>
      </c>
      <c r="M75" s="47" t="inlineStr">
        <is>
          <t>Open image</t>
        </is>
      </c>
      <c r="N75" s="45">
        <f>IMAGE("https://raw.githubusercontent.com/RepoKing23/InstagramCarousel/claude/med-spa-carousel-ideas-sim9wz/content/gbp/2026-10-31-ask-anything-filler.jpg")</f>
        <v/>
      </c>
      <c r="O75" s="47" t="inlineStr">
        <is>
          <t>Alef Morais / Unsplash</t>
        </is>
      </c>
      <c r="P75" s="45" t="inlineStr">
        <is>
          <t>Ready</t>
        </is>
      </c>
      <c r="Q75" s="46" t="inlineStr"/>
    </row>
  </sheetData>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 xmlns:r="http://schemas.openxmlformats.org/officeDocument/2006/relationships" ref="J45" r:id="rId173"/>
    <hyperlink xmlns:r="http://schemas.openxmlformats.org/officeDocument/2006/relationships" ref="L45" r:id="rId174"/>
    <hyperlink xmlns:r="http://schemas.openxmlformats.org/officeDocument/2006/relationships" ref="M45" r:id="rId175"/>
    <hyperlink xmlns:r="http://schemas.openxmlformats.org/officeDocument/2006/relationships" ref="O45" r:id="rId176"/>
    <hyperlink xmlns:r="http://schemas.openxmlformats.org/officeDocument/2006/relationships" ref="J46" r:id="rId177"/>
    <hyperlink xmlns:r="http://schemas.openxmlformats.org/officeDocument/2006/relationships" ref="L46" r:id="rId178"/>
    <hyperlink xmlns:r="http://schemas.openxmlformats.org/officeDocument/2006/relationships" ref="M46" r:id="rId179"/>
    <hyperlink xmlns:r="http://schemas.openxmlformats.org/officeDocument/2006/relationships" ref="O46" r:id="rId180"/>
    <hyperlink xmlns:r="http://schemas.openxmlformats.org/officeDocument/2006/relationships" ref="J47" r:id="rId181"/>
    <hyperlink xmlns:r="http://schemas.openxmlformats.org/officeDocument/2006/relationships" ref="L47" r:id="rId182"/>
    <hyperlink xmlns:r="http://schemas.openxmlformats.org/officeDocument/2006/relationships" ref="M47" r:id="rId183"/>
    <hyperlink xmlns:r="http://schemas.openxmlformats.org/officeDocument/2006/relationships" ref="O47" r:id="rId184"/>
    <hyperlink xmlns:r="http://schemas.openxmlformats.org/officeDocument/2006/relationships" ref="J48" r:id="rId185"/>
    <hyperlink xmlns:r="http://schemas.openxmlformats.org/officeDocument/2006/relationships" ref="L48" r:id="rId186"/>
    <hyperlink xmlns:r="http://schemas.openxmlformats.org/officeDocument/2006/relationships" ref="M48" r:id="rId187"/>
    <hyperlink xmlns:r="http://schemas.openxmlformats.org/officeDocument/2006/relationships" ref="O48" r:id="rId188"/>
    <hyperlink xmlns:r="http://schemas.openxmlformats.org/officeDocument/2006/relationships" ref="J49" r:id="rId189"/>
    <hyperlink xmlns:r="http://schemas.openxmlformats.org/officeDocument/2006/relationships" ref="L49" r:id="rId190"/>
    <hyperlink xmlns:r="http://schemas.openxmlformats.org/officeDocument/2006/relationships" ref="M49" r:id="rId191"/>
    <hyperlink xmlns:r="http://schemas.openxmlformats.org/officeDocument/2006/relationships" ref="O49" r:id="rId192"/>
    <hyperlink xmlns:r="http://schemas.openxmlformats.org/officeDocument/2006/relationships" ref="J50" r:id="rId193"/>
    <hyperlink xmlns:r="http://schemas.openxmlformats.org/officeDocument/2006/relationships" ref="L50" r:id="rId194"/>
    <hyperlink xmlns:r="http://schemas.openxmlformats.org/officeDocument/2006/relationships" ref="M50" r:id="rId195"/>
    <hyperlink xmlns:r="http://schemas.openxmlformats.org/officeDocument/2006/relationships" ref="O50" r:id="rId196"/>
    <hyperlink xmlns:r="http://schemas.openxmlformats.org/officeDocument/2006/relationships" ref="J51" r:id="rId197"/>
    <hyperlink xmlns:r="http://schemas.openxmlformats.org/officeDocument/2006/relationships" ref="L51" r:id="rId198"/>
    <hyperlink xmlns:r="http://schemas.openxmlformats.org/officeDocument/2006/relationships" ref="M51" r:id="rId199"/>
    <hyperlink xmlns:r="http://schemas.openxmlformats.org/officeDocument/2006/relationships" ref="O51" r:id="rId200"/>
    <hyperlink xmlns:r="http://schemas.openxmlformats.org/officeDocument/2006/relationships" ref="J52" r:id="rId201"/>
    <hyperlink xmlns:r="http://schemas.openxmlformats.org/officeDocument/2006/relationships" ref="L52" r:id="rId202"/>
    <hyperlink xmlns:r="http://schemas.openxmlformats.org/officeDocument/2006/relationships" ref="M52" r:id="rId203"/>
    <hyperlink xmlns:r="http://schemas.openxmlformats.org/officeDocument/2006/relationships" ref="O52" r:id="rId204"/>
    <hyperlink xmlns:r="http://schemas.openxmlformats.org/officeDocument/2006/relationships" ref="J53" r:id="rId205"/>
    <hyperlink xmlns:r="http://schemas.openxmlformats.org/officeDocument/2006/relationships" ref="L53" r:id="rId206"/>
    <hyperlink xmlns:r="http://schemas.openxmlformats.org/officeDocument/2006/relationships" ref="M53" r:id="rId207"/>
    <hyperlink xmlns:r="http://schemas.openxmlformats.org/officeDocument/2006/relationships" ref="O53" r:id="rId208"/>
    <hyperlink xmlns:r="http://schemas.openxmlformats.org/officeDocument/2006/relationships" ref="J54" r:id="rId209"/>
    <hyperlink xmlns:r="http://schemas.openxmlformats.org/officeDocument/2006/relationships" ref="L54" r:id="rId210"/>
    <hyperlink xmlns:r="http://schemas.openxmlformats.org/officeDocument/2006/relationships" ref="M54" r:id="rId211"/>
    <hyperlink xmlns:r="http://schemas.openxmlformats.org/officeDocument/2006/relationships" ref="O54" r:id="rId212"/>
    <hyperlink xmlns:r="http://schemas.openxmlformats.org/officeDocument/2006/relationships" ref="J55" r:id="rId213"/>
    <hyperlink xmlns:r="http://schemas.openxmlformats.org/officeDocument/2006/relationships" ref="L55" r:id="rId214"/>
    <hyperlink xmlns:r="http://schemas.openxmlformats.org/officeDocument/2006/relationships" ref="M55" r:id="rId215"/>
    <hyperlink xmlns:r="http://schemas.openxmlformats.org/officeDocument/2006/relationships" ref="O55" r:id="rId216"/>
    <hyperlink xmlns:r="http://schemas.openxmlformats.org/officeDocument/2006/relationships" ref="J56" r:id="rId217"/>
    <hyperlink xmlns:r="http://schemas.openxmlformats.org/officeDocument/2006/relationships" ref="L56" r:id="rId218"/>
    <hyperlink xmlns:r="http://schemas.openxmlformats.org/officeDocument/2006/relationships" ref="M56" r:id="rId219"/>
    <hyperlink xmlns:r="http://schemas.openxmlformats.org/officeDocument/2006/relationships" ref="O56" r:id="rId220"/>
    <hyperlink xmlns:r="http://schemas.openxmlformats.org/officeDocument/2006/relationships" ref="J57" r:id="rId221"/>
    <hyperlink xmlns:r="http://schemas.openxmlformats.org/officeDocument/2006/relationships" ref="L57" r:id="rId222"/>
    <hyperlink xmlns:r="http://schemas.openxmlformats.org/officeDocument/2006/relationships" ref="M57" r:id="rId223"/>
    <hyperlink xmlns:r="http://schemas.openxmlformats.org/officeDocument/2006/relationships" ref="O57" r:id="rId224"/>
    <hyperlink xmlns:r="http://schemas.openxmlformats.org/officeDocument/2006/relationships" ref="J58" r:id="rId225"/>
    <hyperlink xmlns:r="http://schemas.openxmlformats.org/officeDocument/2006/relationships" ref="L58" r:id="rId226"/>
    <hyperlink xmlns:r="http://schemas.openxmlformats.org/officeDocument/2006/relationships" ref="M58" r:id="rId227"/>
    <hyperlink xmlns:r="http://schemas.openxmlformats.org/officeDocument/2006/relationships" ref="O58" r:id="rId228"/>
    <hyperlink xmlns:r="http://schemas.openxmlformats.org/officeDocument/2006/relationships" ref="J59" r:id="rId229"/>
    <hyperlink xmlns:r="http://schemas.openxmlformats.org/officeDocument/2006/relationships" ref="L59" r:id="rId230"/>
    <hyperlink xmlns:r="http://schemas.openxmlformats.org/officeDocument/2006/relationships" ref="M59" r:id="rId231"/>
    <hyperlink xmlns:r="http://schemas.openxmlformats.org/officeDocument/2006/relationships" ref="O59" r:id="rId232"/>
    <hyperlink xmlns:r="http://schemas.openxmlformats.org/officeDocument/2006/relationships" ref="J60" r:id="rId233"/>
    <hyperlink xmlns:r="http://schemas.openxmlformats.org/officeDocument/2006/relationships" ref="L60" r:id="rId234"/>
    <hyperlink xmlns:r="http://schemas.openxmlformats.org/officeDocument/2006/relationships" ref="M60" r:id="rId235"/>
    <hyperlink xmlns:r="http://schemas.openxmlformats.org/officeDocument/2006/relationships" ref="O60" r:id="rId236"/>
    <hyperlink xmlns:r="http://schemas.openxmlformats.org/officeDocument/2006/relationships" ref="J61" r:id="rId237"/>
    <hyperlink xmlns:r="http://schemas.openxmlformats.org/officeDocument/2006/relationships" ref="L61" r:id="rId238"/>
    <hyperlink xmlns:r="http://schemas.openxmlformats.org/officeDocument/2006/relationships" ref="M61" r:id="rId239"/>
    <hyperlink xmlns:r="http://schemas.openxmlformats.org/officeDocument/2006/relationships" ref="O61" r:id="rId240"/>
    <hyperlink xmlns:r="http://schemas.openxmlformats.org/officeDocument/2006/relationships" ref="J62" r:id="rId241"/>
    <hyperlink xmlns:r="http://schemas.openxmlformats.org/officeDocument/2006/relationships" ref="L62" r:id="rId242"/>
    <hyperlink xmlns:r="http://schemas.openxmlformats.org/officeDocument/2006/relationships" ref="M62" r:id="rId243"/>
    <hyperlink xmlns:r="http://schemas.openxmlformats.org/officeDocument/2006/relationships" ref="O62" r:id="rId244"/>
    <hyperlink xmlns:r="http://schemas.openxmlformats.org/officeDocument/2006/relationships" ref="J63" r:id="rId245"/>
    <hyperlink xmlns:r="http://schemas.openxmlformats.org/officeDocument/2006/relationships" ref="L63" r:id="rId246"/>
    <hyperlink xmlns:r="http://schemas.openxmlformats.org/officeDocument/2006/relationships" ref="M63" r:id="rId247"/>
    <hyperlink xmlns:r="http://schemas.openxmlformats.org/officeDocument/2006/relationships" ref="O63" r:id="rId248"/>
    <hyperlink xmlns:r="http://schemas.openxmlformats.org/officeDocument/2006/relationships" ref="J64" r:id="rId249"/>
    <hyperlink xmlns:r="http://schemas.openxmlformats.org/officeDocument/2006/relationships" ref="L64" r:id="rId250"/>
    <hyperlink xmlns:r="http://schemas.openxmlformats.org/officeDocument/2006/relationships" ref="M64" r:id="rId251"/>
    <hyperlink xmlns:r="http://schemas.openxmlformats.org/officeDocument/2006/relationships" ref="O64" r:id="rId252"/>
    <hyperlink xmlns:r="http://schemas.openxmlformats.org/officeDocument/2006/relationships" ref="J65" r:id="rId253"/>
    <hyperlink xmlns:r="http://schemas.openxmlformats.org/officeDocument/2006/relationships" ref="L65" r:id="rId254"/>
    <hyperlink xmlns:r="http://schemas.openxmlformats.org/officeDocument/2006/relationships" ref="M65" r:id="rId255"/>
    <hyperlink xmlns:r="http://schemas.openxmlformats.org/officeDocument/2006/relationships" ref="O65" r:id="rId256"/>
    <hyperlink xmlns:r="http://schemas.openxmlformats.org/officeDocument/2006/relationships" ref="J66" r:id="rId257"/>
    <hyperlink xmlns:r="http://schemas.openxmlformats.org/officeDocument/2006/relationships" ref="L66" r:id="rId258"/>
    <hyperlink xmlns:r="http://schemas.openxmlformats.org/officeDocument/2006/relationships" ref="M66" r:id="rId259"/>
    <hyperlink xmlns:r="http://schemas.openxmlformats.org/officeDocument/2006/relationships" ref="O66" r:id="rId260"/>
    <hyperlink xmlns:r="http://schemas.openxmlformats.org/officeDocument/2006/relationships" ref="J67" r:id="rId261"/>
    <hyperlink xmlns:r="http://schemas.openxmlformats.org/officeDocument/2006/relationships" ref="L67" r:id="rId262"/>
    <hyperlink xmlns:r="http://schemas.openxmlformats.org/officeDocument/2006/relationships" ref="M67" r:id="rId263"/>
    <hyperlink xmlns:r="http://schemas.openxmlformats.org/officeDocument/2006/relationships" ref="O67" r:id="rId264"/>
    <hyperlink xmlns:r="http://schemas.openxmlformats.org/officeDocument/2006/relationships" ref="J68" r:id="rId265"/>
    <hyperlink xmlns:r="http://schemas.openxmlformats.org/officeDocument/2006/relationships" ref="L68" r:id="rId266"/>
    <hyperlink xmlns:r="http://schemas.openxmlformats.org/officeDocument/2006/relationships" ref="M68" r:id="rId267"/>
    <hyperlink xmlns:r="http://schemas.openxmlformats.org/officeDocument/2006/relationships" ref="O68" r:id="rId268"/>
    <hyperlink xmlns:r="http://schemas.openxmlformats.org/officeDocument/2006/relationships" ref="J69" r:id="rId269"/>
    <hyperlink xmlns:r="http://schemas.openxmlformats.org/officeDocument/2006/relationships" ref="L69" r:id="rId270"/>
    <hyperlink xmlns:r="http://schemas.openxmlformats.org/officeDocument/2006/relationships" ref="M69" r:id="rId271"/>
    <hyperlink xmlns:r="http://schemas.openxmlformats.org/officeDocument/2006/relationships" ref="O69" r:id="rId272"/>
    <hyperlink xmlns:r="http://schemas.openxmlformats.org/officeDocument/2006/relationships" ref="J70" r:id="rId273"/>
    <hyperlink xmlns:r="http://schemas.openxmlformats.org/officeDocument/2006/relationships" ref="L70" r:id="rId274"/>
    <hyperlink xmlns:r="http://schemas.openxmlformats.org/officeDocument/2006/relationships" ref="M70" r:id="rId275"/>
    <hyperlink xmlns:r="http://schemas.openxmlformats.org/officeDocument/2006/relationships" ref="O70" r:id="rId276"/>
    <hyperlink xmlns:r="http://schemas.openxmlformats.org/officeDocument/2006/relationships" ref="J71" r:id="rId277"/>
    <hyperlink xmlns:r="http://schemas.openxmlformats.org/officeDocument/2006/relationships" ref="L71" r:id="rId278"/>
    <hyperlink xmlns:r="http://schemas.openxmlformats.org/officeDocument/2006/relationships" ref="M71" r:id="rId279"/>
    <hyperlink xmlns:r="http://schemas.openxmlformats.org/officeDocument/2006/relationships" ref="O71" r:id="rId280"/>
    <hyperlink xmlns:r="http://schemas.openxmlformats.org/officeDocument/2006/relationships" ref="J72" r:id="rId281"/>
    <hyperlink xmlns:r="http://schemas.openxmlformats.org/officeDocument/2006/relationships" ref="L72" r:id="rId282"/>
    <hyperlink xmlns:r="http://schemas.openxmlformats.org/officeDocument/2006/relationships" ref="M72" r:id="rId283"/>
    <hyperlink xmlns:r="http://schemas.openxmlformats.org/officeDocument/2006/relationships" ref="O72" r:id="rId284"/>
    <hyperlink xmlns:r="http://schemas.openxmlformats.org/officeDocument/2006/relationships" ref="J73" r:id="rId285"/>
    <hyperlink xmlns:r="http://schemas.openxmlformats.org/officeDocument/2006/relationships" ref="L73" r:id="rId286"/>
    <hyperlink xmlns:r="http://schemas.openxmlformats.org/officeDocument/2006/relationships" ref="M73" r:id="rId287"/>
    <hyperlink xmlns:r="http://schemas.openxmlformats.org/officeDocument/2006/relationships" ref="O73" r:id="rId288"/>
    <hyperlink xmlns:r="http://schemas.openxmlformats.org/officeDocument/2006/relationships" ref="J74" r:id="rId289"/>
    <hyperlink xmlns:r="http://schemas.openxmlformats.org/officeDocument/2006/relationships" ref="L74" r:id="rId290"/>
    <hyperlink xmlns:r="http://schemas.openxmlformats.org/officeDocument/2006/relationships" ref="M74" r:id="rId291"/>
    <hyperlink xmlns:r="http://schemas.openxmlformats.org/officeDocument/2006/relationships" ref="O74" r:id="rId292"/>
    <hyperlink xmlns:r="http://schemas.openxmlformats.org/officeDocument/2006/relationships" ref="J75" r:id="rId293"/>
    <hyperlink xmlns:r="http://schemas.openxmlformats.org/officeDocument/2006/relationships" ref="L75" r:id="rId294"/>
    <hyperlink xmlns:r="http://schemas.openxmlformats.org/officeDocument/2006/relationships" ref="M75" r:id="rId295"/>
    <hyperlink xmlns:r="http://schemas.openxmlformats.org/officeDocument/2006/relationships" ref="O75" r:id="rId296"/>
  </hyperlinks>
  <pageMargins left="0.75" right="0.75" top="1" bottom="1" header="0.5" footer="0.5"/>
</worksheet>
</file>

<file path=xl/worksheets/sheet4.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30" customHeight="1" s="14">
      <c r="A1" s="53" t="inlineStr">
        <is>
          <t>Period</t>
        </is>
      </c>
      <c r="B1" s="53" t="inlineStr">
        <is>
          <t>Theme</t>
        </is>
      </c>
      <c r="C1" s="53" t="inlineStr">
        <is>
          <t>Goal</t>
        </is>
      </c>
      <c r="D1" s="53" t="inlineStr">
        <is>
          <t>Carousel Topics</t>
        </is>
      </c>
      <c r="E1" s="53"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30" customHeight="1" s="14">
      <c r="A1" s="53" t="inlineStr">
        <is>
          <t>Pillar</t>
        </is>
      </c>
      <c r="B1" s="53" t="inlineStr">
        <is>
          <t>Share of Posts</t>
        </is>
      </c>
      <c r="C1" s="53" t="inlineStr">
        <is>
          <t>What It Is</t>
        </is>
      </c>
      <c r="D1" s="53" t="inlineStr">
        <is>
          <t>Formats</t>
        </is>
      </c>
      <c r="E1" s="53"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008A8578"/>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30" customHeight="1" s="14">
      <c r="A1" s="53" t="inlineStr">
        <is>
          <t>Set</t>
        </is>
      </c>
      <c r="B1" s="53" t="inlineStr">
        <is>
          <t>Name</t>
        </is>
      </c>
      <c r="C1" s="53"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autoFilter ref="A1:C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8A8578"/>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ht="30" customHeight="1" s="14">
      <c r="A1" s="52" t="inlineStr">
        <is>
          <t>File</t>
        </is>
      </c>
      <c r="B1" s="52" t="inlineStr">
        <is>
          <t>Client</t>
        </is>
      </c>
      <c r="C1" s="52" t="inlineStr">
        <is>
          <t>Type</t>
        </is>
      </c>
      <c r="D1" s="52" t="inlineStr">
        <is>
          <t>Pair</t>
        </is>
      </c>
      <c r="E1" s="52" t="inlineStr">
        <is>
          <t>Consent</t>
        </is>
      </c>
      <c r="F1" s="52" t="inlineStr">
        <is>
          <t>Used In</t>
        </is>
      </c>
      <c r="G1" s="52"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autoFilter ref="A1:G21"/>
  <pageMargins left="0.75" right="0.75" top="1" bottom="1" header="0.5" footer="0.5"/>
</worksheet>
</file>

<file path=xl/worksheets/sheet8.xml><?xml version="1.0" encoding="utf-8"?>
<worksheet xmlns="http://schemas.openxmlformats.org/spreadsheetml/2006/main">
  <sheetPr filterMode="0">
    <tabColor rgb="008A857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30" customHeight="1" s="14">
      <c r="A1" s="53" t="inlineStr">
        <is>
          <t>Idea</t>
        </is>
      </c>
      <c r="B1" s="53" t="inlineStr">
        <is>
          <t>Format</t>
        </is>
      </c>
      <c r="C1" s="53" t="inlineStr">
        <is>
          <t>Pillar</t>
        </is>
      </c>
      <c r="D1" s="53" t="inlineStr">
        <is>
          <t>Hook</t>
        </is>
      </c>
      <c r="E1" s="53"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2026-09-01T13:08:17Z</dcterms:modified>
  <cp:revision>0</cp:revision>
</cp:coreProperties>
</file>