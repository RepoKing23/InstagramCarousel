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s>
  <fills count="7">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raw.githubusercontent.com/RepoKing23/InstagramCarousel/claude/med-spa-carousel-ideas-sim9wz/content/gbp/2026-08-19-one-client-at-a-time.jpg" TargetMode="External" Id="rId2" /><Relationship Type="http://schemas.openxmlformats.org/officeDocument/2006/relationships/hyperlink" Target="https://unsplash.com/photos/SlpmIhUd860" TargetMode="External" Id="rId3" /><Relationship Type="http://schemas.openxmlformats.org/officeDocument/2006/relationships/hyperlink" Target="https://www.instagram.com/luxury_beauty_aestheticz/" TargetMode="External" Id="rId4" /><Relationship Type="http://schemas.openxmlformats.org/officeDocument/2006/relationships/hyperlink" Target="https://raw.githubusercontent.com/RepoKing23/InstagramCarousel/claude/med-spa-carousel-ideas-sim9wz/content/gbp/2026-08-20-5-red-flags.jpg" TargetMode="External" Id="rId5" /><Relationship Type="http://schemas.openxmlformats.org/officeDocument/2006/relationships/hyperlink" Target="https://unsplash.com/photos/HtXyytr9304"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raw.githubusercontent.com/RepoKing23/InstagramCarousel/claude/med-spa-carousel-ideas-sim9wz/content/gbp/2026-08-21-before-the-needle.jpg" TargetMode="External" Id="rId8" /><Relationship Type="http://schemas.openxmlformats.org/officeDocument/2006/relationships/hyperlink" Target="https://unsplash.com/photos/7JYsKzpduoI" TargetMode="External" Id="rId9" /><Relationship Type="http://schemas.openxmlformats.org/officeDocument/2006/relationships/hyperlink" Target="https://www.instagram.com/luxury_beauty_aestheticz/" TargetMode="External" Id="rId10" /><Relationship Type="http://schemas.openxmlformats.org/officeDocument/2006/relationships/hyperlink" Target="https://raw.githubusercontent.com/RepoKing23/InstagramCarousel/claude/med-spa-carousel-ideas-sim9wz/content/gbp/2026-08-22-great-work-is-invisible.jpg" TargetMode="External" Id="rId11" /><Relationship Type="http://schemas.openxmlformats.org/officeDocument/2006/relationships/hyperlink" Target="https://unsplash.com/photos/-FT1IVUnUd8"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raw.githubusercontent.com/RepoKing23/InstagramCarousel/claude/med-spa-carousel-ideas-sim9wz/content/gbp/2026-08-23-how-long-does-it-take.jpg" TargetMode="External" Id="rId14" /><Relationship Type="http://schemas.openxmlformats.org/officeDocument/2006/relationships/hyperlink" Target="https://unsplash.com/photos/16mHHrY3PUk" TargetMode="External" Id="rId15" /><Relationship Type="http://schemas.openxmlformats.org/officeDocument/2006/relationships/hyperlink" Target="https://www.instagram.com/luxury_beauty_aestheticz/" TargetMode="External" Id="rId16" /><Relationship Type="http://schemas.openxmlformats.org/officeDocument/2006/relationships/hyperlink" Target="https://raw.githubusercontent.com/RepoKing23/InstagramCarousel/claude/med-spa-carousel-ideas-sim9wz/content/gbp/2026-08-24-what-actually-happens.jpg" TargetMode="External" Id="rId17" /><Relationship Type="http://schemas.openxmlformats.org/officeDocument/2006/relationships/hyperlink" Target="https://unsplash.com/photos/PqyzuzFiQfY"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raw.githubusercontent.com/RepoKing23/InstagramCarousel/claude/med-spa-carousel-ideas-sim9wz/content/gbp/2026-08-25-why-no-prices.jpg" TargetMode="External" Id="rId20" /><Relationship Type="http://schemas.openxmlformats.org/officeDocument/2006/relationships/hyperlink" Target="https://unsplash.com/photos/wuZ5ZZEhp_A" TargetMode="External" Id="rId21" /><Relationship Type="http://schemas.openxmlformats.org/officeDocument/2006/relationships/hyperlink" Target="https://www.instagram.com/luxury_beauty_aestheticz/" TargetMode="External" Id="rId22" /><Relationship Type="http://schemas.openxmlformats.org/officeDocument/2006/relationships/hyperlink" Target="https://raw.githubusercontent.com/RepoKing23/InstagramCarousel/claude/med-spa-carousel-ideas-sim9wz/content/gbp/2026-08-26-who-injects-you.jpg" TargetMode="External" Id="rId23" /><Relationship Type="http://schemas.openxmlformats.org/officeDocument/2006/relationships/hyperlink" Target="https://unsplash.com/photos/6Cz6R3El3p0"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raw.githubusercontent.com/RepoKing23/InstagramCarousel/claude/med-spa-carousel-ideas-sim9wz/content/gbp/2026-08-27-meet-np-cleo.jpg" TargetMode="External" Id="rId26" /><Relationship Type="http://schemas.openxmlformats.org/officeDocument/2006/relationships/hyperlink" Target="https://unsplash.com/photos/TQSPgNqeCo8" TargetMode="External" Id="rId27" /><Relationship Type="http://schemas.openxmlformats.org/officeDocument/2006/relationships/hyperlink" Target="https://www.instagram.com/luxury_beauty_aestheticz/" TargetMode="External" Id="rId28" /><Relationship Type="http://schemas.openxmlformats.org/officeDocument/2006/relationships/hyperlink" Target="https://raw.githubusercontent.com/RepoKing23/InstagramCarousel/claude/med-spa-carousel-ideas-sim9wz/content/gbp/2026-08-28-where-calm-meets-careful.jpg" TargetMode="External" Id="rId29" /><Relationship Type="http://schemas.openxmlformats.org/officeDocument/2006/relationships/hyperlink" Target="https://unsplash.com/photos/MGKzomg0Dts"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raw.githubusercontent.com/RepoKing23/InstagramCarousel/claude/med-spa-carousel-ideas-sim9wz/content/gbp/2026-08-29-rested-or-frozen.jpg" TargetMode="External" Id="rId32" /><Relationship Type="http://schemas.openxmlformats.org/officeDocument/2006/relationships/hyperlink" Target="https://unsplash.com/photos/n5RNynnttF8" TargetMode="External" Id="rId33" /><Relationship Type="http://schemas.openxmlformats.org/officeDocument/2006/relationships/hyperlink" Target="https://www.instagram.com/luxury_beauty_aestheticz/" TargetMode="External" Id="rId34" /><Relationship Type="http://schemas.openxmlformats.org/officeDocument/2006/relationships/hyperlink" Target="https://raw.githubusercontent.com/RepoKing23/InstagramCarousel/claude/med-spa-carousel-ideas-sim9wz/content/gbp/2026-08-30-what-a-consult-includes.jpg" TargetMode="External" Id="rId35" /><Relationship Type="http://schemas.openxmlformats.org/officeDocument/2006/relationships/hyperlink" Target="https://unsplash.com/photos/VnPsDA8wRL4"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raw.githubusercontent.com/RepoKing23/InstagramCarousel/claude/med-spa-carousel-ideas-sim9wz/content/gbp/2026-08-31-when-to-start.jpg" TargetMode="External" Id="rId38" /><Relationship Type="http://schemas.openxmlformats.org/officeDocument/2006/relationships/hyperlink" Target="https://unsplash.com/photos/w4Dj3MshHQ0" TargetMode="External" Id="rId39" /><Relationship Type="http://schemas.openxmlformats.org/officeDocument/2006/relationships/hyperlink" Target="https://www.instagram.com/luxury_beauty_aestheticz/" TargetMode="External" Id="rId40" /><Relationship Type="http://schemas.openxmlformats.org/officeDocument/2006/relationships/hyperlink" Target="https://raw.githubusercontent.com/RepoKing23/InstagramCarousel/claude/med-spa-carousel-ideas-sim9wz/content/gbp/2026-09-01-spotlight-preventative.jpg" TargetMode="External" Id="rId41" /><Relationship Type="http://schemas.openxmlformats.org/officeDocument/2006/relationships/hyperlink" Target="https://unsplash.com/photos/GG8i22DQTHw"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raw.githubusercontent.com/RepoKing23/InstagramCarousel/claude/med-spa-carousel-ideas-sim9wz/content/gbp/2026-09-02-is-it-safe.jpg" TargetMode="External" Id="rId44" /><Relationship Type="http://schemas.openxmlformats.org/officeDocument/2006/relationships/hyperlink" Target="https://unsplash.com/photos/5ma8wEjDTl0" TargetMode="External" Id="rId45" /><Relationship Type="http://schemas.openxmlformats.org/officeDocument/2006/relationships/hyperlink" Target="https://www.instagram.com/luxury_beauty_aestheticz/" TargetMode="External" Id="rId46" /><Relationship Type="http://schemas.openxmlformats.org/officeDocument/2006/relationships/hyperlink" Target="https://raw.githubusercontent.com/RepoKing23/InstagramCarousel/claude/med-spa-carousel-ideas-sim9wz/content/gbp/2026-09-03-20-units.jpg" TargetMode="External" Id="rId47" /><Relationship Type="http://schemas.openxmlformats.org/officeDocument/2006/relationships/hyperlink" Target="https://unsplash.com/photos/zkf9upN0DbM"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raw.githubusercontent.com/RepoKing23/InstagramCarousel/claude/med-spa-carousel-ideas-sim9wz/content/gbp/2026-09-04-meet-your-injector.jpg" TargetMode="External" Id="rId50" /><Relationship Type="http://schemas.openxmlformats.org/officeDocument/2006/relationships/hyperlink" Target="https://unsplash.com/photos/q2csrSPGM_k" TargetMode="External" Id="rId51" /><Relationship Type="http://schemas.openxmlformats.org/officeDocument/2006/relationships/hyperlink" Target="https://www.instagram.com/luxury_beauty_aestheticz/" TargetMode="External" Id="rId52" /><Relationship Type="http://schemas.openxmlformats.org/officeDocument/2006/relationships/hyperlink" Target="https://raw.githubusercontent.com/RepoKing23/InstagramCarousel/claude/med-spa-carousel-ideas-sim9wz/content/gbp/2026-09-05-prevention-beats-erasing.jpg" TargetMode="External" Id="rId53" /><Relationship Type="http://schemas.openxmlformats.org/officeDocument/2006/relationships/hyperlink" Target="https://unsplash.com/photos/0YT1p3lEPTg"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raw.githubusercontent.com/RepoKing23/InstagramCarousel/claude/med-spa-carousel-ideas-sim9wz/content/gbp/2026-09-06-first-timer.jpg" TargetMode="External" Id="rId56" /><Relationship Type="http://schemas.openxmlformats.org/officeDocument/2006/relationships/hyperlink" Target="https://unsplash.com/photos/g-m8EDc4X6Q" TargetMode="External" Id="rId57" /><Relationship Type="http://schemas.openxmlformats.org/officeDocument/2006/relationships/hyperlink" Target="https://www.instagram.com/luxury_beauty_aestheticz/" TargetMode="External" Id="rId58" /><Relationship Type="http://schemas.openxmlformats.org/officeDocument/2006/relationships/hyperlink" Target="https://raw.githubusercontent.com/RepoKing23/InstagramCarousel/claude/med-spa-carousel-ideas-sim9wz/content/gbp/2026-09-07-botox-vs-dysport.jpg" TargetMode="External" Id="rId59" /><Relationship Type="http://schemas.openxmlformats.org/officeDocument/2006/relationships/hyperlink" Target="https://unsplash.com/photos/634jzvuySY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raw.githubusercontent.com/RepoKing23/InstagramCarousel/claude/med-spa-carousel-ideas-sim9wz/content/gbp/2026-09-08-at-a-glance.jpg" TargetMode="External" Id="rId62" /><Relationship Type="http://schemas.openxmlformats.org/officeDocument/2006/relationships/hyperlink" Target="https://unsplash.com/photos/xTLqJqtq8R4" TargetMode="External" Id="rId63" /><Relationship Type="http://schemas.openxmlformats.org/officeDocument/2006/relationships/hyperlink" Target="https://www.instagram.com/luxury_beauty_aestheticz/" TargetMode="External" Id="rId64" /><Relationship Type="http://schemas.openxmlformats.org/officeDocument/2006/relationships/hyperlink" Target="https://raw.githubusercontent.com/RepoKing23/InstagramCarousel/claude/med-spa-carousel-ideas-sim9wz/content/gbp/2026-09-09-aftercare-rules.jpg" TargetMode="External" Id="rId65" /><Relationship Type="http://schemas.openxmlformats.org/officeDocument/2006/relationships/hyperlink" Target="https://unsplash.com/photos/3huGl_ayr_8"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raw.githubusercontent.com/RepoKing23/InstagramCarousel/claude/med-spa-carousel-ideas-sim9wz/content/gbp/2026-09-10-first-48-hours.jpg" TargetMode="External" Id="rId68" /><Relationship Type="http://schemas.openxmlformats.org/officeDocument/2006/relationships/hyperlink" Target="https://unsplash.com/photos/aOh-bKGjvFI" TargetMode="External" Id="rId69" /><Relationship Type="http://schemas.openxmlformats.org/officeDocument/2006/relationships/hyperlink" Target="https://www.instagram.com/luxury_beauty_aestheticz/" TargetMode="External" Id="rId70" /><Relationship Type="http://schemas.openxmlformats.org/officeDocument/2006/relationships/hyperlink" Target="https://raw.githubusercontent.com/RepoKing23/InstagramCarousel/claude/med-spa-carousel-ideas-sim9wz/content/gbp/2026-09-11-the-face-map.jpg" TargetMode="External" Id="rId71" /><Relationship Type="http://schemas.openxmlformats.org/officeDocument/2006/relationships/hyperlink" Target="https://unsplash.com/photos/4mCQh80Jzyo"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raw.githubusercontent.com/RepoKing23/InstagramCarousel/claude/med-spa-carousel-ideas-sim9wz/content/gbp/2026-09-12-does-it-hurt.jpg" TargetMode="External" Id="rId74" /><Relationship Type="http://schemas.openxmlformats.org/officeDocument/2006/relationships/hyperlink" Target="https://unsplash.com/photos/hX9V80PDxrQ" TargetMode="External" Id="rId75" /><Relationship Type="http://schemas.openxmlformats.org/officeDocument/2006/relationships/hyperlink" Target="https://www.instagram.com/luxury_beauty_aestheticz/" TargetMode="External" Id="rId76" /><Relationship Type="http://schemas.openxmlformats.org/officeDocument/2006/relationships/hyperlink" Target="https://raw.githubusercontent.com/RepoKing23/InstagramCarousel/claude/med-spa-carousel-ideas-sim9wz/content/gbp/2026-09-13-still-look-like-you.jpg" TargetMode="External" Id="rId77" /><Relationship Type="http://schemas.openxmlformats.org/officeDocument/2006/relationships/hyperlink" Target="https://unsplash.com/photos/H9YAbOsqDt8"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raw.githubusercontent.com/RepoKing23/InstagramCarousel/claude/med-spa-carousel-ideas-sim9wz/content/gbp/2026-09-14-5-things-botox-cannot-do.jpg" TargetMode="External" Id="rId80" /><Relationship Type="http://schemas.openxmlformats.org/officeDocument/2006/relationships/hyperlink" Target="https://unsplash.com/photos/W7wBNLlryPM" TargetMode="External" Id="rId81" /><Relationship Type="http://schemas.openxmlformats.org/officeDocument/2006/relationships/hyperlink" Target="https://www.instagram.com/luxury_beauty_aestheticz/" TargetMode="External" Id="rId82" /><Relationship Type="http://schemas.openxmlformats.org/officeDocument/2006/relationships/hyperlink" Target="https://raw.githubusercontent.com/RepoKing23/InstagramCarousel/claude/med-spa-carousel-ideas-sim9wz/content/gbp/2026-09-15-what-it-cannot-fix.jpg" TargetMode="External" Id="rId83" /><Relationship Type="http://schemas.openxmlformats.org/officeDocument/2006/relationships/hyperlink" Target="https://unsplash.com/photos/9L5ZCmmpxvY"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raw.githubusercontent.com/RepoKing23/InstagramCarousel/claude/med-spa-carousel-ideas-sim9wz/content/gbp/2026-09-16-how-to-book.jpg" TargetMode="External" Id="rId86" /><Relationship Type="http://schemas.openxmlformats.org/officeDocument/2006/relationships/hyperlink" Target="https://unsplash.com/photos/HTHnMES5byk" TargetMode="External" Id="rId87" /><Relationship Type="http://schemas.openxmlformats.org/officeDocument/2006/relationships/hyperlink" Target="https://www.instagram.com/luxury_beauty_aestheticz/" TargetMode="External" Id="rId88" /><Relationship Type="http://schemas.openxmlformats.org/officeDocument/2006/relationships/hyperlink" Target="https://raw.githubusercontent.com/RepoKing23/InstagramCarousel/claude/med-spa-carousel-ideas-sim9wz/content/gbp/2026-09-17-still-you-just-refreshed.jpg" TargetMode="External" Id="rId89" /><Relationship Type="http://schemas.openxmlformats.org/officeDocument/2006/relationships/hyperlink" Target="https://unsplash.com/photos/k6vhjQF720E" TargetMode="External" Id="rId90" /><Relationship Type="http://schemas.openxmlformats.org/officeDocument/2006/relationships/hyperlink" Target="https://www.instagram.com/luxury_beauty_aestheticz/" TargetMode="External" Id="rId91" /><Relationship Type="http://schemas.openxmlformats.org/officeDocument/2006/relationships/hyperlink" Target="https://raw.githubusercontent.com/RepoKing23/InstagramCarousel/claude/med-spa-carousel-ideas-sim9wz/content/gbp/2026-09-18-frozen-face-myth.jpg" TargetMode="External" Id="rId92" /><Relationship Type="http://schemas.openxmlformats.org/officeDocument/2006/relationships/hyperlink" Target="https://unsplash.com/photos/N6N-DcYcDZ8" TargetMode="External" Id="rId93" /><Relationship Type="http://schemas.openxmlformats.org/officeDocument/2006/relationships/hyperlink" Target="https://www.instagram.com/luxury_beauty_aestheticz/" TargetMode="External" Id="rId94" /><Relationship Type="http://schemas.openxmlformats.org/officeDocument/2006/relationships/hyperlink" Target="https://raw.githubusercontent.com/RepoKing23/InstagramCarousel/claude/med-spa-carousel-ideas-sim9wz/content/gbp/2026-09-19-nobody-guessed.jpg" TargetMode="External" Id="rId95" /><Relationship Type="http://schemas.openxmlformats.org/officeDocument/2006/relationships/hyperlink" Target="https://unsplash.com/photos/w6zVwAYoqWM"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raw.githubusercontent.com/RepoKing23/InstagramCarousel/claude/med-spa-carousel-ideas-sim9wz/content/gbp/2026-09-20-service-area.jpg" TargetMode="External" Id="rId98" /><Relationship Type="http://schemas.openxmlformats.org/officeDocument/2006/relationships/hyperlink" Target="https://unsplash.com/photos/XGv1wuuNvYU" TargetMode="External" Id="rId99" /><Relationship Type="http://schemas.openxmlformats.org/officeDocument/2006/relationships/hyperlink" Target="https://www.instagram.com/luxury_beauty_aestheticz/" TargetMode="External" Id="rId100" /><Relationship Type="http://schemas.openxmlformats.org/officeDocument/2006/relationships/hyperlink" Target="https://raw.githubusercontent.com/RepoKing23/InstagramCarousel/claude/med-spa-carousel-ideas-sim9wz/content/gbp/2026-09-21-botox-or-filler.jpg" TargetMode="External" Id="rId101" /><Relationship Type="http://schemas.openxmlformats.org/officeDocument/2006/relationships/hyperlink" Target="https://unsplash.com/photos/-FT1IVUnUd8" TargetMode="External" Id="rId102" /><Relationship Type="http://schemas.openxmlformats.org/officeDocument/2006/relationships/hyperlink" Target="https://www.instagram.com/luxury_beauty_aestheticz/" TargetMode="External" Id="rId103" /><Relationship Type="http://schemas.openxmlformats.org/officeDocument/2006/relationships/hyperlink" Target="https://raw.githubusercontent.com/RepoKing23/InstagramCarousel/claude/med-spa-carousel-ideas-sim9wz/content/gbp/2026-09-22-lines-vs-volume.jpg" TargetMode="External" Id="rId104" /><Relationship Type="http://schemas.openxmlformats.org/officeDocument/2006/relationships/hyperlink" Target="https://unsplash.com/photos/Pe9IXUuC6QU" TargetMode="External" Id="rId105" /><Relationship Type="http://schemas.openxmlformats.org/officeDocument/2006/relationships/hyperlink" Target="https://www.instagram.com/luxury_beauty_aestheticz/" TargetMode="External" Id="rId106" /><Relationship Type="http://schemas.openxmlformats.org/officeDocument/2006/relationships/hyperlink" Target="https://raw.githubusercontent.com/RepoKing23/InstagramCarousel/claude/med-spa-carousel-ideas-sim9wz/content/gbp/2026-09-23-what-to-ask.jpg" TargetMode="External" Id="rId107" /><Relationship Type="http://schemas.openxmlformats.org/officeDocument/2006/relationships/hyperlink" Target="https://unsplash.com/photos/qJ1mYraktLg"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raw.githubusercontent.com/RepoKing23/InstagramCarousel/claude/med-spa-carousel-ideas-sim9wz/content/gbp/2026-09-24-ask-np-cleo.jpg" TargetMode="External" Id="rId110" /><Relationship Type="http://schemas.openxmlformats.org/officeDocument/2006/relationships/hyperlink" Target="https://unsplash.com/photos/TQSPgNqeCo8" TargetMode="External" Id="rId111" /><Relationship Type="http://schemas.openxmlformats.org/officeDocument/2006/relationships/hyperlink" Target="https://www.instagram.com/luxury_beauty_aestheticz/" TargetMode="External" Id="rId112" /><Relationship Type="http://schemas.openxmlformats.org/officeDocument/2006/relationships/hyperlink" Target="https://raw.githubusercontent.com/RepoKing23/InstagramCarousel/claude/med-spa-carousel-ideas-sim9wz/content/gbp/2026-09-25-your-dms-answered.jpg" TargetMode="External" Id="rId113" /><Relationship Type="http://schemas.openxmlformats.org/officeDocument/2006/relationships/hyperlink" Target="https://unsplash.com/photos/MGKzomg0Dts" TargetMode="External" Id="rId114" /><Relationship Type="http://schemas.openxmlformats.org/officeDocument/2006/relationships/hyperlink" Target="https://www.instagram.com/luxury_beauty_aestheticz/" TargetMode="External" Id="rId115" /><Relationship Type="http://schemas.openxmlformats.org/officeDocument/2006/relationships/hyperlink" Target="https://raw.githubusercontent.com/RepoKing23/InstagramCarousel/claude/med-spa-carousel-ideas-sim9wz/content/gbp/2026-09-26-what-next.jpg" TargetMode="External" Id="rId116" /><Relationship Type="http://schemas.openxmlformats.org/officeDocument/2006/relationships/hyperlink" Target="https://unsplash.com/photos/VnPsDA8wRL4" TargetMode="External" Id="rId117" /><Relationship Type="http://schemas.openxmlformats.org/officeDocument/2006/relationships/hyperlink" Target="https://www.instagram.com/luxury_beauty_aestheticz/" TargetMode="External" Id="rId118" /><Relationship Type="http://schemas.openxmlformats.org/officeDocument/2006/relationships/hyperlink" Target="https://raw.githubusercontent.com/RepoKing23/InstagramCarousel/claude/med-spa-carousel-ideas-sim9wz/content/gbp/2026-09-27-two-week-review.jpg" TargetMode="External" Id="rId119" /><Relationship Type="http://schemas.openxmlformats.org/officeDocument/2006/relationships/hyperlink" Target="https://unsplash.com/photos/16mHHrY3PUk"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raw.githubusercontent.com/RepoKing23/InstagramCarousel/claude/med-spa-carousel-ideas-sim9wz/content/gbp/2026-09-28-how-long-does-it-last.jpg" TargetMode="External" Id="rId122" /><Relationship Type="http://schemas.openxmlformats.org/officeDocument/2006/relationships/hyperlink" Target="https://unsplash.com/photos/zkf9upN0DbM" TargetMode="External" Id="rId123" /><Relationship Type="http://schemas.openxmlformats.org/officeDocument/2006/relationships/hyperlink" Target="https://www.instagram.com/luxury_beauty_aestheticz/" TargetMode="External" Id="rId124" /><Relationship Type="http://schemas.openxmlformats.org/officeDocument/2006/relationships/hyperlink" Target="https://raw.githubusercontent.com/RepoKing23/InstagramCarousel/claude/med-spa-carousel-ideas-sim9wz/content/gbp/2026-09-29-three-month-timeline.jpg" TargetMode="External" Id="rId125" /><Relationship Type="http://schemas.openxmlformats.org/officeDocument/2006/relationships/hyperlink" Target="https://unsplash.com/photos/634jzvuySY4" TargetMode="External" Id="rId126" /><Relationship Type="http://schemas.openxmlformats.org/officeDocument/2006/relationships/hyperlink" Target="https://www.instagram.com/luxury_beauty_aestheticz/" TargetMode="External" Id="rId127" /><Relationship Type="http://schemas.openxmlformats.org/officeDocument/2006/relationships/hyperlink" Target="https://raw.githubusercontent.com/RepoKing23/InstagramCarousel/claude/med-spa-carousel-ideas-sim9wz/content/gbp/2026-09-30-october-preview.jpg" TargetMode="External" Id="rId128" /><Relationship Type="http://schemas.openxmlformats.org/officeDocument/2006/relationships/hyperlink" Target="https://unsplash.com/photos/Bsg_9a2PDX0" TargetMode="External" Id="rId129" /></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N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4" customWidth="1" style="14" min="3" max="3"/>
    <col width="18" customWidth="1" style="14" min="4" max="4"/>
    <col width="78" customWidth="1" style="14" min="5" max="5"/>
    <col width="7" customWidth="1" style="14" min="6" max="6"/>
    <col width="12" customWidth="1" style="14" min="7" max="7"/>
    <col width="26" customWidth="1" style="14" min="8" max="8"/>
    <col width="34" customWidth="1" style="14" min="9" max="9"/>
    <col width="13" customWidth="1" style="14" min="10" max="10"/>
    <col width="14" customWidth="1" style="14" min="11" max="11"/>
    <col width="24" customWidth="1" style="14" min="12" max="12"/>
    <col width="10" customWidth="1" style="14" min="13" max="13"/>
    <col width="30" customWidth="1" style="14" min="14" max="14"/>
  </cols>
  <sheetData>
    <row r="1">
      <c r="A1" s="39" t="inlineStr">
        <is>
          <t>Date</t>
        </is>
      </c>
      <c r="B1" s="39" t="inlineStr">
        <is>
          <t>Day</t>
        </is>
      </c>
      <c r="C1" s="39" t="inlineStr">
        <is>
          <t>Source</t>
        </is>
      </c>
      <c r="D1" s="39" t="inlineStr">
        <is>
          <t>Pillar</t>
        </is>
      </c>
      <c r="E1" s="39" t="inlineStr">
        <is>
          <t>Post Text (first 80 chars show)</t>
        </is>
      </c>
      <c r="F1" s="39" t="inlineStr">
        <is>
          <t>Chars</t>
        </is>
      </c>
      <c r="G1" s="39" t="inlineStr">
        <is>
          <t>CTA Button</t>
        </is>
      </c>
      <c r="H1" s="39" t="inlineStr">
        <is>
          <t>CTA Link</t>
        </is>
      </c>
      <c r="I1" s="39" t="inlineStr">
        <is>
          <t>Image File</t>
        </is>
      </c>
      <c r="J1" s="39" t="inlineStr">
        <is>
          <t>Open Image</t>
        </is>
      </c>
      <c r="K1" s="39" t="inlineStr">
        <is>
          <t>Preview</t>
        </is>
      </c>
      <c r="L1" s="39" t="inlineStr">
        <is>
          <t>Photo Credit</t>
        </is>
      </c>
      <c r="M1" s="39" t="inlineStr">
        <is>
          <t>Status</t>
        </is>
      </c>
      <c r="N1" s="39" t="inlineStr">
        <is>
          <t>Notes</t>
        </is>
      </c>
    </row>
    <row r="2" ht="58"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1" t="inlineStr">
        <is>
          <t>Learn more</t>
        </is>
      </c>
      <c r="H2" s="43" t="inlineStr">
        <is>
          <t>@luxury_beauty_aestheticz</t>
        </is>
      </c>
      <c r="I2" s="41" t="inlineStr">
        <is>
          <t>2026-08-19-one-client-at-a-time.jpg</t>
        </is>
      </c>
      <c r="J2" s="43" t="inlineStr">
        <is>
          <t>Open image</t>
        </is>
      </c>
      <c r="K2" s="41">
        <f>IMAGE("https://raw.githubusercontent.com/RepoKing23/InstagramCarousel/claude/med-spa-carousel-ideas-sim9wz/content/gbp/2026-08-19-one-client-at-a-time.jpg")</f>
        <v/>
      </c>
      <c r="L2" s="43" t="inlineStr">
        <is>
          <t>Wco Global / Unsplash</t>
        </is>
      </c>
      <c r="M2" s="41" t="inlineStr">
        <is>
          <t>Ready</t>
        </is>
      </c>
      <c r="N2" s="42" t="inlineStr"/>
    </row>
    <row r="3" ht="58"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5" t="inlineStr">
        <is>
          <t>Learn more</t>
        </is>
      </c>
      <c r="H3" s="47" t="inlineStr">
        <is>
          <t>@luxury_beauty_aestheticz</t>
        </is>
      </c>
      <c r="I3" s="45" t="inlineStr">
        <is>
          <t>2026-08-20-5-red-flags.jpg</t>
        </is>
      </c>
      <c r="J3" s="47" t="inlineStr">
        <is>
          <t>Open image</t>
        </is>
      </c>
      <c r="K3" s="45">
        <f>IMAGE("https://raw.githubusercontent.com/RepoKing23/InstagramCarousel/claude/med-spa-carousel-ideas-sim9wz/content/gbp/2026-08-20-5-red-flags.jpg")</f>
        <v/>
      </c>
      <c r="L3" s="47" t="inlineStr">
        <is>
          <t>Look Studio / Unsplash</t>
        </is>
      </c>
      <c r="M3" s="45" t="inlineStr">
        <is>
          <t>Ready</t>
        </is>
      </c>
      <c r="N3" s="46" t="inlineStr"/>
    </row>
    <row r="4" ht="58"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5" t="inlineStr">
        <is>
          <t>Learn more</t>
        </is>
      </c>
      <c r="H4" s="47" t="inlineStr">
        <is>
          <t>@luxury_beauty_aestheticz</t>
        </is>
      </c>
      <c r="I4" s="45" t="inlineStr">
        <is>
          <t>2026-08-21-before-the-needle.jpg</t>
        </is>
      </c>
      <c r="J4" s="47" t="inlineStr">
        <is>
          <t>Open image</t>
        </is>
      </c>
      <c r="K4" s="45">
        <f>IMAGE("https://raw.githubusercontent.com/RepoKing23/InstagramCarousel/claude/med-spa-carousel-ideas-sim9wz/content/gbp/2026-08-21-before-the-needle.jpg")</f>
        <v/>
      </c>
      <c r="L4" s="47" t="inlineStr">
        <is>
          <t>CRYSTALWEED cannabis / Unsplash</t>
        </is>
      </c>
      <c r="M4" s="45" t="inlineStr">
        <is>
          <t>Ready</t>
        </is>
      </c>
      <c r="N4" s="46" t="inlineStr"/>
    </row>
    <row r="5" ht="58"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5" t="inlineStr">
        <is>
          <t>Learn more</t>
        </is>
      </c>
      <c r="H5" s="47" t="inlineStr">
        <is>
          <t>@luxury_beauty_aestheticz</t>
        </is>
      </c>
      <c r="I5" s="45" t="inlineStr">
        <is>
          <t>2026-08-22-great-work-is-invisible.jpg</t>
        </is>
      </c>
      <c r="J5" s="47" t="inlineStr">
        <is>
          <t>Open image</t>
        </is>
      </c>
      <c r="K5" s="45">
        <f>IMAGE("https://raw.githubusercontent.com/RepoKing23/InstagramCarousel/claude/med-spa-carousel-ideas-sim9wz/content/gbp/2026-08-22-great-work-is-invisible.jpg")</f>
        <v/>
      </c>
      <c r="L5" s="47" t="inlineStr">
        <is>
          <t>Alef Morais / Unsplash</t>
        </is>
      </c>
      <c r="M5" s="45" t="inlineStr">
        <is>
          <t>Ready</t>
        </is>
      </c>
      <c r="N5" s="46" t="inlineStr"/>
    </row>
    <row r="6" ht="58"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1" t="inlineStr">
        <is>
          <t>Learn more</t>
        </is>
      </c>
      <c r="H6" s="43" t="inlineStr">
        <is>
          <t>@luxury_beauty_aestheticz</t>
        </is>
      </c>
      <c r="I6" s="41" t="inlineStr">
        <is>
          <t>2026-08-23-how-long-does-it-take.jpg</t>
        </is>
      </c>
      <c r="J6" s="43" t="inlineStr">
        <is>
          <t>Open image</t>
        </is>
      </c>
      <c r="K6" s="41">
        <f>IMAGE("https://raw.githubusercontent.com/RepoKing23/InstagramCarousel/claude/med-spa-carousel-ideas-sim9wz/content/gbp/2026-08-23-how-long-does-it-take.jpg")</f>
        <v/>
      </c>
      <c r="L6" s="43" t="inlineStr">
        <is>
          <t>Ionela Mat / Unsplash</t>
        </is>
      </c>
      <c r="M6" s="41" t="inlineStr">
        <is>
          <t>Ready</t>
        </is>
      </c>
      <c r="N6" s="42" t="inlineStr"/>
    </row>
    <row r="7" ht="58"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5" t="inlineStr">
        <is>
          <t>Learn more</t>
        </is>
      </c>
      <c r="H7" s="47" t="inlineStr">
        <is>
          <t>@luxury_beauty_aestheticz</t>
        </is>
      </c>
      <c r="I7" s="45" t="inlineStr">
        <is>
          <t>2026-08-24-what-actually-happens.jpg</t>
        </is>
      </c>
      <c r="J7" s="47" t="inlineStr">
        <is>
          <t>Open image</t>
        </is>
      </c>
      <c r="K7" s="45">
        <f>IMAGE("https://raw.githubusercontent.com/RepoKing23/InstagramCarousel/claude/med-spa-carousel-ideas-sim9wz/content/gbp/2026-08-24-what-actually-happens.jpg")</f>
        <v/>
      </c>
      <c r="L7" s="47" t="inlineStr">
        <is>
          <t>karelys Ruiz / Unsplash</t>
        </is>
      </c>
      <c r="M7" s="45" t="inlineStr">
        <is>
          <t>Ready</t>
        </is>
      </c>
      <c r="N7" s="46" t="inlineStr"/>
    </row>
    <row r="8" ht="58"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5" t="inlineStr">
        <is>
          <t>Learn more</t>
        </is>
      </c>
      <c r="H8" s="47" t="inlineStr">
        <is>
          <t>@luxury_beauty_aestheticz</t>
        </is>
      </c>
      <c r="I8" s="45" t="inlineStr">
        <is>
          <t>2026-08-25-why-no-prices.jpg</t>
        </is>
      </c>
      <c r="J8" s="47" t="inlineStr">
        <is>
          <t>Open image</t>
        </is>
      </c>
      <c r="K8" s="45">
        <f>IMAGE("https://raw.githubusercontent.com/RepoKing23/InstagramCarousel/claude/med-spa-carousel-ideas-sim9wz/content/gbp/2026-08-25-why-no-prices.jpg")</f>
        <v/>
      </c>
      <c r="L8" s="47" t="inlineStr">
        <is>
          <t>Lina Verovaya / Unsplash</t>
        </is>
      </c>
      <c r="M8" s="45" t="inlineStr">
        <is>
          <t>Ready</t>
        </is>
      </c>
      <c r="N8" s="46" t="inlineStr"/>
    </row>
    <row r="9" ht="58"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1" t="inlineStr">
        <is>
          <t>Learn more</t>
        </is>
      </c>
      <c r="H9" s="43" t="inlineStr">
        <is>
          <t>@luxury_beauty_aestheticz</t>
        </is>
      </c>
      <c r="I9" s="41" t="inlineStr">
        <is>
          <t>2026-08-26-who-injects-you.jpg</t>
        </is>
      </c>
      <c r="J9" s="43" t="inlineStr">
        <is>
          <t>Open image</t>
        </is>
      </c>
      <c r="K9" s="41">
        <f>IMAGE("https://raw.githubusercontent.com/RepoKing23/InstagramCarousel/claude/med-spa-carousel-ideas-sim9wz/content/gbp/2026-08-26-who-injects-you.jpg")</f>
        <v/>
      </c>
      <c r="L9" s="43" t="inlineStr">
        <is>
          <t>Anuruddha Lokuhapuarachchi / Unsplash</t>
        </is>
      </c>
      <c r="M9" s="41" t="inlineStr">
        <is>
          <t>Ready</t>
        </is>
      </c>
      <c r="N9" s="42" t="inlineStr"/>
    </row>
    <row r="10" ht="58"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5" t="inlineStr">
        <is>
          <t>Learn more</t>
        </is>
      </c>
      <c r="H10" s="47" t="inlineStr">
        <is>
          <t>@luxury_beauty_aestheticz</t>
        </is>
      </c>
      <c r="I10" s="45" t="inlineStr">
        <is>
          <t>2026-08-27-meet-np-cleo.jpg</t>
        </is>
      </c>
      <c r="J10" s="47" t="inlineStr">
        <is>
          <t>Open image</t>
        </is>
      </c>
      <c r="K10" s="45">
        <f>IMAGE("https://raw.githubusercontent.com/RepoKing23/InstagramCarousel/claude/med-spa-carousel-ideas-sim9wz/content/gbp/2026-08-27-meet-np-cleo.jpg")</f>
        <v/>
      </c>
      <c r="L10" s="47" t="inlineStr">
        <is>
          <t>Look Studio / Unsplash</t>
        </is>
      </c>
      <c r="M10" s="45" t="inlineStr">
        <is>
          <t>Ready</t>
        </is>
      </c>
      <c r="N10" s="46" t="inlineStr"/>
    </row>
    <row r="11" ht="58"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5" t="inlineStr">
        <is>
          <t>Learn more</t>
        </is>
      </c>
      <c r="H11" s="47" t="inlineStr">
        <is>
          <t>@luxury_beauty_aestheticz</t>
        </is>
      </c>
      <c r="I11" s="45" t="inlineStr">
        <is>
          <t>2026-08-28-where-calm-meets-careful.jpg</t>
        </is>
      </c>
      <c r="J11" s="47" t="inlineStr">
        <is>
          <t>Open image</t>
        </is>
      </c>
      <c r="K11" s="45">
        <f>IMAGE("https://raw.githubusercontent.com/RepoKing23/InstagramCarousel/claude/med-spa-carousel-ideas-sim9wz/content/gbp/2026-08-28-where-calm-meets-careful.jpg")</f>
        <v/>
      </c>
      <c r="L11" s="47" t="inlineStr">
        <is>
          <t>Masum Rahimi / Unsplash</t>
        </is>
      </c>
      <c r="M11" s="45" t="inlineStr">
        <is>
          <t>Ready</t>
        </is>
      </c>
      <c r="N11" s="46" t="inlineStr"/>
    </row>
    <row r="12" ht="58"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5" t="inlineStr">
        <is>
          <t>Learn more</t>
        </is>
      </c>
      <c r="H12" s="47" t="inlineStr">
        <is>
          <t>@luxury_beauty_aestheticz</t>
        </is>
      </c>
      <c r="I12" s="45" t="inlineStr">
        <is>
          <t>2026-08-29-rested-or-frozen.jpg</t>
        </is>
      </c>
      <c r="J12" s="47" t="inlineStr">
        <is>
          <t>Open image</t>
        </is>
      </c>
      <c r="K12" s="45">
        <f>IMAGE("https://raw.githubusercontent.com/RepoKing23/InstagramCarousel/claude/med-spa-carousel-ideas-sim9wz/content/gbp/2026-08-29-rested-or-frozen.jpg")</f>
        <v/>
      </c>
      <c r="L12" s="47" t="inlineStr">
        <is>
          <t>engin akyurt / Unsplash</t>
        </is>
      </c>
      <c r="M12" s="45" t="inlineStr">
        <is>
          <t>Ready</t>
        </is>
      </c>
      <c r="N12" s="46" t="inlineStr"/>
    </row>
    <row r="13" ht="58"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1" t="inlineStr">
        <is>
          <t>Learn more</t>
        </is>
      </c>
      <c r="H13" s="43" t="inlineStr">
        <is>
          <t>@luxury_beauty_aestheticz</t>
        </is>
      </c>
      <c r="I13" s="41" t="inlineStr">
        <is>
          <t>2026-08-30-what-a-consult-includes.jpg</t>
        </is>
      </c>
      <c r="J13" s="43" t="inlineStr">
        <is>
          <t>Open image</t>
        </is>
      </c>
      <c r="K13" s="41">
        <f>IMAGE("https://raw.githubusercontent.com/RepoKing23/InstagramCarousel/claude/med-spa-carousel-ideas-sim9wz/content/gbp/2026-08-30-what-a-consult-includes.jpg")</f>
        <v/>
      </c>
      <c r="L13" s="43" t="inlineStr">
        <is>
          <t>Calugar Ana Maria / Unsplash</t>
        </is>
      </c>
      <c r="M13" s="41" t="inlineStr">
        <is>
          <t>Ready</t>
        </is>
      </c>
      <c r="N13" s="42" t="inlineStr"/>
    </row>
    <row r="14" ht="58"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5" t="inlineStr">
        <is>
          <t>Learn more</t>
        </is>
      </c>
      <c r="H14" s="47" t="inlineStr">
        <is>
          <t>@luxury_beauty_aestheticz</t>
        </is>
      </c>
      <c r="I14" s="45" t="inlineStr">
        <is>
          <t>2026-08-31-when-to-start.jpg</t>
        </is>
      </c>
      <c r="J14" s="47" t="inlineStr">
        <is>
          <t>Open image</t>
        </is>
      </c>
      <c r="K14" s="45">
        <f>IMAGE("https://raw.githubusercontent.com/RepoKing23/InstagramCarousel/claude/med-spa-carousel-ideas-sim9wz/content/gbp/2026-08-31-when-to-start.jpg")</f>
        <v/>
      </c>
      <c r="L14" s="47" t="inlineStr">
        <is>
          <t>Fleur Kaan / Unsplash</t>
        </is>
      </c>
      <c r="M14" s="45" t="inlineStr">
        <is>
          <t>Ready</t>
        </is>
      </c>
      <c r="N14" s="46" t="inlineStr"/>
    </row>
    <row r="15" ht="58"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5" t="inlineStr">
        <is>
          <t>Learn more</t>
        </is>
      </c>
      <c r="H15" s="47" t="inlineStr">
        <is>
          <t>@luxury_beauty_aestheticz</t>
        </is>
      </c>
      <c r="I15" s="45" t="inlineStr">
        <is>
          <t>2026-09-01-spotlight-preventative.jpg</t>
        </is>
      </c>
      <c r="J15" s="47" t="inlineStr">
        <is>
          <t>Open image</t>
        </is>
      </c>
      <c r="K15" s="45">
        <f>IMAGE("https://raw.githubusercontent.com/RepoKing23/InstagramCarousel/claude/med-spa-carousel-ideas-sim9wz/content/gbp/2026-09-01-spotlight-preventative.jpg")</f>
        <v/>
      </c>
      <c r="L15" s="47" t="inlineStr">
        <is>
          <t>Fleur Kaan / Unsplash</t>
        </is>
      </c>
      <c r="M15" s="45" t="inlineStr">
        <is>
          <t>Ready</t>
        </is>
      </c>
      <c r="N15" s="46" t="inlineStr"/>
    </row>
    <row r="16" ht="58"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1" t="inlineStr">
        <is>
          <t>Learn more</t>
        </is>
      </c>
      <c r="H16" s="43" t="inlineStr">
        <is>
          <t>@luxury_beauty_aestheticz</t>
        </is>
      </c>
      <c r="I16" s="41" t="inlineStr">
        <is>
          <t>2026-09-02-is-it-safe.jpg</t>
        </is>
      </c>
      <c r="J16" s="43" t="inlineStr">
        <is>
          <t>Open image</t>
        </is>
      </c>
      <c r="K16" s="41">
        <f>IMAGE("https://raw.githubusercontent.com/RepoKing23/InstagramCarousel/claude/med-spa-carousel-ideas-sim9wz/content/gbp/2026-09-02-is-it-safe.jpg")</f>
        <v/>
      </c>
      <c r="L16" s="43" t="inlineStr">
        <is>
          <t>Atikah Akhtar / Unsplash</t>
        </is>
      </c>
      <c r="M16" s="41" t="inlineStr">
        <is>
          <t>Ready</t>
        </is>
      </c>
      <c r="N16" s="42" t="inlineStr"/>
    </row>
    <row r="17" ht="58"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5" t="inlineStr">
        <is>
          <t>Learn more</t>
        </is>
      </c>
      <c r="H17" s="47" t="inlineStr">
        <is>
          <t>@luxury_beauty_aestheticz</t>
        </is>
      </c>
      <c r="I17" s="45" t="inlineStr">
        <is>
          <t>2026-09-03-20-units.jpg</t>
        </is>
      </c>
      <c r="J17" s="47" t="inlineStr">
        <is>
          <t>Open image</t>
        </is>
      </c>
      <c r="K17" s="45">
        <f>IMAGE("https://raw.githubusercontent.com/RepoKing23/InstagramCarousel/claude/med-spa-carousel-ideas-sim9wz/content/gbp/2026-09-03-20-units.jpg")</f>
        <v/>
      </c>
      <c r="L17" s="47" t="inlineStr">
        <is>
          <t>ONNE Beauty / Unsplash</t>
        </is>
      </c>
      <c r="M17" s="45" t="inlineStr">
        <is>
          <t>Ready</t>
        </is>
      </c>
      <c r="N17" s="46" t="inlineStr"/>
    </row>
    <row r="18" ht="58"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5" t="inlineStr">
        <is>
          <t>Learn more</t>
        </is>
      </c>
      <c r="H18" s="47" t="inlineStr">
        <is>
          <t>@luxury_beauty_aestheticz</t>
        </is>
      </c>
      <c r="I18" s="45" t="inlineStr">
        <is>
          <t>2026-09-04-meet-your-injector.jpg</t>
        </is>
      </c>
      <c r="J18" s="47" t="inlineStr">
        <is>
          <t>Open image</t>
        </is>
      </c>
      <c r="K18" s="45">
        <f>IMAGE("https://raw.githubusercontent.com/RepoKing23/InstagramCarousel/claude/med-spa-carousel-ideas-sim9wz/content/gbp/2026-09-04-meet-your-injector.jpg")</f>
        <v/>
      </c>
      <c r="L18" s="47" t="inlineStr">
        <is>
          <t>Masum Rahimi / Unsplash</t>
        </is>
      </c>
      <c r="M18" s="45" t="inlineStr">
        <is>
          <t>Ready</t>
        </is>
      </c>
      <c r="N18" s="46" t="inlineStr"/>
    </row>
    <row r="19" ht="58"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5" t="inlineStr">
        <is>
          <t>Learn more</t>
        </is>
      </c>
      <c r="H19" s="47" t="inlineStr">
        <is>
          <t>@luxury_beauty_aestheticz</t>
        </is>
      </c>
      <c r="I19" s="45" t="inlineStr">
        <is>
          <t>2026-09-05-prevention-beats-erasing.jpg</t>
        </is>
      </c>
      <c r="J19" s="47" t="inlineStr">
        <is>
          <t>Open image</t>
        </is>
      </c>
      <c r="K19" s="45">
        <f>IMAGE("https://raw.githubusercontent.com/RepoKing23/InstagramCarousel/claude/med-spa-carousel-ideas-sim9wz/content/gbp/2026-09-05-prevention-beats-erasing.jpg")</f>
        <v/>
      </c>
      <c r="L19" s="47" t="inlineStr">
        <is>
          <t>Elist Nguyen / Unsplash</t>
        </is>
      </c>
      <c r="M19" s="45" t="inlineStr">
        <is>
          <t>Ready</t>
        </is>
      </c>
      <c r="N19" s="46" t="inlineStr"/>
    </row>
    <row r="20" ht="58"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1" t="inlineStr">
        <is>
          <t>Learn more</t>
        </is>
      </c>
      <c r="H20" s="43" t="inlineStr">
        <is>
          <t>@luxury_beauty_aestheticz</t>
        </is>
      </c>
      <c r="I20" s="41" t="inlineStr">
        <is>
          <t>2026-09-06-first-timer.jpg</t>
        </is>
      </c>
      <c r="J20" s="43" t="inlineStr">
        <is>
          <t>Open image</t>
        </is>
      </c>
      <c r="K20" s="41">
        <f>IMAGE("https://raw.githubusercontent.com/RepoKing23/InstagramCarousel/claude/med-spa-carousel-ideas-sim9wz/content/gbp/2026-09-06-first-timer.jpg")</f>
        <v/>
      </c>
      <c r="L20" s="43" t="inlineStr">
        <is>
          <t>engin akyurt / Unsplash</t>
        </is>
      </c>
      <c r="M20" s="41" t="inlineStr">
        <is>
          <t>Ready</t>
        </is>
      </c>
      <c r="N20" s="42" t="inlineStr"/>
    </row>
    <row r="21" ht="58"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5" t="inlineStr">
        <is>
          <t>Learn more</t>
        </is>
      </c>
      <c r="H21" s="47" t="inlineStr">
        <is>
          <t>@luxury_beauty_aestheticz</t>
        </is>
      </c>
      <c r="I21" s="45" t="inlineStr">
        <is>
          <t>2026-09-07-botox-vs-dysport.jpg</t>
        </is>
      </c>
      <c r="J21" s="47" t="inlineStr">
        <is>
          <t>Open image</t>
        </is>
      </c>
      <c r="K21" s="45">
        <f>IMAGE("https://raw.githubusercontent.com/RepoKing23/InstagramCarousel/claude/med-spa-carousel-ideas-sim9wz/content/gbp/2026-09-07-botox-vs-dysport.jpg")</f>
        <v/>
      </c>
      <c r="L21" s="47" t="inlineStr">
        <is>
          <t>Catherine Grimes / Unsplash</t>
        </is>
      </c>
      <c r="M21" s="45" t="inlineStr">
        <is>
          <t>Ready</t>
        </is>
      </c>
      <c r="N21" s="46" t="inlineStr"/>
    </row>
    <row r="22" ht="58"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5" t="inlineStr">
        <is>
          <t>Learn more</t>
        </is>
      </c>
      <c r="H22" s="47" t="inlineStr">
        <is>
          <t>@luxury_beauty_aestheticz</t>
        </is>
      </c>
      <c r="I22" s="45" t="inlineStr">
        <is>
          <t>2026-09-08-at-a-glance.jpg</t>
        </is>
      </c>
      <c r="J22" s="47" t="inlineStr">
        <is>
          <t>Open image</t>
        </is>
      </c>
      <c r="K22" s="45">
        <f>IMAGE("https://raw.githubusercontent.com/RepoKing23/InstagramCarousel/claude/med-spa-carousel-ideas-sim9wz/content/gbp/2026-09-08-at-a-glance.jpg")</f>
        <v/>
      </c>
      <c r="L22" s="47" t="inlineStr">
        <is>
          <t>Gabrielle Henderson / Unsplash</t>
        </is>
      </c>
      <c r="M22" s="45" t="inlineStr">
        <is>
          <t>Ready</t>
        </is>
      </c>
      <c r="N22" s="46" t="inlineStr"/>
    </row>
    <row r="23" ht="58"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1" t="inlineStr">
        <is>
          <t>Learn more</t>
        </is>
      </c>
      <c r="H23" s="43" t="inlineStr">
        <is>
          <t>@luxury_beauty_aestheticz</t>
        </is>
      </c>
      <c r="I23" s="41" t="inlineStr">
        <is>
          <t>2026-09-09-aftercare-rules.jpg</t>
        </is>
      </c>
      <c r="J23" s="43" t="inlineStr">
        <is>
          <t>Open image</t>
        </is>
      </c>
      <c r="K23" s="41">
        <f>IMAGE("https://raw.githubusercontent.com/RepoKing23/InstagramCarousel/claude/med-spa-carousel-ideas-sim9wz/content/gbp/2026-09-09-aftercare-rules.jpg")</f>
        <v/>
      </c>
      <c r="L23" s="43" t="inlineStr">
        <is>
          <t>Gabrielle Henderson / Unsplash</t>
        </is>
      </c>
      <c r="M23" s="41" t="inlineStr">
        <is>
          <t>Ready</t>
        </is>
      </c>
      <c r="N23" s="42" t="inlineStr"/>
    </row>
    <row r="24" ht="58"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5" t="inlineStr">
        <is>
          <t>Learn more</t>
        </is>
      </c>
      <c r="H24" s="47" t="inlineStr">
        <is>
          <t>@luxury_beauty_aestheticz</t>
        </is>
      </c>
      <c r="I24" s="45" t="inlineStr">
        <is>
          <t>2026-09-10-first-48-hours.jpg</t>
        </is>
      </c>
      <c r="J24" s="47" t="inlineStr">
        <is>
          <t>Open image</t>
        </is>
      </c>
      <c r="K24" s="45">
        <f>IMAGE("https://raw.githubusercontent.com/RepoKing23/InstagramCarousel/claude/med-spa-carousel-ideas-sim9wz/content/gbp/2026-09-10-first-48-hours.jpg")</f>
        <v/>
      </c>
      <c r="L24" s="47" t="inlineStr">
        <is>
          <t>ONNE Beauty / Unsplash</t>
        </is>
      </c>
      <c r="M24" s="45" t="inlineStr">
        <is>
          <t>Ready</t>
        </is>
      </c>
      <c r="N24" s="46" t="inlineStr"/>
    </row>
    <row r="25" ht="58"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5" t="inlineStr">
        <is>
          <t>Learn more</t>
        </is>
      </c>
      <c r="H25" s="47" t="inlineStr">
        <is>
          <t>@luxury_beauty_aestheticz</t>
        </is>
      </c>
      <c r="I25" s="45" t="inlineStr">
        <is>
          <t>2026-09-11-the-face-map.jpg</t>
        </is>
      </c>
      <c r="J25" s="47" t="inlineStr">
        <is>
          <t>Open image</t>
        </is>
      </c>
      <c r="K25" s="45">
        <f>IMAGE("https://raw.githubusercontent.com/RepoKing23/InstagramCarousel/claude/med-spa-carousel-ideas-sim9wz/content/gbp/2026-09-11-the-face-map.jpg")</f>
        <v/>
      </c>
      <c r="L25" s="47" t="inlineStr">
        <is>
          <t>JEaLiFe Pictures / Unsplash</t>
        </is>
      </c>
      <c r="M25" s="45" t="inlineStr">
        <is>
          <t>Ready</t>
        </is>
      </c>
      <c r="N25" s="46" t="inlineStr"/>
    </row>
    <row r="26" ht="58"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5" t="inlineStr">
        <is>
          <t>Learn more</t>
        </is>
      </c>
      <c r="H26" s="47" t="inlineStr">
        <is>
          <t>@luxury_beauty_aestheticz</t>
        </is>
      </c>
      <c r="I26" s="45" t="inlineStr">
        <is>
          <t>2026-09-12-does-it-hurt.jpg</t>
        </is>
      </c>
      <c r="J26" s="47" t="inlineStr">
        <is>
          <t>Open image</t>
        </is>
      </c>
      <c r="K26" s="45">
        <f>IMAGE("https://raw.githubusercontent.com/RepoKing23/InstagramCarousel/claude/med-spa-carousel-ideas-sim9wz/content/gbp/2026-09-12-does-it-hurt.jpg")</f>
        <v/>
      </c>
      <c r="L26" s="47" t="inlineStr">
        <is>
          <t>Victor Meza / Unsplash</t>
        </is>
      </c>
      <c r="M26" s="45" t="inlineStr">
        <is>
          <t>Ready</t>
        </is>
      </c>
      <c r="N26" s="46" t="inlineStr"/>
    </row>
    <row r="27" ht="58"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1" t="inlineStr">
        <is>
          <t>Learn more</t>
        </is>
      </c>
      <c r="H27" s="43" t="inlineStr">
        <is>
          <t>@luxury_beauty_aestheticz</t>
        </is>
      </c>
      <c r="I27" s="41" t="inlineStr">
        <is>
          <t>2026-09-13-still-look-like-you.jpg</t>
        </is>
      </c>
      <c r="J27" s="43" t="inlineStr">
        <is>
          <t>Open image</t>
        </is>
      </c>
      <c r="K27" s="41">
        <f>IMAGE("https://raw.githubusercontent.com/RepoKing23/InstagramCarousel/claude/med-spa-carousel-ideas-sim9wz/content/gbp/2026-09-13-still-look-like-you.jpg")</f>
        <v/>
      </c>
      <c r="L27" s="43" t="inlineStr">
        <is>
          <t>Zac Taheriyan / Unsplash</t>
        </is>
      </c>
      <c r="M27" s="41" t="inlineStr">
        <is>
          <t>Ready</t>
        </is>
      </c>
      <c r="N27" s="42" t="inlineStr"/>
    </row>
    <row r="28" ht="58"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5" t="inlineStr">
        <is>
          <t>Learn more</t>
        </is>
      </c>
      <c r="H28" s="47" t="inlineStr">
        <is>
          <t>@luxury_beauty_aestheticz</t>
        </is>
      </c>
      <c r="I28" s="45" t="inlineStr">
        <is>
          <t>2026-09-14-5-things-botox-cannot-do.jpg</t>
        </is>
      </c>
      <c r="J28" s="47" t="inlineStr">
        <is>
          <t>Open image</t>
        </is>
      </c>
      <c r="K28" s="45">
        <f>IMAGE("https://raw.githubusercontent.com/RepoKing23/InstagramCarousel/claude/med-spa-carousel-ideas-sim9wz/content/gbp/2026-09-14-5-things-botox-cannot-do.jpg")</f>
        <v/>
      </c>
      <c r="L28" s="47" t="inlineStr">
        <is>
          <t>engin akyurt / Unsplash</t>
        </is>
      </c>
      <c r="M28" s="45" t="inlineStr">
        <is>
          <t>Ready</t>
        </is>
      </c>
      <c r="N28" s="46" t="inlineStr"/>
    </row>
    <row r="29" ht="58"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5" t="inlineStr">
        <is>
          <t>Learn more</t>
        </is>
      </c>
      <c r="H29" s="47" t="inlineStr">
        <is>
          <t>@luxury_beauty_aestheticz</t>
        </is>
      </c>
      <c r="I29" s="45" t="inlineStr">
        <is>
          <t>2026-09-15-what-it-cannot-fix.jpg</t>
        </is>
      </c>
      <c r="J29" s="47" t="inlineStr">
        <is>
          <t>Open image</t>
        </is>
      </c>
      <c r="K29" s="45">
        <f>IMAGE("https://raw.githubusercontent.com/RepoKing23/InstagramCarousel/claude/med-spa-carousel-ideas-sim9wz/content/gbp/2026-09-15-what-it-cannot-fix.jpg")</f>
        <v/>
      </c>
      <c r="L29" s="47" t="inlineStr">
        <is>
          <t>engin akyurt / Unsplash</t>
        </is>
      </c>
      <c r="M29" s="45" t="inlineStr">
        <is>
          <t>Ready</t>
        </is>
      </c>
      <c r="N29" s="46" t="inlineStr"/>
    </row>
    <row r="30" ht="58"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1" t="inlineStr">
        <is>
          <t>Learn more</t>
        </is>
      </c>
      <c r="H30" s="43" t="inlineStr">
        <is>
          <t>@luxury_beauty_aestheticz</t>
        </is>
      </c>
      <c r="I30" s="41" t="inlineStr">
        <is>
          <t>2026-09-16-how-to-book.jpg</t>
        </is>
      </c>
      <c r="J30" s="43" t="inlineStr">
        <is>
          <t>Open image</t>
        </is>
      </c>
      <c r="K30" s="41">
        <f>IMAGE("https://raw.githubusercontent.com/RepoKing23/InstagramCarousel/claude/med-spa-carousel-ideas-sim9wz/content/gbp/2026-09-16-how-to-book.jpg")</f>
        <v/>
      </c>
      <c r="L30" s="43" t="inlineStr">
        <is>
          <t>Bee Naturalles / Unsplash</t>
        </is>
      </c>
      <c r="M30" s="41" t="inlineStr">
        <is>
          <t>Ready</t>
        </is>
      </c>
      <c r="N30" s="42" t="inlineStr"/>
    </row>
    <row r="31" ht="58"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5" t="inlineStr">
        <is>
          <t>Learn more</t>
        </is>
      </c>
      <c r="H31" s="47" t="inlineStr">
        <is>
          <t>@luxury_beauty_aestheticz</t>
        </is>
      </c>
      <c r="I31" s="45" t="inlineStr">
        <is>
          <t>2026-09-17-still-you-just-refreshed.jpg</t>
        </is>
      </c>
      <c r="J31" s="47" t="inlineStr">
        <is>
          <t>Open image</t>
        </is>
      </c>
      <c r="K31" s="45">
        <f>IMAGE("https://raw.githubusercontent.com/RepoKing23/InstagramCarousel/claude/med-spa-carousel-ideas-sim9wz/content/gbp/2026-09-17-still-you-just-refreshed.jpg")</f>
        <v/>
      </c>
      <c r="L31" s="47" t="inlineStr">
        <is>
          <t>Zulfugar Karimov / Unsplash</t>
        </is>
      </c>
      <c r="M31" s="45" t="inlineStr">
        <is>
          <t>Ready</t>
        </is>
      </c>
      <c r="N31" s="46" t="inlineStr"/>
    </row>
    <row r="32" ht="58"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5" t="inlineStr">
        <is>
          <t>Learn more</t>
        </is>
      </c>
      <c r="H32" s="47" t="inlineStr">
        <is>
          <t>@luxury_beauty_aestheticz</t>
        </is>
      </c>
      <c r="I32" s="45" t="inlineStr">
        <is>
          <t>2026-09-18-frozen-face-myth.jpg</t>
        </is>
      </c>
      <c r="J32" s="47" t="inlineStr">
        <is>
          <t>Open image</t>
        </is>
      </c>
      <c r="K32" s="45">
        <f>IMAGE("https://raw.githubusercontent.com/RepoKing23/InstagramCarousel/claude/med-spa-carousel-ideas-sim9wz/content/gbp/2026-09-18-frozen-face-myth.jpg")</f>
        <v/>
      </c>
      <c r="L32" s="47" t="inlineStr">
        <is>
          <t>Neda Vidakovic / Unsplash</t>
        </is>
      </c>
      <c r="M32" s="45" t="inlineStr">
        <is>
          <t>Ready</t>
        </is>
      </c>
      <c r="N32" s="46" t="inlineStr"/>
    </row>
    <row r="33" ht="58"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5" t="inlineStr">
        <is>
          <t>Learn more</t>
        </is>
      </c>
      <c r="H33" s="47" t="inlineStr">
        <is>
          <t>@luxury_beauty_aestheticz</t>
        </is>
      </c>
      <c r="I33" s="45" t="inlineStr">
        <is>
          <t>2026-09-19-nobody-guessed.jpg</t>
        </is>
      </c>
      <c r="J33" s="47" t="inlineStr">
        <is>
          <t>Open image</t>
        </is>
      </c>
      <c r="K33" s="45">
        <f>IMAGE("https://raw.githubusercontent.com/RepoKing23/InstagramCarousel/claude/med-spa-carousel-ideas-sim9wz/content/gbp/2026-09-19-nobody-guessed.jpg")</f>
        <v/>
      </c>
      <c r="L33" s="47" t="inlineStr">
        <is>
          <t>Vitaliy Shevchenko / Unsplash</t>
        </is>
      </c>
      <c r="M33" s="45" t="inlineStr">
        <is>
          <t>Ready</t>
        </is>
      </c>
      <c r="N33" s="46" t="inlineStr"/>
    </row>
    <row r="34" ht="58"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1" t="inlineStr">
        <is>
          <t>Learn more</t>
        </is>
      </c>
      <c r="H34" s="43" t="inlineStr">
        <is>
          <t>@luxury_beauty_aestheticz</t>
        </is>
      </c>
      <c r="I34" s="41" t="inlineStr">
        <is>
          <t>2026-09-20-service-area.jpg</t>
        </is>
      </c>
      <c r="J34" s="43" t="inlineStr">
        <is>
          <t>Open image</t>
        </is>
      </c>
      <c r="K34" s="41">
        <f>IMAGE("https://raw.githubusercontent.com/RepoKing23/InstagramCarousel/claude/med-spa-carousel-ideas-sim9wz/content/gbp/2026-09-20-service-area.jpg")</f>
        <v/>
      </c>
      <c r="L34" s="43" t="inlineStr">
        <is>
          <t>Elist Nguyen / Unsplash</t>
        </is>
      </c>
      <c r="M34" s="41" t="inlineStr">
        <is>
          <t>Ready</t>
        </is>
      </c>
      <c r="N34" s="42" t="inlineStr"/>
    </row>
    <row r="35" ht="58"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5" t="inlineStr">
        <is>
          <t>Learn more</t>
        </is>
      </c>
      <c r="H35" s="47" t="inlineStr">
        <is>
          <t>@luxury_beauty_aestheticz</t>
        </is>
      </c>
      <c r="I35" s="45" t="inlineStr">
        <is>
          <t>2026-09-21-botox-or-filler.jpg</t>
        </is>
      </c>
      <c r="J35" s="47" t="inlineStr">
        <is>
          <t>Open image</t>
        </is>
      </c>
      <c r="K35" s="45">
        <f>IMAGE("https://raw.githubusercontent.com/RepoKing23/InstagramCarousel/claude/med-spa-carousel-ideas-sim9wz/content/gbp/2026-09-21-botox-or-filler.jpg")</f>
        <v/>
      </c>
      <c r="L35" s="47" t="inlineStr">
        <is>
          <t>Alef Morais / Unsplash</t>
        </is>
      </c>
      <c r="M35" s="45" t="inlineStr">
        <is>
          <t>Ready</t>
        </is>
      </c>
      <c r="N35" s="46" t="inlineStr"/>
    </row>
    <row r="36" ht="58"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5" t="inlineStr">
        <is>
          <t>Learn more</t>
        </is>
      </c>
      <c r="H36" s="47" t="inlineStr">
        <is>
          <t>@luxury_beauty_aestheticz</t>
        </is>
      </c>
      <c r="I36" s="45" t="inlineStr">
        <is>
          <t>2026-09-22-lines-vs-volume.jpg</t>
        </is>
      </c>
      <c r="J36" s="47" t="inlineStr">
        <is>
          <t>Open image</t>
        </is>
      </c>
      <c r="K36" s="45">
        <f>IMAGE("https://raw.githubusercontent.com/RepoKing23/InstagramCarousel/claude/med-spa-carousel-ideas-sim9wz/content/gbp/2026-09-22-lines-vs-volume.jpg")</f>
        <v/>
      </c>
      <c r="L36" s="47" t="inlineStr">
        <is>
          <t>Rosa Rafael / Unsplash</t>
        </is>
      </c>
      <c r="M36" s="45" t="inlineStr">
        <is>
          <t>Ready</t>
        </is>
      </c>
      <c r="N36" s="46" t="inlineStr"/>
    </row>
    <row r="37" ht="58"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1" t="inlineStr">
        <is>
          <t>Learn more</t>
        </is>
      </c>
      <c r="H37" s="43" t="inlineStr">
        <is>
          <t>@luxury_beauty_aestheticz</t>
        </is>
      </c>
      <c r="I37" s="41" t="inlineStr">
        <is>
          <t>2026-09-23-what-to-ask.jpg</t>
        </is>
      </c>
      <c r="J37" s="43" t="inlineStr">
        <is>
          <t>Open image</t>
        </is>
      </c>
      <c r="K37" s="41">
        <f>IMAGE("https://raw.githubusercontent.com/RepoKing23/InstagramCarousel/claude/med-spa-carousel-ideas-sim9wz/content/gbp/2026-09-23-what-to-ask.jpg")</f>
        <v/>
      </c>
      <c r="L37" s="43" t="inlineStr">
        <is>
          <t>Soheil Kmp / Unsplash</t>
        </is>
      </c>
      <c r="M37" s="41" t="inlineStr">
        <is>
          <t>Ready</t>
        </is>
      </c>
      <c r="N37" s="42" t="inlineStr"/>
    </row>
    <row r="38" ht="58"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5" t="inlineStr">
        <is>
          <t>Learn more</t>
        </is>
      </c>
      <c r="H38" s="47" t="inlineStr">
        <is>
          <t>@luxury_beauty_aestheticz</t>
        </is>
      </c>
      <c r="I38" s="45" t="inlineStr">
        <is>
          <t>2026-09-24-ask-np-cleo.jpg</t>
        </is>
      </c>
      <c r="J38" s="47" t="inlineStr">
        <is>
          <t>Open image</t>
        </is>
      </c>
      <c r="K38" s="45">
        <f>IMAGE("https://raw.githubusercontent.com/RepoKing23/InstagramCarousel/claude/med-spa-carousel-ideas-sim9wz/content/gbp/2026-09-24-ask-np-cleo.jpg")</f>
        <v/>
      </c>
      <c r="L38" s="47" t="inlineStr">
        <is>
          <t>Look Studio / Unsplash</t>
        </is>
      </c>
      <c r="M38" s="45" t="inlineStr">
        <is>
          <t>Ready</t>
        </is>
      </c>
      <c r="N38" s="46" t="inlineStr"/>
    </row>
    <row r="39" ht="58"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5" t="inlineStr">
        <is>
          <t>Learn more</t>
        </is>
      </c>
      <c r="H39" s="47" t="inlineStr">
        <is>
          <t>@luxury_beauty_aestheticz</t>
        </is>
      </c>
      <c r="I39" s="45" t="inlineStr">
        <is>
          <t>2026-09-25-your-dms-answered.jpg</t>
        </is>
      </c>
      <c r="J39" s="47" t="inlineStr">
        <is>
          <t>Open image</t>
        </is>
      </c>
      <c r="K39" s="45">
        <f>IMAGE("https://raw.githubusercontent.com/RepoKing23/InstagramCarousel/claude/med-spa-carousel-ideas-sim9wz/content/gbp/2026-09-25-your-dms-answered.jpg")</f>
        <v/>
      </c>
      <c r="L39" s="47" t="inlineStr">
        <is>
          <t>Masum Rahimi / Unsplash</t>
        </is>
      </c>
      <c r="M39" s="45" t="inlineStr">
        <is>
          <t>Ready</t>
        </is>
      </c>
      <c r="N39" s="46" t="inlineStr"/>
    </row>
    <row r="40" ht="58"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5" t="inlineStr">
        <is>
          <t>Learn more</t>
        </is>
      </c>
      <c r="H40" s="47" t="inlineStr">
        <is>
          <t>@luxury_beauty_aestheticz</t>
        </is>
      </c>
      <c r="I40" s="45" t="inlineStr">
        <is>
          <t>2026-09-26-what-next.jpg</t>
        </is>
      </c>
      <c r="J40" s="47" t="inlineStr">
        <is>
          <t>Open image</t>
        </is>
      </c>
      <c r="K40" s="45">
        <f>IMAGE("https://raw.githubusercontent.com/RepoKing23/InstagramCarousel/claude/med-spa-carousel-ideas-sim9wz/content/gbp/2026-09-26-what-next.jpg")</f>
        <v/>
      </c>
      <c r="L40" s="47" t="inlineStr">
        <is>
          <t>Calugar Ana Maria / Unsplash</t>
        </is>
      </c>
      <c r="M40" s="45" t="inlineStr">
        <is>
          <t>Ready</t>
        </is>
      </c>
      <c r="N40" s="46" t="inlineStr"/>
    </row>
    <row r="41" ht="58"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1" t="inlineStr">
        <is>
          <t>Learn more</t>
        </is>
      </c>
      <c r="H41" s="43" t="inlineStr">
        <is>
          <t>@luxury_beauty_aestheticz</t>
        </is>
      </c>
      <c r="I41" s="41" t="inlineStr">
        <is>
          <t>2026-09-27-two-week-review.jpg</t>
        </is>
      </c>
      <c r="J41" s="43" t="inlineStr">
        <is>
          <t>Open image</t>
        </is>
      </c>
      <c r="K41" s="41">
        <f>IMAGE("https://raw.githubusercontent.com/RepoKing23/InstagramCarousel/claude/med-spa-carousel-ideas-sim9wz/content/gbp/2026-09-27-two-week-review.jpg")</f>
        <v/>
      </c>
      <c r="L41" s="43" t="inlineStr">
        <is>
          <t>Ionela Mat / Unsplash</t>
        </is>
      </c>
      <c r="M41" s="41" t="inlineStr">
        <is>
          <t>Ready</t>
        </is>
      </c>
      <c r="N41" s="42" t="inlineStr"/>
    </row>
    <row r="42" ht="58"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5" t="inlineStr">
        <is>
          <t>Learn more</t>
        </is>
      </c>
      <c r="H42" s="47" t="inlineStr">
        <is>
          <t>@luxury_beauty_aestheticz</t>
        </is>
      </c>
      <c r="I42" s="45" t="inlineStr">
        <is>
          <t>2026-09-28-how-long-does-it-last.jpg</t>
        </is>
      </c>
      <c r="J42" s="47" t="inlineStr">
        <is>
          <t>Open image</t>
        </is>
      </c>
      <c r="K42" s="45">
        <f>IMAGE("https://raw.githubusercontent.com/RepoKing23/InstagramCarousel/claude/med-spa-carousel-ideas-sim9wz/content/gbp/2026-09-28-how-long-does-it-last.jpg")</f>
        <v/>
      </c>
      <c r="L42" s="47" t="inlineStr">
        <is>
          <t>ONNE Beauty / Unsplash</t>
        </is>
      </c>
      <c r="M42" s="45" t="inlineStr">
        <is>
          <t>Ready</t>
        </is>
      </c>
      <c r="N42" s="46" t="inlineStr"/>
    </row>
    <row r="43" ht="58"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5" t="inlineStr">
        <is>
          <t>Learn more</t>
        </is>
      </c>
      <c r="H43" s="47" t="inlineStr">
        <is>
          <t>@luxury_beauty_aestheticz</t>
        </is>
      </c>
      <c r="I43" s="45" t="inlineStr">
        <is>
          <t>2026-09-29-three-month-timeline.jpg</t>
        </is>
      </c>
      <c r="J43" s="47" t="inlineStr">
        <is>
          <t>Open image</t>
        </is>
      </c>
      <c r="K43" s="45">
        <f>IMAGE("https://raw.githubusercontent.com/RepoKing23/InstagramCarousel/claude/med-spa-carousel-ideas-sim9wz/content/gbp/2026-09-29-three-month-timeline.jpg")</f>
        <v/>
      </c>
      <c r="L43" s="47" t="inlineStr">
        <is>
          <t>Catherine Grimes / Unsplash</t>
        </is>
      </c>
      <c r="M43" s="45" t="inlineStr">
        <is>
          <t>Ready</t>
        </is>
      </c>
      <c r="N43" s="46" t="inlineStr"/>
    </row>
    <row r="44" ht="58"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1" t="inlineStr">
        <is>
          <t>Learn more</t>
        </is>
      </c>
      <c r="H44" s="43" t="inlineStr">
        <is>
          <t>@luxury_beauty_aestheticz</t>
        </is>
      </c>
      <c r="I44" s="41" t="inlineStr">
        <is>
          <t>2026-09-30-october-preview.jpg</t>
        </is>
      </c>
      <c r="J44" s="43" t="inlineStr">
        <is>
          <t>Open image</t>
        </is>
      </c>
      <c r="K44" s="41">
        <f>IMAGE("https://raw.githubusercontent.com/RepoKing23/InstagramCarousel/claude/med-spa-carousel-ideas-sim9wz/content/gbp/2026-09-30-october-preview.jpg")</f>
        <v/>
      </c>
      <c r="L44" s="43" t="inlineStr">
        <is>
          <t>Christin Hume / Unsplash</t>
        </is>
      </c>
      <c r="M44" s="41" t="inlineStr">
        <is>
          <t>Ready</t>
        </is>
      </c>
      <c r="N44" s="42" t="inlineStr"/>
    </row>
  </sheetData>
  <hyperlinks>
    <hyperlink xmlns:r="http://schemas.openxmlformats.org/officeDocument/2006/relationships" ref="H2" r:id="rId1"/>
    <hyperlink xmlns:r="http://schemas.openxmlformats.org/officeDocument/2006/relationships" ref="J2" r:id="rId2"/>
    <hyperlink xmlns:r="http://schemas.openxmlformats.org/officeDocument/2006/relationships" ref="L2" r:id="rId3"/>
    <hyperlink xmlns:r="http://schemas.openxmlformats.org/officeDocument/2006/relationships" ref="H3" r:id="rId4"/>
    <hyperlink xmlns:r="http://schemas.openxmlformats.org/officeDocument/2006/relationships" ref="J3" r:id="rId5"/>
    <hyperlink xmlns:r="http://schemas.openxmlformats.org/officeDocument/2006/relationships" ref="L3" r:id="rId6"/>
    <hyperlink xmlns:r="http://schemas.openxmlformats.org/officeDocument/2006/relationships" ref="H4" r:id="rId7"/>
    <hyperlink xmlns:r="http://schemas.openxmlformats.org/officeDocument/2006/relationships" ref="J4" r:id="rId8"/>
    <hyperlink xmlns:r="http://schemas.openxmlformats.org/officeDocument/2006/relationships" ref="L4" r:id="rId9"/>
    <hyperlink xmlns:r="http://schemas.openxmlformats.org/officeDocument/2006/relationships" ref="H5" r:id="rId10"/>
    <hyperlink xmlns:r="http://schemas.openxmlformats.org/officeDocument/2006/relationships" ref="J5" r:id="rId11"/>
    <hyperlink xmlns:r="http://schemas.openxmlformats.org/officeDocument/2006/relationships" ref="L5" r:id="rId12"/>
    <hyperlink xmlns:r="http://schemas.openxmlformats.org/officeDocument/2006/relationships" ref="H6" r:id="rId13"/>
    <hyperlink xmlns:r="http://schemas.openxmlformats.org/officeDocument/2006/relationships" ref="J6" r:id="rId14"/>
    <hyperlink xmlns:r="http://schemas.openxmlformats.org/officeDocument/2006/relationships" ref="L6" r:id="rId15"/>
    <hyperlink xmlns:r="http://schemas.openxmlformats.org/officeDocument/2006/relationships" ref="H7" r:id="rId16"/>
    <hyperlink xmlns:r="http://schemas.openxmlformats.org/officeDocument/2006/relationships" ref="J7" r:id="rId17"/>
    <hyperlink xmlns:r="http://schemas.openxmlformats.org/officeDocument/2006/relationships" ref="L7" r:id="rId18"/>
    <hyperlink xmlns:r="http://schemas.openxmlformats.org/officeDocument/2006/relationships" ref="H8" r:id="rId19"/>
    <hyperlink xmlns:r="http://schemas.openxmlformats.org/officeDocument/2006/relationships" ref="J8" r:id="rId20"/>
    <hyperlink xmlns:r="http://schemas.openxmlformats.org/officeDocument/2006/relationships" ref="L8" r:id="rId21"/>
    <hyperlink xmlns:r="http://schemas.openxmlformats.org/officeDocument/2006/relationships" ref="H9" r:id="rId22"/>
    <hyperlink xmlns:r="http://schemas.openxmlformats.org/officeDocument/2006/relationships" ref="J9" r:id="rId23"/>
    <hyperlink xmlns:r="http://schemas.openxmlformats.org/officeDocument/2006/relationships" ref="L9" r:id="rId24"/>
    <hyperlink xmlns:r="http://schemas.openxmlformats.org/officeDocument/2006/relationships" ref="H10" r:id="rId25"/>
    <hyperlink xmlns:r="http://schemas.openxmlformats.org/officeDocument/2006/relationships" ref="J10" r:id="rId26"/>
    <hyperlink xmlns:r="http://schemas.openxmlformats.org/officeDocument/2006/relationships" ref="L10" r:id="rId27"/>
    <hyperlink xmlns:r="http://schemas.openxmlformats.org/officeDocument/2006/relationships" ref="H11" r:id="rId28"/>
    <hyperlink xmlns:r="http://schemas.openxmlformats.org/officeDocument/2006/relationships" ref="J11" r:id="rId29"/>
    <hyperlink xmlns:r="http://schemas.openxmlformats.org/officeDocument/2006/relationships" ref="L11" r:id="rId30"/>
    <hyperlink xmlns:r="http://schemas.openxmlformats.org/officeDocument/2006/relationships" ref="H12" r:id="rId31"/>
    <hyperlink xmlns:r="http://schemas.openxmlformats.org/officeDocument/2006/relationships" ref="J12" r:id="rId32"/>
    <hyperlink xmlns:r="http://schemas.openxmlformats.org/officeDocument/2006/relationships" ref="L12" r:id="rId33"/>
    <hyperlink xmlns:r="http://schemas.openxmlformats.org/officeDocument/2006/relationships" ref="H13" r:id="rId34"/>
    <hyperlink xmlns:r="http://schemas.openxmlformats.org/officeDocument/2006/relationships" ref="J13" r:id="rId35"/>
    <hyperlink xmlns:r="http://schemas.openxmlformats.org/officeDocument/2006/relationships" ref="L13" r:id="rId36"/>
    <hyperlink xmlns:r="http://schemas.openxmlformats.org/officeDocument/2006/relationships" ref="H14" r:id="rId37"/>
    <hyperlink xmlns:r="http://schemas.openxmlformats.org/officeDocument/2006/relationships" ref="J14" r:id="rId38"/>
    <hyperlink xmlns:r="http://schemas.openxmlformats.org/officeDocument/2006/relationships" ref="L14" r:id="rId39"/>
    <hyperlink xmlns:r="http://schemas.openxmlformats.org/officeDocument/2006/relationships" ref="H15" r:id="rId40"/>
    <hyperlink xmlns:r="http://schemas.openxmlformats.org/officeDocument/2006/relationships" ref="J15" r:id="rId41"/>
    <hyperlink xmlns:r="http://schemas.openxmlformats.org/officeDocument/2006/relationships" ref="L15" r:id="rId42"/>
    <hyperlink xmlns:r="http://schemas.openxmlformats.org/officeDocument/2006/relationships" ref="H16" r:id="rId43"/>
    <hyperlink xmlns:r="http://schemas.openxmlformats.org/officeDocument/2006/relationships" ref="J16" r:id="rId44"/>
    <hyperlink xmlns:r="http://schemas.openxmlformats.org/officeDocument/2006/relationships" ref="L16" r:id="rId45"/>
    <hyperlink xmlns:r="http://schemas.openxmlformats.org/officeDocument/2006/relationships" ref="H17" r:id="rId46"/>
    <hyperlink xmlns:r="http://schemas.openxmlformats.org/officeDocument/2006/relationships" ref="J17" r:id="rId47"/>
    <hyperlink xmlns:r="http://schemas.openxmlformats.org/officeDocument/2006/relationships" ref="L17" r:id="rId48"/>
    <hyperlink xmlns:r="http://schemas.openxmlformats.org/officeDocument/2006/relationships" ref="H18" r:id="rId49"/>
    <hyperlink xmlns:r="http://schemas.openxmlformats.org/officeDocument/2006/relationships" ref="J18" r:id="rId50"/>
    <hyperlink xmlns:r="http://schemas.openxmlformats.org/officeDocument/2006/relationships" ref="L18" r:id="rId51"/>
    <hyperlink xmlns:r="http://schemas.openxmlformats.org/officeDocument/2006/relationships" ref="H19" r:id="rId52"/>
    <hyperlink xmlns:r="http://schemas.openxmlformats.org/officeDocument/2006/relationships" ref="J19" r:id="rId53"/>
    <hyperlink xmlns:r="http://schemas.openxmlformats.org/officeDocument/2006/relationships" ref="L19" r:id="rId54"/>
    <hyperlink xmlns:r="http://schemas.openxmlformats.org/officeDocument/2006/relationships" ref="H20" r:id="rId55"/>
    <hyperlink xmlns:r="http://schemas.openxmlformats.org/officeDocument/2006/relationships" ref="J20" r:id="rId56"/>
    <hyperlink xmlns:r="http://schemas.openxmlformats.org/officeDocument/2006/relationships" ref="L20" r:id="rId57"/>
    <hyperlink xmlns:r="http://schemas.openxmlformats.org/officeDocument/2006/relationships" ref="H21" r:id="rId58"/>
    <hyperlink xmlns:r="http://schemas.openxmlformats.org/officeDocument/2006/relationships" ref="J21" r:id="rId59"/>
    <hyperlink xmlns:r="http://schemas.openxmlformats.org/officeDocument/2006/relationships" ref="L21" r:id="rId60"/>
    <hyperlink xmlns:r="http://schemas.openxmlformats.org/officeDocument/2006/relationships" ref="H22" r:id="rId61"/>
    <hyperlink xmlns:r="http://schemas.openxmlformats.org/officeDocument/2006/relationships" ref="J22" r:id="rId62"/>
    <hyperlink xmlns:r="http://schemas.openxmlformats.org/officeDocument/2006/relationships" ref="L22" r:id="rId63"/>
    <hyperlink xmlns:r="http://schemas.openxmlformats.org/officeDocument/2006/relationships" ref="H23" r:id="rId64"/>
    <hyperlink xmlns:r="http://schemas.openxmlformats.org/officeDocument/2006/relationships" ref="J23" r:id="rId65"/>
    <hyperlink xmlns:r="http://schemas.openxmlformats.org/officeDocument/2006/relationships" ref="L23" r:id="rId66"/>
    <hyperlink xmlns:r="http://schemas.openxmlformats.org/officeDocument/2006/relationships" ref="H24" r:id="rId67"/>
    <hyperlink xmlns:r="http://schemas.openxmlformats.org/officeDocument/2006/relationships" ref="J24" r:id="rId68"/>
    <hyperlink xmlns:r="http://schemas.openxmlformats.org/officeDocument/2006/relationships" ref="L24" r:id="rId69"/>
    <hyperlink xmlns:r="http://schemas.openxmlformats.org/officeDocument/2006/relationships" ref="H25" r:id="rId70"/>
    <hyperlink xmlns:r="http://schemas.openxmlformats.org/officeDocument/2006/relationships" ref="J25" r:id="rId71"/>
    <hyperlink xmlns:r="http://schemas.openxmlformats.org/officeDocument/2006/relationships" ref="L25" r:id="rId72"/>
    <hyperlink xmlns:r="http://schemas.openxmlformats.org/officeDocument/2006/relationships" ref="H26" r:id="rId73"/>
    <hyperlink xmlns:r="http://schemas.openxmlformats.org/officeDocument/2006/relationships" ref="J26" r:id="rId74"/>
    <hyperlink xmlns:r="http://schemas.openxmlformats.org/officeDocument/2006/relationships" ref="L26" r:id="rId75"/>
    <hyperlink xmlns:r="http://schemas.openxmlformats.org/officeDocument/2006/relationships" ref="H27" r:id="rId76"/>
    <hyperlink xmlns:r="http://schemas.openxmlformats.org/officeDocument/2006/relationships" ref="J27" r:id="rId77"/>
    <hyperlink xmlns:r="http://schemas.openxmlformats.org/officeDocument/2006/relationships" ref="L27" r:id="rId78"/>
    <hyperlink xmlns:r="http://schemas.openxmlformats.org/officeDocument/2006/relationships" ref="H28" r:id="rId79"/>
    <hyperlink xmlns:r="http://schemas.openxmlformats.org/officeDocument/2006/relationships" ref="J28" r:id="rId80"/>
    <hyperlink xmlns:r="http://schemas.openxmlformats.org/officeDocument/2006/relationships" ref="L28" r:id="rId81"/>
    <hyperlink xmlns:r="http://schemas.openxmlformats.org/officeDocument/2006/relationships" ref="H29" r:id="rId82"/>
    <hyperlink xmlns:r="http://schemas.openxmlformats.org/officeDocument/2006/relationships" ref="J29" r:id="rId83"/>
    <hyperlink xmlns:r="http://schemas.openxmlformats.org/officeDocument/2006/relationships" ref="L29" r:id="rId84"/>
    <hyperlink xmlns:r="http://schemas.openxmlformats.org/officeDocument/2006/relationships" ref="H30" r:id="rId85"/>
    <hyperlink xmlns:r="http://schemas.openxmlformats.org/officeDocument/2006/relationships" ref="J30" r:id="rId86"/>
    <hyperlink xmlns:r="http://schemas.openxmlformats.org/officeDocument/2006/relationships" ref="L30" r:id="rId87"/>
    <hyperlink xmlns:r="http://schemas.openxmlformats.org/officeDocument/2006/relationships" ref="H31" r:id="rId88"/>
    <hyperlink xmlns:r="http://schemas.openxmlformats.org/officeDocument/2006/relationships" ref="J31" r:id="rId89"/>
    <hyperlink xmlns:r="http://schemas.openxmlformats.org/officeDocument/2006/relationships" ref="L31" r:id="rId90"/>
    <hyperlink xmlns:r="http://schemas.openxmlformats.org/officeDocument/2006/relationships" ref="H32" r:id="rId91"/>
    <hyperlink xmlns:r="http://schemas.openxmlformats.org/officeDocument/2006/relationships" ref="J32" r:id="rId92"/>
    <hyperlink xmlns:r="http://schemas.openxmlformats.org/officeDocument/2006/relationships" ref="L32" r:id="rId93"/>
    <hyperlink xmlns:r="http://schemas.openxmlformats.org/officeDocument/2006/relationships" ref="H33" r:id="rId94"/>
    <hyperlink xmlns:r="http://schemas.openxmlformats.org/officeDocument/2006/relationships" ref="J33" r:id="rId95"/>
    <hyperlink xmlns:r="http://schemas.openxmlformats.org/officeDocument/2006/relationships" ref="L33" r:id="rId96"/>
    <hyperlink xmlns:r="http://schemas.openxmlformats.org/officeDocument/2006/relationships" ref="H34" r:id="rId97"/>
    <hyperlink xmlns:r="http://schemas.openxmlformats.org/officeDocument/2006/relationships" ref="J34" r:id="rId98"/>
    <hyperlink xmlns:r="http://schemas.openxmlformats.org/officeDocument/2006/relationships" ref="L34" r:id="rId99"/>
    <hyperlink xmlns:r="http://schemas.openxmlformats.org/officeDocument/2006/relationships" ref="H35" r:id="rId100"/>
    <hyperlink xmlns:r="http://schemas.openxmlformats.org/officeDocument/2006/relationships" ref="J35" r:id="rId101"/>
    <hyperlink xmlns:r="http://schemas.openxmlformats.org/officeDocument/2006/relationships" ref="L35" r:id="rId102"/>
    <hyperlink xmlns:r="http://schemas.openxmlformats.org/officeDocument/2006/relationships" ref="H36" r:id="rId103"/>
    <hyperlink xmlns:r="http://schemas.openxmlformats.org/officeDocument/2006/relationships" ref="J36" r:id="rId104"/>
    <hyperlink xmlns:r="http://schemas.openxmlformats.org/officeDocument/2006/relationships" ref="L36" r:id="rId105"/>
    <hyperlink xmlns:r="http://schemas.openxmlformats.org/officeDocument/2006/relationships" ref="H37" r:id="rId106"/>
    <hyperlink xmlns:r="http://schemas.openxmlformats.org/officeDocument/2006/relationships" ref="J37" r:id="rId107"/>
    <hyperlink xmlns:r="http://schemas.openxmlformats.org/officeDocument/2006/relationships" ref="L37" r:id="rId108"/>
    <hyperlink xmlns:r="http://schemas.openxmlformats.org/officeDocument/2006/relationships" ref="H38" r:id="rId109"/>
    <hyperlink xmlns:r="http://schemas.openxmlformats.org/officeDocument/2006/relationships" ref="J38" r:id="rId110"/>
    <hyperlink xmlns:r="http://schemas.openxmlformats.org/officeDocument/2006/relationships" ref="L38" r:id="rId111"/>
    <hyperlink xmlns:r="http://schemas.openxmlformats.org/officeDocument/2006/relationships" ref="H39" r:id="rId112"/>
    <hyperlink xmlns:r="http://schemas.openxmlformats.org/officeDocument/2006/relationships" ref="J39" r:id="rId113"/>
    <hyperlink xmlns:r="http://schemas.openxmlformats.org/officeDocument/2006/relationships" ref="L39" r:id="rId114"/>
    <hyperlink xmlns:r="http://schemas.openxmlformats.org/officeDocument/2006/relationships" ref="H40" r:id="rId115"/>
    <hyperlink xmlns:r="http://schemas.openxmlformats.org/officeDocument/2006/relationships" ref="J40" r:id="rId116"/>
    <hyperlink xmlns:r="http://schemas.openxmlformats.org/officeDocument/2006/relationships" ref="L40" r:id="rId117"/>
    <hyperlink xmlns:r="http://schemas.openxmlformats.org/officeDocument/2006/relationships" ref="H41" r:id="rId118"/>
    <hyperlink xmlns:r="http://schemas.openxmlformats.org/officeDocument/2006/relationships" ref="J41" r:id="rId119"/>
    <hyperlink xmlns:r="http://schemas.openxmlformats.org/officeDocument/2006/relationships" ref="L41" r:id="rId120"/>
    <hyperlink xmlns:r="http://schemas.openxmlformats.org/officeDocument/2006/relationships" ref="H42" r:id="rId121"/>
    <hyperlink xmlns:r="http://schemas.openxmlformats.org/officeDocument/2006/relationships" ref="J42" r:id="rId122"/>
    <hyperlink xmlns:r="http://schemas.openxmlformats.org/officeDocument/2006/relationships" ref="L42" r:id="rId123"/>
    <hyperlink xmlns:r="http://schemas.openxmlformats.org/officeDocument/2006/relationships" ref="H43" r:id="rId124"/>
    <hyperlink xmlns:r="http://schemas.openxmlformats.org/officeDocument/2006/relationships" ref="J43" r:id="rId125"/>
    <hyperlink xmlns:r="http://schemas.openxmlformats.org/officeDocument/2006/relationships" ref="L43" r:id="rId126"/>
    <hyperlink xmlns:r="http://schemas.openxmlformats.org/officeDocument/2006/relationships" ref="H44" r:id="rId127"/>
    <hyperlink xmlns:r="http://schemas.openxmlformats.org/officeDocument/2006/relationships" ref="J44" r:id="rId128"/>
    <hyperlink xmlns:r="http://schemas.openxmlformats.org/officeDocument/2006/relationships" ref="L44" r:id="rId129"/>
  </hyperlink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2026-08-18T17:46:37Z</dcterms:modified>
  <cp:revision>0</cp:revision>
</cp:coreProperties>
</file>