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sheetId="1" state="visible" r:id="rId1"/>
    <sheet name="Posting Schedule" sheetId="2" state="visible" r:id="rId2"/>
    <sheet name="Monthly Themes" sheetId="3" state="visible" r:id="rId3"/>
    <sheet name="Content Pillars" sheetId="4" state="visible" r:id="rId4"/>
    <sheet name="Hashtag Sets" sheetId="5" state="visible" r:id="rId5"/>
    <sheet name="Photo Library" sheetId="6" state="visible" r:id="rId6"/>
    <sheet name="Ideas Backlog"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mmm\ d&quot;, &quot;yyyy"/>
  </numFmts>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2E2A23"/>
      <sz val="16"/>
    </font>
    <font>
      <name val="Arial"/>
      <charset val="1"/>
      <family val="0"/>
      <color rgb="FF6E6557"/>
      <sz val="11"/>
    </font>
    <font>
      <name val="Arial"/>
      <charset val="1"/>
      <family val="0"/>
      <b val="1"/>
      <sz val="10"/>
    </font>
    <font>
      <name val="Arial"/>
      <charset val="1"/>
      <family val="0"/>
      <sz val="10"/>
    </font>
    <font>
      <name val="Arial"/>
      <charset val="1"/>
      <family val="0"/>
      <b val="1"/>
      <color rgb="FF2E2A23"/>
      <sz val="11"/>
    </font>
    <font>
      <name val="Arial"/>
      <charset val="1"/>
      <family val="0"/>
      <i val="1"/>
      <color rgb="FF6E6557"/>
      <sz val="9"/>
    </font>
    <font>
      <name val="Arial"/>
      <charset val="1"/>
      <family val="0"/>
      <b val="1"/>
      <color rgb="FFFFFFFF"/>
      <sz val="10"/>
    </font>
    <font>
      <name val="Arial"/>
      <b val="1"/>
      <color rgb="FFFFFFFF"/>
      <sz val="10"/>
    </font>
    <font>
      <name val="Arial"/>
      <sz val="10"/>
    </font>
    <font>
      <name val="Arial"/>
      <b val="1"/>
      <sz val="10"/>
    </font>
    <font>
      <name val="Arial"/>
      <color rgb="FF0563C1"/>
      <sz val="10"/>
      <u val="single"/>
    </font>
  </fonts>
  <fills count="5">
    <fill>
      <patternFill/>
    </fill>
    <fill>
      <patternFill patternType="gray125"/>
    </fill>
    <fill>
      <patternFill patternType="solid">
        <fgColor rgb="FF2E2A23"/>
        <bgColor rgb="FF333300"/>
      </patternFill>
    </fill>
    <fill>
      <patternFill patternType="solid">
        <fgColor rgb="FFF3EEE5"/>
        <bgColor rgb="FFFFFFFF"/>
      </patternFill>
    </fill>
    <fill>
      <patternFill patternType="solid">
        <fgColor rgb="FF2E2A23"/>
      </patternFill>
    </fill>
  </fills>
  <borders count="2">
    <border>
      <left/>
      <right/>
      <top/>
      <bottom/>
      <diagonal/>
    </border>
    <border>
      <left style="thin">
        <color rgb="FFD8D0C0"/>
      </left>
      <right style="thin">
        <color rgb="FFD8D0C0"/>
      </right>
      <top style="thin">
        <color rgb="FFD8D0C0"/>
      </top>
      <bottom style="thin">
        <color rgb="FFD8D0C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1" applyAlignment="1" pivotButton="0" quotePrefix="0" xfId="0">
      <alignment horizontal="general" vertical="center" wrapText="1"/>
    </xf>
    <xf numFmtId="164" fontId="7" fillId="3" borderId="1" applyAlignment="1" pivotButton="0" quotePrefix="0" xfId="0">
      <alignment horizontal="general" vertical="top" wrapText="1"/>
    </xf>
    <xf numFmtId="0" fontId="7" fillId="3" borderId="1" applyAlignment="1" pivotButton="0" quotePrefix="0" xfId="0">
      <alignment horizontal="general" vertical="top" wrapText="1"/>
    </xf>
    <xf numFmtId="164"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13" fillId="0" borderId="0" pivotButton="0" quotePrefix="0" xfId="0"/>
    <xf numFmtId="0" fontId="12" fillId="0" borderId="0" pivotButton="0" quotePrefix="0" xfId="0"/>
    <xf numFmtId="0" fontId="12" fillId="0" borderId="0" applyAlignment="1" pivotButton="0" quotePrefix="0" xfId="0">
      <alignment vertical="top" wrapText="1"/>
    </xf>
    <xf numFmtId="0" fontId="10" fillId="2" borderId="1" applyAlignment="1" pivotButton="0" quotePrefix="0" xfId="0">
      <alignment horizontal="general" vertical="center" wrapText="1"/>
    </xf>
    <xf numFmtId="0" fontId="11" fillId="4" borderId="0" applyAlignment="1" pivotButton="0" quotePrefix="0" xfId="0">
      <alignment vertical="center" wrapText="1"/>
    </xf>
    <xf numFmtId="164" fontId="7" fillId="3" borderId="1" applyAlignment="1" pivotButton="0" quotePrefix="0" xfId="0">
      <alignment horizontal="general" vertical="top" wrapText="1"/>
    </xf>
    <xf numFmtId="0" fontId="7" fillId="3" borderId="1" applyAlignment="1" pivotButton="0" quotePrefix="0" xfId="0">
      <alignment horizontal="general" vertical="top" wrapText="1"/>
    </xf>
    <xf numFmtId="164"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12" fillId="0" borderId="1" applyAlignment="1" pivotButton="0" quotePrefix="0" xfId="0">
      <alignment vertical="top" wrapText="1"/>
    </xf>
    <xf numFmtId="0" fontId="14" fillId="3" borderId="1" applyAlignment="1" pivotButton="0" quotePrefix="0" xfId="0">
      <alignment vertical="top" wrapText="1"/>
    </xf>
    <xf numFmtId="0" fontId="14" fillId="0" borderId="0" applyAlignment="1" pivotButton="0" quotePrefix="0" xfId="0">
      <alignment vertical="top" wrapText="1"/>
    </xf>
    <xf numFmtId="0" fontId="14" fillId="0" borderId="1"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8D0C0"/>
      <rgbColor rgb="FF808080"/>
      <rgbColor rgb="FF9999FF"/>
      <rgbColor rgb="FF993366"/>
      <rgbColor rgb="FFF3EEE5"/>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E6557"/>
      <rgbColor rgb="FF969696"/>
      <rgbColor rgb="FF003366"/>
      <rgbColor rgb="FF339966"/>
      <rgbColor rgb="FF003300"/>
      <rgbColor rgb="FF333300"/>
      <rgbColor rgb="FF993300"/>
      <rgbColor rgb="FF993366"/>
      <rgbColor rgb="FF333399"/>
      <rgbColor rgb="FF2E2A2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github.com/RepoKing23/InstagramCarousel/tree/claude/convert-images-jpg-5jeayb/content/2026-08-17-5-botox-lies-you-still" TargetMode="External" Id="rId1" /><Relationship Type="http://schemas.openxmlformats.org/officeDocument/2006/relationships/hyperlink" Target="https://github.com/RepoKing23/InstagramCarousel/tree/claude/convert-images-jpg-5jeayb/content/2026-08-17-5-botox-lies-you-still/images" TargetMode="External" Id="rId2" /><Relationship Type="http://schemas.openxmlformats.org/officeDocument/2006/relationships/hyperlink" Target="https://github.com/RepoKing23/InstagramCarousel/blob/claude/convert-images-jpg-5jeayb/content/2026-08-17-5-botox-lies-you-still/images/gbp.png?raw=1" TargetMode="External" Id="rId3" /><Relationship Type="http://schemas.openxmlformats.org/officeDocument/2006/relationships/hyperlink" Target="https://github.com/RepoKing23/InstagramCarousel/tree/claude/convert-images-jpg-5jeayb/content/2026-08-18-service-spotlight-botox" TargetMode="External" Id="rId4" /><Relationship Type="http://schemas.openxmlformats.org/officeDocument/2006/relationships/hyperlink" Target="https://github.com/RepoKing23/InstagramCarousel/blob/claude/convert-images-jpg-5jeayb/content/2026-08-18-service-spotlight-botox/images/post.png?raw=1" TargetMode="External" Id="rId5" /><Relationship Type="http://schemas.openxmlformats.org/officeDocument/2006/relationships/hyperlink" Target="https://github.com/RepoKing23/InstagramCarousel/blob/claude/convert-images-jpg-5jeayb/content/2026-08-18-service-spotlight-botox/images/gbp.png?raw=1" TargetMode="External" Id="rId6" /><Relationship Type="http://schemas.openxmlformats.org/officeDocument/2006/relationships/hyperlink" Target="https://github.com/RepoKing23/InstagramCarousel/tree/claude/convert-images-jpg-5jeayb/content/2026-08-20-5-red-flags-at-a" TargetMode="External" Id="rId7" /><Relationship Type="http://schemas.openxmlformats.org/officeDocument/2006/relationships/hyperlink" Target="https://github.com/RepoKing23/InstagramCarousel/tree/claude/convert-images-jpg-5jeayb/content/2026-08-20-5-red-flags-at-a/images" TargetMode="External" Id="rId8" /><Relationship Type="http://schemas.openxmlformats.org/officeDocument/2006/relationships/hyperlink" Target="https://github.com/RepoKing23/InstagramCarousel/blob/claude/convert-images-jpg-5jeayb/content/2026-08-20-5-red-flags-at-a/images/gbp.png?raw=1" TargetMode="External" Id="rId9" /><Relationship Type="http://schemas.openxmlformats.org/officeDocument/2006/relationships/hyperlink" Target="https://github.com/RepoKing23/InstagramCarousel/tree/claude/convert-images-jpg-5jeayb/content/2026-08-21-behind-the-scenes-the-prep" TargetMode="External" Id="rId10" /><Relationship Type="http://schemas.openxmlformats.org/officeDocument/2006/relationships/hyperlink" Target="https://github.com/RepoKing23/InstagramCarousel/blob/claude/convert-images-jpg-5jeayb/content/2026-08-21-behind-the-scenes-the-prep/images/post.png?raw=1" TargetMode="External" Id="rId11" /><Relationship Type="http://schemas.openxmlformats.org/officeDocument/2006/relationships/hyperlink" Target="https://github.com/RepoKing23/InstagramCarousel/blob/claude/convert-images-jpg-5jeayb/content/2026-08-21-behind-the-scenes-the-prep/images/gbp.png?raw=1" TargetMode="External" Id="rId12" /><Relationship Type="http://schemas.openxmlformats.org/officeDocument/2006/relationships/hyperlink" Target="https://github.com/RepoKing23/InstagramCarousel/tree/claude/convert-images-jpg-5jeayb/content/2026-08-22-great-work-is-invisible" TargetMode="External" Id="rId13" /><Relationship Type="http://schemas.openxmlformats.org/officeDocument/2006/relationships/hyperlink" Target="https://github.com/RepoKing23/InstagramCarousel/blob/claude/convert-images-jpg-5jeayb/content/2026-08-22-great-work-is-invisible/images/before-after-result.png?raw=1" TargetMode="External" Id="rId14" /><Relationship Type="http://schemas.openxmlformats.org/officeDocument/2006/relationships/hyperlink" Target="https://github.com/RepoKing23/InstagramCarousel/blob/claude/convert-images-jpg-5jeayb/content/2026-08-22-great-work-is-invisible/images/gbp.png?raw=1" TargetMode="External" Id="rId15" /><Relationship Type="http://schemas.openxmlformats.org/officeDocument/2006/relationships/hyperlink" Target="https://github.com/RepoKing23/InstagramCarousel/tree/claude/convert-images-jpg-5jeayb/content/2026-08-24-your-first-visit-step-by" TargetMode="External" Id="rId16" /><Relationship Type="http://schemas.openxmlformats.org/officeDocument/2006/relationships/hyperlink" Target="https://github.com/RepoKing23/InstagramCarousel/tree/claude/convert-images-jpg-5jeayb/content/2026-08-24-your-first-visit-step-by/images" TargetMode="External" Id="rId17" /><Relationship Type="http://schemas.openxmlformats.org/officeDocument/2006/relationships/hyperlink" Target="https://github.com/RepoKing23/InstagramCarousel/blob/claude/convert-images-jpg-5jeayb/content/2026-08-24-your-first-visit-step-by/images/gbp.png?raw=1" TargetMode="External" Id="rId18" /><Relationship Type="http://schemas.openxmlformats.org/officeDocument/2006/relationships/hyperlink" Target="https://github.com/RepoKing23/InstagramCarousel/tree/claude/convert-images-jpg-5jeayb/content/2026-08-25-why-i-do-not-post" TargetMode="External" Id="rId19" /><Relationship Type="http://schemas.openxmlformats.org/officeDocument/2006/relationships/hyperlink" Target="https://github.com/RepoKing23/InstagramCarousel/blob/claude/convert-images-jpg-5jeayb/content/2026-08-25-why-i-do-not-post/images/post.png?raw=1" TargetMode="External" Id="rId20" /><Relationship Type="http://schemas.openxmlformats.org/officeDocument/2006/relationships/hyperlink" Target="https://github.com/RepoKing23/InstagramCarousel/blob/claude/convert-images-jpg-5jeayb/content/2026-08-25-why-i-do-not-post/images/gbp.png?raw=1" TargetMode="External" Id="rId21" /><Relationship Type="http://schemas.openxmlformats.org/officeDocument/2006/relationships/hyperlink" Target="https://github.com/RepoKing23/InstagramCarousel/tree/claude/convert-images-jpg-5jeayb/content/2026-08-27-meet-np-cleo-the-face" TargetMode="External" Id="rId22" /><Relationship Type="http://schemas.openxmlformats.org/officeDocument/2006/relationships/hyperlink" Target="https://github.com/RepoKing23/InstagramCarousel/tree/claude/convert-images-jpg-5jeayb/content/2026-08-27-meet-np-cleo-the-face/images" TargetMode="External" Id="rId23" /><Relationship Type="http://schemas.openxmlformats.org/officeDocument/2006/relationships/hyperlink" Target="https://github.com/RepoKing23/InstagramCarousel/blob/claude/convert-images-jpg-5jeayb/content/2026-08-27-meet-np-cleo-the-face/images/gbp.png?raw=1" TargetMode="External" Id="rId24" /><Relationship Type="http://schemas.openxmlformats.org/officeDocument/2006/relationships/hyperlink" Target="https://github.com/RepoKing23/InstagramCarousel/tree/claude/convert-images-jpg-5jeayb/content/2026-08-28-welcome-to-the-treatment-room" TargetMode="External" Id="rId25" /><Relationship Type="http://schemas.openxmlformats.org/officeDocument/2006/relationships/hyperlink" Target="https://github.com/RepoKing23/InstagramCarousel/blob/claude/convert-images-jpg-5jeayb/content/2026-08-28-welcome-to-the-treatment-room/images/post.png?raw=1" TargetMode="External" Id="rId26" /><Relationship Type="http://schemas.openxmlformats.org/officeDocument/2006/relationships/hyperlink" Target="https://github.com/RepoKing23/InstagramCarousel/blob/claude/convert-images-jpg-5jeayb/content/2026-08-28-welcome-to-the-treatment-room/images/gbp.png?raw=1" TargetMode="External" Id="rId27" /><Relationship Type="http://schemas.openxmlformats.org/officeDocument/2006/relationships/hyperlink" Target="https://github.com/RepoKing23/InstagramCarousel/tree/claude/convert-images-jpg-5jeayb/content/2026-08-29-this-or-that-rested-vs" TargetMode="External" Id="rId28" /><Relationship Type="http://schemas.openxmlformats.org/officeDocument/2006/relationships/hyperlink" Target="https://github.com/RepoKing23/InstagramCarousel/blob/claude/convert-images-jpg-5jeayb/content/2026-08-29-this-or-that-rested-vs/images/post.png?raw=1" TargetMode="External" Id="rId29" /><Relationship Type="http://schemas.openxmlformats.org/officeDocument/2006/relationships/hyperlink" Target="https://github.com/RepoKing23/InstagramCarousel/blob/claude/convert-images-jpg-5jeayb/content/2026-08-29-this-or-that-rested-vs/images/gbp.png?raw=1" TargetMode="External" Id="rId30" /><Relationship Type="http://schemas.openxmlformats.org/officeDocument/2006/relationships/hyperlink" Target="https://github.com/RepoKing23/InstagramCarousel/tree/claude/convert-images-jpg-5jeayb/content/2026-08-31-preventative-botox-when-to-actually" TargetMode="External" Id="rId31" /><Relationship Type="http://schemas.openxmlformats.org/officeDocument/2006/relationships/hyperlink" Target="https://github.com/RepoKing23/InstagramCarousel/tree/claude/convert-images-jpg-5jeayb/content/2026-08-31-preventative-botox-when-to-actually/images" TargetMode="External" Id="rId32" /><Relationship Type="http://schemas.openxmlformats.org/officeDocument/2006/relationships/hyperlink" Target="https://github.com/RepoKing23/InstagramCarousel/blob/claude/convert-images-jpg-5jeayb/content/2026-08-31-preventative-botox-when-to-actually/images/gbp.png?raw=1" TargetMode="External" Id="rId33" /><Relationship Type="http://schemas.openxmlformats.org/officeDocument/2006/relationships/hyperlink" Target="https://github.com/RepoKing23/InstagramCarousel/tree/claude/convert-images-jpg-5jeayb/content/2026-09-01-service-spotlight-preventative-botox" TargetMode="External" Id="rId34" /><Relationship Type="http://schemas.openxmlformats.org/officeDocument/2006/relationships/hyperlink" Target="https://github.com/RepoKing23/InstagramCarousel/tree/claude/convert-images-jpg-5jeayb/content/2026-09-03-what-20-units-actually-looks" TargetMode="External" Id="rId35" /><Relationship Type="http://schemas.openxmlformats.org/officeDocument/2006/relationships/hyperlink" Target="https://github.com/RepoKing23/InstagramCarousel/tree/claude/convert-images-jpg-5jeayb/content/2026-09-04-meet-your-injector" TargetMode="External" Id="rId36" /><Relationship Type="http://schemas.openxmlformats.org/officeDocument/2006/relationships/hyperlink" Target="https://github.com/RepoKing23/InstagramCarousel/tree/claude/convert-images-jpg-5jeayb/content/2026-09-05-quote-prevention-beats-erasing" TargetMode="External" Id="rId37" /><Relationship Type="http://schemas.openxmlformats.org/officeDocument/2006/relationships/hyperlink" Target="https://github.com/RepoKing23/InstagramCarousel/tree/claude/convert-images-jpg-5jeayb/content/2026-09-07-botox-vs-dysport-the-real" TargetMode="External" Id="rId38" /><Relationship Type="http://schemas.openxmlformats.org/officeDocument/2006/relationships/hyperlink" Target="https://github.com/RepoKing23/InstagramCarousel/tree/claude/convert-images-jpg-5jeayb/content/2026-09-08-botox-vs-dysport-at-a" TargetMode="External" Id="rId39" /><Relationship Type="http://schemas.openxmlformats.org/officeDocument/2006/relationships/hyperlink" Target="https://github.com/RepoKing23/InstagramCarousel/tree/claude/convert-images-jpg-5jeayb/content/2026-09-10-botox-aftercare-the-first-48" TargetMode="External" Id="rId40" /><Relationship Type="http://schemas.openxmlformats.org/officeDocument/2006/relationships/hyperlink" Target="https://github.com/RepoKing23/InstagramCarousel/tree/claude/convert-images-jpg-5jeayb/content/2026-09-11-the-face-map" TargetMode="External" Id="rId41" /><Relationship Type="http://schemas.openxmlformats.org/officeDocument/2006/relationships/hyperlink" Target="https://github.com/RepoKing23/InstagramCarousel/tree/claude/convert-images-jpg-5jeayb/content/2026-09-12-faq-does-botox-hurt" TargetMode="External" Id="rId42" /><Relationship Type="http://schemas.openxmlformats.org/officeDocument/2006/relationships/hyperlink" Target="https://github.com/RepoKing23/InstagramCarousel/tree/claude/convert-images-jpg-5jeayb/content/2026-09-14-5-things-botox-can-t" TargetMode="External" Id="rId43" /><Relationship Type="http://schemas.openxmlformats.org/officeDocument/2006/relationships/hyperlink" Target="https://github.com/RepoKing23/InstagramCarousel/tree/claude/convert-images-jpg-5jeayb/content/2026-09-15-what-botox-can-t-fix" TargetMode="External" Id="rId44" /><Relationship Type="http://schemas.openxmlformats.org/officeDocument/2006/relationships/hyperlink" Target="https://github.com/RepoKing23/InstagramCarousel/tree/claude/convert-images-jpg-5jeayb/content/2026-09-17-still-you-just-refreshed" TargetMode="External" Id="rId45" /><Relationship Type="http://schemas.openxmlformats.org/officeDocument/2006/relationships/hyperlink" Target="https://github.com/RepoKing23/InstagramCarousel/tree/claude/convert-images-jpg-5jeayb/content/2026-09-18-myth-vs-truth-the-frozen" TargetMode="External" Id="rId46" /><Relationship Type="http://schemas.openxmlformats.org/officeDocument/2006/relationships/hyperlink" Target="https://github.com/RepoKing23/InstagramCarousel/tree/claude/convert-images-jpg-5jeayb/content/2026-09-19-client-words-natural-results" TargetMode="External" Id="rId47" /><Relationship Type="http://schemas.openxmlformats.org/officeDocument/2006/relationships/hyperlink" Target="https://github.com/RepoKing23/InstagramCarousel/tree/claude/convert-images-jpg-5jeayb/content/2026-09-21-botox-or-filler-you-might" TargetMode="External" Id="rId48" /><Relationship Type="http://schemas.openxmlformats.org/officeDocument/2006/relationships/hyperlink" Target="https://github.com/RepoKing23/InstagramCarousel/tree/claude/convert-images-jpg-5jeayb/content/2026-09-22-lines-vs-volume" TargetMode="External" Id="rId49" /><Relationship Type="http://schemas.openxmlformats.org/officeDocument/2006/relationships/hyperlink" Target="https://github.com/RepoKing23/InstagramCarousel/tree/claude/convert-images-jpg-5jeayb/content/2026-09-24-ask-np-cleo-your-questions" TargetMode="External" Id="rId50" /><Relationship Type="http://schemas.openxmlformats.org/officeDocument/2006/relationships/hyperlink" Target="https://github.com/RepoKing23/InstagramCarousel/tree/claude/convert-images-jpg-5jeayb/content/2026-09-25-your-dms-answered" TargetMode="External" Id="rId51" /><Relationship Type="http://schemas.openxmlformats.org/officeDocument/2006/relationships/hyperlink" Target="https://github.com/RepoKing23/InstagramCarousel/tree/claude/convert-images-jpg-5jeayb/content/2026-09-26-poll-what-should-np-cleo" TargetMode="External" Id="rId52" /><Relationship Type="http://schemas.openxmlformats.org/officeDocument/2006/relationships/hyperlink" Target="https://github.com/RepoKing23/InstagramCarousel/tree/claude/convert-images-jpg-5jeayb/content/2026-09-28-how-long-does-botox-really" TargetMode="External" Id="rId53" /><Relationship Type="http://schemas.openxmlformats.org/officeDocument/2006/relationships/hyperlink" Target="https://github.com/RepoKing23/InstagramCarousel/tree/claude/convert-images-jpg-5jeayb/content/2026-09-29-the-3-month-botox-timeline" TargetMode="External" Id="rId54" /><Relationship Type="http://schemas.openxmlformats.org/officeDocument/2006/relationships/hyperlink" Target="https://github.com/RepoKing23/InstagramCarousel/tree/claude/convert-images-jpg-5jeayb/content/2026-10-01-why-we-sometimes-say-no" TargetMode="External" Id="rId55" /><Relationship Type="http://schemas.openxmlformats.org/officeDocument/2006/relationships/hyperlink" Target="https://github.com/RepoKing23/InstagramCarousel/tree/claude/convert-images-jpg-5jeayb/content/2026-10-02-what-i-tell-every-first" TargetMode="External" Id="rId56" /><Relationship Type="http://schemas.openxmlformats.org/officeDocument/2006/relationships/hyperlink" Target="https://github.com/RepoKing23/InstagramCarousel/tree/claude/convert-images-jpg-5jeayb/content/2026-10-03-quote-no-is-protection" TargetMode="External" Id="rId57" /><Relationship Type="http://schemas.openxmlformats.org/officeDocument/2006/relationships/hyperlink" Target="https://github.com/RepoKing23/InstagramCarousel/tree/claude/convert-images-jpg-5jeayb/content/2026-10-05-filler-won-t-make-you" TargetMode="External" Id="rId58" /><Relationship Type="http://schemas.openxmlformats.org/officeDocument/2006/relationships/hyperlink" Target="https://github.com/RepoKing23/InstagramCarousel/tree/claude/convert-images-jpg-5jeayb/content/2026-10-06-service-spotlight-dermal-filler" TargetMode="External" Id="rId59" /><Relationship Type="http://schemas.openxmlformats.org/officeDocument/2006/relationships/hyperlink" Target="https://github.com/RepoKing23/InstagramCarousel/tree/claude/convert-images-jpg-5jeayb/content/2026-10-08-lip-filler-natural-vs-overdone" TargetMode="External" Id="rId60" /><Relationship Type="http://schemas.openxmlformats.org/officeDocument/2006/relationships/hyperlink" Target="https://github.com/RepoKing23/InstagramCarousel/blob/claude/convert-images-jpg-5jeayb/content/2026-10-08-lip-filler-natural-vs-overdone/images/before-after-result.png?raw=1" TargetMode="External" Id="rId61" /><Relationship Type="http://schemas.openxmlformats.org/officeDocument/2006/relationships/hyperlink" Target="https://github.com/RepoKing23/InstagramCarousel/tree/claude/convert-images-jpg-5jeayb/content/2026-10-09-inside-the-filler-appointment" TargetMode="External" Id="rId62" /><Relationship Type="http://schemas.openxmlformats.org/officeDocument/2006/relationships/hyperlink" Target="https://github.com/RepoKing23/InstagramCarousel/tree/claude/convert-images-jpg-5jeayb/content/2026-10-10-subtle-is-the-new-dramatic" TargetMode="External" Id="rId63" /><Relationship Type="http://schemas.openxmlformats.org/officeDocument/2006/relationships/hyperlink" Target="https://github.com/RepoKing23/InstagramCarousel/blob/claude/convert-images-jpg-5jeayb/content/2026-10-10-subtle-is-the-new-dramatic/images/before-after-result.png?raw=1" TargetMode="External" Id="rId64" /><Relationship Type="http://schemas.openxmlformats.org/officeDocument/2006/relationships/hyperlink" Target="https://github.com/RepoKing23/InstagramCarousel/tree/claude/convert-images-jpg-5jeayb/content/2026-10-12-cheek-filler-the-secret-nobody" TargetMode="External" Id="rId65" /><Relationship Type="http://schemas.openxmlformats.org/officeDocument/2006/relationships/hyperlink" Target="https://github.com/RepoKing23/InstagramCarousel/tree/claude/convert-images-jpg-5jeayb/content/2026-10-13-service-spotlight-cheek-filler" TargetMode="External" Id="rId66" /><Relationship Type="http://schemas.openxmlformats.org/officeDocument/2006/relationships/hyperlink" Target="https://github.com/RepoKing23/InstagramCarousel/tree/claude/convert-images-jpg-5jeayb/content/2026-10-15-real-lips-real-results" TargetMode="External" Id="rId67" /><Relationship Type="http://schemas.openxmlformats.org/officeDocument/2006/relationships/hyperlink" Target="https://github.com/RepoKing23/InstagramCarousel/tree/claude/convert-images-jpg-5jeayb/content/2026-10-15-real-lips-real-results/images" TargetMode="External" Id="rId68" /><Relationship Type="http://schemas.openxmlformats.org/officeDocument/2006/relationships/hyperlink" Target="https://github.com/RepoKing23/InstagramCarousel/tree/claude/convert-images-jpg-5jeayb/content/2026-10-16-facial-balancing-101" TargetMode="External" Id="rId69" /><Relationship Type="http://schemas.openxmlformats.org/officeDocument/2006/relationships/hyperlink" Target="https://github.com/RepoKing23/InstagramCarousel/tree/claude/convert-images-jpg-5jeayb/content/2026-10-17-faq-how-much-filler-do" TargetMode="External" Id="rId70" /><Relationship Type="http://schemas.openxmlformats.org/officeDocument/2006/relationships/hyperlink" Target="https://github.com/RepoKing23/InstagramCarousel/tree/claude/convert-images-jpg-5jeayb/content/2026-10-19-filler-dissolves-here-is-the" TargetMode="External" Id="rId71" /><Relationship Type="http://schemas.openxmlformats.org/officeDocument/2006/relationships/hyperlink" Target="https://github.com/RepoKing23/InstagramCarousel/tree/claude/convert-images-jpg-5jeayb/content/2026-10-20-the-filler-timeline" TargetMode="External" Id="rId72" /><Relationship Type="http://schemas.openxmlformats.org/officeDocument/2006/relationships/hyperlink" Target="https://github.com/RepoKing23/InstagramCarousel/tree/claude/convert-images-jpg-5jeayb/content/2026-10-22-lip-filler-aftercare-your-first" TargetMode="External" Id="rId73" /><Relationship Type="http://schemas.openxmlformats.org/officeDocument/2006/relationships/hyperlink" Target="https://github.com/RepoKing23/InstagramCarousel/blob/claude/convert-images-jpg-5jeayb/content/2026-10-22-lip-filler-aftercare-your-first/images/day-zero-before-after.png?raw=1" TargetMode="External" Id="rId74" /><Relationship Type="http://schemas.openxmlformats.org/officeDocument/2006/relationships/hyperlink" Target="https://github.com/RepoKing23/InstagramCarousel/tree/claude/convert-images-jpg-5jeayb/content/2026-10-23-aftercare-essentials" TargetMode="External" Id="rId75" /><Relationship Type="http://schemas.openxmlformats.org/officeDocument/2006/relationships/hyperlink" Target="https://github.com/RepoKing23/InstagramCarousel/tree/claude/convert-images-jpg-5jeayb/content/2026-10-24-client-words-the-lip-glow" TargetMode="External" Id="rId76" /><Relationship Type="http://schemas.openxmlformats.org/officeDocument/2006/relationships/hyperlink" Target="https://github.com/RepoKing23/InstagramCarousel/blob/claude/convert-images-jpg-5jeayb/content/2026-10-24-client-words-the-lip-glow/images/before-after-result.png?raw=1" TargetMode="External" Id="rId77" /><Relationship Type="http://schemas.openxmlformats.org/officeDocument/2006/relationships/hyperlink" Target="https://github.com/RepoKing23/InstagramCarousel/tree/claude/convert-images-jpg-5jeayb/content/2026-10-26-5-filler-lies-you-still" TargetMode="External" Id="rId78" /><Relationship Type="http://schemas.openxmlformats.org/officeDocument/2006/relationships/hyperlink" Target="https://github.com/RepoKing23/InstagramCarousel/tree/claude/convert-images-jpg-5jeayb/content/2026-10-27-myth-vs-truth-filler-edition" TargetMode="External" Id="rId79" /><Relationship Type="http://schemas.openxmlformats.org/officeDocument/2006/relationships/hyperlink" Target="https://github.com/RepoKing23/InstagramCarousel/tree/claude/convert-images-jpg-5jeayb/content/2026-10-29-facial-balancing-why-we-treat" TargetMode="External" Id="rId80" /><Relationship Type="http://schemas.openxmlformats.org/officeDocument/2006/relationships/hyperlink" Target="https://github.com/RepoKing23/InstagramCarousel/tree/claude/convert-images-jpg-5jeayb/content/2026-10-30-one-syringe-balanced-lips" TargetMode="External" Id="rId81" /><Relationship Type="http://schemas.openxmlformats.org/officeDocument/2006/relationships/hyperlink" Target="https://github.com/RepoKing23/InstagramCarousel/blob/claude/convert-images-jpg-5jeayb/content/2026-10-30-one-syringe-balanced-lips/images/before-after-result.png?raw=1" TargetMode="External" Id="rId82" /><Relationship Type="http://schemas.openxmlformats.org/officeDocument/2006/relationships/hyperlink" Target="https://github.com/RepoKing23/InstagramCarousel/tree/claude/convert-images-jpg-5jeayb/content/2026-10-31-ask-anything-filler-edition" TargetMode="External" Id="rId83" /><Relationship Type="http://schemas.openxmlformats.org/officeDocument/2006/relationships/hyperlink" Target="https://github.com/RepoKing23/InstagramCarousel/tree/claude/convert-images-jpg-5jeayb/content/2026-11-02-rested-by-the-holidays-your" TargetMode="External" Id="rId84" /><Relationship Type="http://schemas.openxmlformats.org/officeDocument/2006/relationships/hyperlink" Target="https://github.com/RepoKing23/InstagramCarousel/tree/claude/convert-images-jpg-5jeayb/content/2026-11-03-holiday-countdown-book-by-these" TargetMode="External" Id="rId85" /><Relationship Type="http://schemas.openxmlformats.org/officeDocument/2006/relationships/hyperlink" Target="https://github.com/RepoKing23/InstagramCarousel/tree/claude/convert-images-jpg-5jeayb/content/2026-11-05-party-season-prep-what-to" TargetMode="External" Id="rId86" /><Relationship Type="http://schemas.openxmlformats.org/officeDocument/2006/relationships/hyperlink" Target="https://github.com/RepoKing23/InstagramCarousel/tree/claude/convert-images-jpg-5jeayb/content/2026-11-06-one-result-every-angle" TargetMode="External" Id="rId87" /><Relationship Type="http://schemas.openxmlformats.org/officeDocument/2006/relationships/hyperlink" Target="https://github.com/RepoKing23/InstagramCarousel/tree/claude/convert-images-jpg-5jeayb/content/2026-11-06-one-result-every-angle/images" TargetMode="External" Id="rId88" /><Relationship Type="http://schemas.openxmlformats.org/officeDocument/2006/relationships/hyperlink" Target="https://github.com/RepoKing23/InstagramCarousel/tree/claude/convert-images-jpg-5jeayb/content/2026-11-07-quote-book-the-appointment" TargetMode="External" Id="rId89" /><Relationship Type="http://schemas.openxmlformats.org/officeDocument/2006/relationships/hyperlink" Target="https://github.com/RepoKing23/InstagramCarousel/tree/claude/convert-images-jpg-5jeayb/content/2026-11-09-the-gift-of-glow-gift" TargetMode="External" Id="rId90" /><Relationship Type="http://schemas.openxmlformats.org/officeDocument/2006/relationships/hyperlink" Target="https://github.com/RepoKing23/InstagramCarousel/tree/claude/convert-images-jpg-5jeayb/content/2026-11-10-gift-certificates-are-here" TargetMode="External" Id="rId91" /><Relationship Type="http://schemas.openxmlformats.org/officeDocument/2006/relationships/hyperlink" Target="https://github.com/RepoKing23/InstagramCarousel/tree/claude/convert-images-jpg-5jeayb/content/2026-11-12-3-months-of-honest-answers" TargetMode="External" Id="rId92" /><Relationship Type="http://schemas.openxmlformats.org/officeDocument/2006/relationships/hyperlink" Target="https://github.com/RepoKing23/InstagramCarousel/tree/claude/convert-images-jpg-5jeayb/content/2026-11-13-thank-you-3-months-of" TargetMode="External" Id="rId93" /><Relationship Type="http://schemas.openxmlformats.org/officeDocument/2006/relationships/hyperlink" Target="https://github.com/RepoKing23/InstagramCarousel/tree/claude/convert-images-jpg-5jeayb/content/2026-11-14-tag-someone-who-deserves-a" TargetMode="External" Id="rId94" /></Relationships>
</file>

<file path=xl/worksheets/sheet1.xml><?xml version="1.0" encoding="utf-8"?>
<worksheet xmlns="http://schemas.openxmlformats.org/spreadsheetml/2006/main">
  <sheetPr filterMode="0">
    <outlinePr summaryBelow="1" summaryRight="1"/>
    <pageSetUpPr fitToPage="0"/>
  </sheetPr>
  <dimension ref="A1:C5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 customWidth="1" style="13" min="1" max="1"/>
    <col width="30" customWidth="1" style="13" min="2" max="2"/>
    <col width="50" customWidth="1" style="13" min="3" max="3"/>
    <col width="30" customWidth="1" style="13" min="4" max="4"/>
    <col width="20" customWidth="1" style="13" min="5" max="6"/>
  </cols>
  <sheetData>
    <row r="1"/>
    <row r="2" ht="19.7" customHeight="1" s="14">
      <c r="B2" s="15" t="inlineStr">
        <is>
          <t>Luxury Beauty by Cleo R</t>
        </is>
      </c>
    </row>
    <row r="3" ht="15" customHeight="1" s="14">
      <c r="B3" s="16" t="inlineStr">
        <is>
          <t>Instagram Content Strategy. Aug 17 to Nov 15, 2026 (13 weeks, 65 posts, 7 photo-backed)</t>
        </is>
      </c>
    </row>
    <row r="4"/>
    <row r="5" ht="15" customHeight="1" s="14">
      <c r="B5" s="17" t="n"/>
      <c r="C5" s="18" t="n"/>
    </row>
    <row r="6" ht="15" customHeight="1" s="14">
      <c r="B6" s="19" t="inlineStr">
        <is>
          <t>WEEKLY RHYTHM (5 posts per week)</t>
        </is>
      </c>
      <c r="C6" s="18" t="n"/>
    </row>
    <row r="7" ht="15" customHeight="1" s="14">
      <c r="B7" s="17" t="inlineStr">
        <is>
          <t>Monday</t>
        </is>
      </c>
      <c r="C7" s="18" t="inlineStr">
        <is>
          <t>Carousel 1: education pillar. Your biggest post of the week.</t>
        </is>
      </c>
    </row>
    <row r="8" ht="15" customHeight="1" s="14">
      <c r="B8" s="17" t="inlineStr">
        <is>
          <t>Tuesday</t>
        </is>
      </c>
      <c r="C8" s="18" t="inlineStr">
        <is>
          <t>Single image with a strong hook. Cross-post to Facebook and TikTok.</t>
        </is>
      </c>
    </row>
    <row r="9" ht="15" customHeight="1" s="14">
      <c r="B9" s="17" t="inlineStr">
        <is>
          <t>Thursday</t>
        </is>
      </c>
      <c r="C9" s="18" t="inlineStr">
        <is>
          <t>Carousel 2: trust, proof, or personality pillar.</t>
        </is>
      </c>
    </row>
    <row r="10" ht="15" customHeight="1" s="14">
      <c r="B10" s="17" t="inlineStr">
        <is>
          <t>Friday</t>
        </is>
      </c>
      <c r="C10" s="18" t="inlineStr">
        <is>
          <t>Single image with a strong hook. Cross-post to Facebook and TikTok.</t>
        </is>
      </c>
    </row>
    <row r="11" ht="15" customHeight="1" s="14">
      <c r="B11" s="17" t="inlineStr">
        <is>
          <t>Saturday</t>
        </is>
      </c>
      <c r="C11" s="18" t="inlineStr">
        <is>
          <t>Quote, testimonial, or engagement image. Cross-post to FB and TikTok.</t>
        </is>
      </c>
    </row>
    <row r="12" ht="15" customHeight="1" s="14">
      <c r="B12" s="17" t="n"/>
      <c r="C12" s="18" t="n"/>
    </row>
    <row r="13" ht="15" customHeight="1" s="14">
      <c r="B13" s="19" t="inlineStr">
        <is>
          <t>HOW TO WORK THIS SHEET</t>
        </is>
      </c>
      <c r="C13" s="18" t="n"/>
    </row>
    <row r="14" ht="15" customHeight="1" s="14">
      <c r="B14" s="17" t="inlineStr">
        <is>
          <t>1. Plan</t>
        </is>
      </c>
      <c r="C14" s="18" t="inlineStr">
        <is>
          <t>Everything is pre-filled in the Posting Schedule tab. Adjust topics freely.</t>
        </is>
      </c>
    </row>
    <row r="15" ht="15" customHeight="1" s="14">
      <c r="B15" s="17" t="inlineStr">
        <is>
          <t>2. Design</t>
        </is>
      </c>
      <c r="C15" s="18" t="inlineStr">
        <is>
          <t>Ask Claude to build any post from its row. Week 1 Monday is already done.</t>
        </is>
      </c>
    </row>
    <row r="16" ht="23.85" customHeight="1" s="14">
      <c r="B16" s="17" t="inlineStr">
        <is>
          <t>2b. Files</t>
        </is>
      </c>
      <c r="C16" s="18" t="inlineStr">
        <is>
          <t>Every post has its own folder in the repo. Click its Folder Link for the brief and final images.</t>
        </is>
      </c>
    </row>
    <row r="17" ht="23.85" customHeight="1" s="14">
      <c r="B17" s="17" t="inlineStr">
        <is>
          <t>3. Track</t>
        </is>
      </c>
      <c r="C17" s="18" t="inlineStr">
        <is>
          <t>Update the Status dropdown as each post moves: Idea, Design, Ready, Posted.</t>
        </is>
      </c>
    </row>
    <row r="18" ht="15" customHeight="1" s="14">
      <c r="B18" s="17" t="inlineStr">
        <is>
          <t>4. Measure</t>
        </is>
      </c>
      <c r="C18" s="18" t="inlineStr">
        <is>
          <t>After 48 hours, fill Reach, Saves, Comments, DMs, Bookings from IG Insights.</t>
        </is>
      </c>
    </row>
    <row r="19" ht="15" customHeight="1" s="14">
      <c r="B19" s="17" t="inlineStr">
        <is>
          <t>5. Repeat winners</t>
        </is>
      </c>
      <c r="C19" s="18" t="inlineStr">
        <is>
          <t>Anything with high saves or DMs becomes next month's sequel.</t>
        </is>
      </c>
    </row>
    <row r="20" ht="15" customHeight="1" s="14">
      <c r="B20" s="17" t="n"/>
      <c r="C20" s="18" t="n"/>
    </row>
    <row r="21" ht="23.85" customHeight="1" s="14">
      <c r="B21" s="17" t="inlineStr">
        <is>
          <t>YOU EDIT</t>
        </is>
      </c>
      <c r="C21" s="18" t="inlineStr">
        <is>
          <t>Status, Posted Link, and the performance columns. Everything else is a draft you may rewrite.</t>
        </is>
      </c>
    </row>
    <row r="22" ht="15" customHeight="1" s="14">
      <c r="B22" s="17" t="n"/>
      <c r="C22" s="18" t="n"/>
    </row>
    <row r="23" ht="15" customHeight="1" s="14">
      <c r="B23" s="19" t="inlineStr">
        <is>
          <t>STATUS SNAPSHOT</t>
        </is>
      </c>
      <c r="C23" s="18" t="n"/>
    </row>
    <row r="24" ht="15" customHeight="1" s="14">
      <c r="B24" s="20" t="inlineStr">
        <is>
          <t>Total posts planned</t>
        </is>
      </c>
      <c r="C24" s="17">
        <f>COUNTA('Posting Schedule'!A2:A66)</f>
        <v/>
      </c>
    </row>
    <row r="25" ht="15" customHeight="1" s="14">
      <c r="B25" s="20" t="inlineStr">
        <is>
          <t>Ideas</t>
        </is>
      </c>
      <c r="C25" s="17">
        <f>COUNTIF('Posting Schedule'!P2:P66,"Idea")</f>
        <v/>
      </c>
    </row>
    <row r="26" ht="15" customHeight="1" s="14">
      <c r="B26" s="20" t="inlineStr">
        <is>
          <t>In design</t>
        </is>
      </c>
      <c r="C26" s="17">
        <f>COUNTIF('Posting Schedule'!P2:P66,"Design")</f>
        <v/>
      </c>
    </row>
    <row r="27" ht="15" customHeight="1" s="14">
      <c r="B27" s="20" t="inlineStr">
        <is>
          <t>Ready to post</t>
        </is>
      </c>
      <c r="C27" s="17">
        <f>COUNTIF('Posting Schedule'!P2:P66,"Ready")</f>
        <v/>
      </c>
    </row>
    <row r="28" ht="15" customHeight="1" s="14">
      <c r="B28" s="20" t="inlineStr">
        <is>
          <t>Posted</t>
        </is>
      </c>
      <c r="C28" s="17">
        <f>COUNTIF('Posting Schedule'!P2:P66,"Posted")</f>
        <v/>
      </c>
    </row>
    <row r="29"/>
    <row r="30" ht="15" customHeight="1" s="14">
      <c r="B30" s="21" t="inlineStr">
        <is>
          <t>Import to Google Sheets: drive.google.com &gt; New &gt; File upload &gt; pick this file &gt; open with Google Sheets.</t>
        </is>
      </c>
    </row>
    <row r="31"/>
    <row r="32">
      <c r="B32" s="22" t="inlineStr">
        <is>
          <t>BEFORE AND AFTER RULES</t>
        </is>
      </c>
    </row>
    <row r="33">
      <c r="B33" s="23" t="inlineStr">
        <is>
          <t>Consent</t>
        </is>
      </c>
      <c r="C33" s="24" t="inlineStr">
        <is>
          <t>Written social media consent on file before any client photo is posted.</t>
        </is>
      </c>
    </row>
    <row r="34">
      <c r="B34" s="23" t="inlineStr">
        <is>
          <t>Faces</t>
        </is>
      </c>
      <c r="C34" s="24" t="inlineStr">
        <is>
          <t>Crop every result photo to the treatment area. No eyes, brows, tattoos or jewellery.</t>
        </is>
      </c>
    </row>
    <row r="35">
      <c r="B35" s="23" t="inlineStr">
        <is>
          <t>Wording</t>
        </is>
      </c>
      <c r="C35" s="24" t="inlineStr">
        <is>
          <t>Always add "individual results vary". Never guarantee an outcome.</t>
        </is>
      </c>
    </row>
    <row r="36">
      <c r="B36" s="23" t="inlineStr">
        <is>
          <t>Paid ads</t>
        </is>
      </c>
      <c r="C36" s="24" t="inlineStr">
        <is>
          <t>IG and TikTok restrict boosting before and after cosmetic imagery. Organic only.</t>
        </is>
      </c>
    </row>
    <row r="37">
      <c r="B37" s="23" t="inlineStr">
        <is>
          <t>Photo Library</t>
        </is>
      </c>
      <c r="C37" s="24" t="inlineStr">
        <is>
          <t>The Photo Library tab tracks every client photo, its consent status and where it is used.</t>
        </is>
      </c>
    </row>
    <row r="38"/>
    <row r="39">
      <c r="B39" s="22" t="inlineStr">
        <is>
          <t>Image Link</t>
        </is>
      </c>
      <c r="C39" s="24" t="inlineStr">
        <is>
          <t>Click to see the finished image for that post. Single-image posts open the picture directly; carousels open the folder of slides. "Not designed yet" means the post has a brief but no artwork.</t>
        </is>
      </c>
    </row>
    <row r="40"/>
    <row r="41">
      <c r="B41" s="22" t="inlineStr">
        <is>
          <t>GOOGLE BUSINESS PROFILE</t>
        </is>
      </c>
    </row>
    <row r="42">
      <c r="B42" s="23" t="inlineStr">
        <is>
          <t>Image</t>
        </is>
      </c>
      <c r="C42" s="24" t="inlineStr">
        <is>
          <t>Use the GBP Image Link, not the Instagram one. GBP is 1200x900 and crops to a square in Maps.</t>
        </is>
      </c>
    </row>
    <row r="43">
      <c r="B43" s="23" t="inlineStr">
        <is>
          <t>Caption</t>
        </is>
      </c>
      <c r="C43" s="24" t="inlineStr">
        <is>
          <t>GBP Caption has no hashtags. They do not work on GBP. Only the first 80 characters show before the fold.</t>
        </is>
      </c>
    </row>
    <row r="44">
      <c r="B44" s="23" t="inlineStr">
        <is>
          <t>Button</t>
        </is>
      </c>
      <c r="C44" s="24" t="inlineStr">
        <is>
          <t>Set the post button to Learn more and point it at the Instagram profile until a booking page exists.</t>
        </is>
      </c>
    </row>
    <row r="45">
      <c r="B45" s="23" t="inlineStr">
        <is>
          <t>Carousels</t>
        </is>
      </c>
      <c r="C45" s="24" t="inlineStr">
        <is>
          <t>GBP has no carousel. One image per post, so carousels use their cover.</t>
        </is>
      </c>
    </row>
    <row r="46">
      <c r="B46" s="22" t="inlineStr">
        <is>
          <t>LOCATION</t>
        </is>
      </c>
    </row>
    <row r="47">
      <c r="B47" s="23" t="inlineStr">
        <is>
          <t>Address</t>
        </is>
      </c>
      <c r="C47" s="24" t="inlineStr">
        <is>
          <t>3060 Preserve Dr, Oakville, ON L6M 4L9</t>
        </is>
      </c>
    </row>
    <row r="48">
      <c r="B48" s="23" t="inlineStr">
        <is>
          <t>Service area</t>
        </is>
      </c>
      <c r="C48" s="24" t="inlineStr">
        <is>
          <t>Oakville, Burlington, Milton, Mississauga</t>
        </is>
      </c>
    </row>
    <row r="49">
      <c r="B49" s="23" t="inlineStr">
        <is>
          <t>Hashtags</t>
        </is>
      </c>
      <c r="C49" s="24" t="inlineStr">
        <is>
          <t>Every set now leads with local tags. Location plus service is the highest intent combination.</t>
        </is>
      </c>
    </row>
    <row r="51">
      <c r="B51" s="22" t="inlineStr">
        <is>
          <t>GRID RHYTHM</t>
        </is>
      </c>
    </row>
    <row r="52">
      <c r="B52" s="23" t="inlineStr">
        <is>
          <t>Rule</t>
        </is>
      </c>
      <c r="C52" s="24" t="inlineStr">
        <is>
          <t>The profile grid runs three tiles per row, newest first. Keep exactly one Dark or dark-photo tile in each row of three, and never let two Dark tiles sit side by side.</t>
        </is>
      </c>
    </row>
    <row r="53">
      <c r="B53" s="23" t="inlineStr">
        <is>
          <t>Tone column</t>
        </is>
      </c>
      <c r="C53" s="24" t="inlineStr">
        <is>
          <t>Light = cream, Dark = ink variant, Photo = photo led cover. Check it when moving dates: swapping two posts can put two Dark tiles together.</t>
        </is>
      </c>
    </row>
    <row r="54">
      <c r="B54" s="23" t="inlineStr">
        <is>
          <t>How</t>
        </is>
      </c>
      <c r="C54" s="24" t="inlineStr">
        <is>
          <t>The single-image and carousel templates take a dark theme flag, so flipping a post is a one-line change and a re-render, not a redesign.</t>
        </is>
      </c>
    </row>
    <row r="55">
      <c r="B55" s="23" t="inlineStr">
        <is>
          <t>Sept onward</t>
        </is>
      </c>
      <c r="C55" s="24" t="inlineStr">
        <is>
          <t>September to November posts are all Light today. Assign Dark to roughly one post per week when designing them, matching the August rhythm.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B6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12" customWidth="1" style="13" min="1" max="1"/>
    <col width="6" customWidth="1" style="13" min="2" max="3"/>
    <col width="20" customWidth="1" style="13" min="4" max="4"/>
    <col width="14" customWidth="1" style="13" min="5" max="5"/>
    <col width="10" customWidth="1" style="13" min="6" max="6"/>
    <col width="15" customWidth="1" style="13" min="7" max="7"/>
    <col width="42" customWidth="1" style="13" min="8" max="8"/>
    <col width="60" customWidth="1" style="13" min="9" max="9"/>
    <col width="22" customWidth="1" style="13" min="10" max="10"/>
    <col width="10" customWidth="1" style="13" min="11" max="11"/>
    <col width="34" customWidth="1" style="13" min="12" max="12"/>
    <col width="34" customWidth="1" style="13" min="13" max="13"/>
    <col width="14" customWidth="1" style="13" min="14" max="14"/>
    <col width="16" customWidth="1" style="13" min="15" max="15"/>
    <col width="46" customWidth="1" style="13" min="16" max="17"/>
    <col width="22" customWidth="1" style="14" min="17" max="17"/>
    <col width="10" customWidth="1" style="13" min="18" max="18"/>
    <col width="8" customWidth="1" style="13" min="19" max="19"/>
    <col width="10" customWidth="1" style="13" min="20" max="20"/>
    <col width="60" customWidth="1" style="14" min="24" max="24"/>
    <col width="26" customWidth="1" style="14" min="25" max="25"/>
    <col width="20" customWidth="1" style="14" min="26" max="26"/>
  </cols>
  <sheetData>
    <row r="1" ht="15" customHeight="1" s="14">
      <c r="A1" s="25" t="inlineStr">
        <is>
          <t>Date</t>
        </is>
      </c>
      <c r="B1" s="25" t="inlineStr">
        <is>
          <t>Day</t>
        </is>
      </c>
      <c r="C1" s="25" t="inlineStr">
        <is>
          <t>Week</t>
        </is>
      </c>
      <c r="D1" s="25" t="inlineStr">
        <is>
          <t>Month Theme</t>
        </is>
      </c>
      <c r="E1" s="25" t="inlineStr">
        <is>
          <t>Format</t>
        </is>
      </c>
      <c r="F1" s="26" t="inlineStr">
        <is>
          <t>Tone</t>
        </is>
      </c>
      <c r="G1" s="25" t="inlineStr">
        <is>
          <t>Platforms</t>
        </is>
      </c>
      <c r="H1" s="25" t="inlineStr">
        <is>
          <t>Pillar</t>
        </is>
      </c>
      <c r="I1" s="25" t="inlineStr">
        <is>
          <t>Topic &amp; Hook</t>
        </is>
      </c>
      <c r="J1" s="25" t="inlineStr">
        <is>
          <t>Caption Draft</t>
        </is>
      </c>
      <c r="K1" s="25" t="inlineStr">
        <is>
          <t>CTA</t>
        </is>
      </c>
      <c r="L1" s="25" t="inlineStr">
        <is>
          <t>Hashtag Set</t>
        </is>
      </c>
      <c r="M1" s="25" t="inlineStr">
        <is>
          <t>Visual / Asset</t>
        </is>
      </c>
      <c r="N1" s="26" t="inlineStr">
        <is>
          <t>Photo Assets</t>
        </is>
      </c>
      <c r="O1" s="26" t="inlineStr">
        <is>
          <t>Consent</t>
        </is>
      </c>
      <c r="P1" s="25" t="inlineStr">
        <is>
          <t>Folder Link</t>
        </is>
      </c>
      <c r="Q1" s="26" t="inlineStr">
        <is>
          <t>Image Link</t>
        </is>
      </c>
      <c r="R1" s="26" t="inlineStr">
        <is>
          <t>Preview</t>
        </is>
      </c>
      <c r="S1" s="25" t="inlineStr">
        <is>
          <t>Status</t>
        </is>
      </c>
      <c r="T1" s="25" t="inlineStr">
        <is>
          <t>Posted Link</t>
        </is>
      </c>
      <c r="U1" s="25" t="inlineStr">
        <is>
          <t>Reach</t>
        </is>
      </c>
      <c r="V1" s="25" t="inlineStr">
        <is>
          <t>Saves</t>
        </is>
      </c>
      <c r="W1" s="25" t="inlineStr">
        <is>
          <t>Comments</t>
        </is>
      </c>
      <c r="X1" s="25" t="inlineStr">
        <is>
          <t>DMs</t>
        </is>
      </c>
      <c r="Y1" s="25" t="inlineStr">
        <is>
          <t>Bookings</t>
        </is>
      </c>
      <c r="Z1" s="26" t="inlineStr">
        <is>
          <t>GBP Caption</t>
        </is>
      </c>
      <c r="AA1" s="26" t="inlineStr">
        <is>
          <t>GBP CTA</t>
        </is>
      </c>
      <c r="AB1" s="26" t="inlineStr">
        <is>
          <t>GBP Image Link</t>
        </is>
      </c>
    </row>
    <row r="2" ht="68.65000000000001" customHeight="1" s="14">
      <c r="A2" s="27" t="n">
        <v>46251</v>
      </c>
      <c r="B2" s="28" t="inlineStr">
        <is>
          <t>Mon</t>
        </is>
      </c>
      <c r="C2" s="28" t="n">
        <v>1</v>
      </c>
      <c r="D2" s="28" t="inlineStr">
        <is>
          <t>Botox, Honestly (Launch)</t>
        </is>
      </c>
      <c r="E2" s="28" t="inlineStr">
        <is>
          <t>Carousel</t>
        </is>
      </c>
      <c r="F2" s="24" t="inlineStr">
        <is>
          <t>Light</t>
        </is>
      </c>
      <c r="G2" s="28" t="inlineStr">
        <is>
          <t>Instagram feed + GBP</t>
        </is>
      </c>
      <c r="H2" s="28" t="inlineStr">
        <is>
          <t>Education</t>
        </is>
      </c>
      <c r="I2" s="28" t="inlineStr">
        <is>
          <t>5 Botox Lies You Still Believe | The truth, from a nurse injector.</t>
        </is>
      </c>
      <c r="J2" s="28" t="inlineStr">
        <is>
          <t>Half of what you have heard about Botox came from someone who saw bad work. Let's set the record straight. Which myth did you believe? Drop it below and share this with a friend who needs slide 5.
#botox #botoxeducation #botoxmyths #preventativebotox #antiwrinkleinjections #nurseinjector #medspa #naturalbotox #botoxbeforeandafter #aestheticnurse</t>
        </is>
      </c>
      <c r="K2" s="28" t="inlineStr">
        <is>
          <t>DM BOTOX or link in bio</t>
        </is>
      </c>
      <c r="L2" s="28" t="inlineStr">
        <is>
          <t>Set A</t>
        </is>
      </c>
      <c r="M2" s="28" t="inlineStr">
        <is>
          <t>READY: 8 final slides in this post's folder</t>
        </is>
      </c>
      <c r="N2" s="24" t="n"/>
      <c r="O2" s="24" t="n"/>
      <c r="P2" s="32" t="inlineStr">
        <is>
          <t>Open folder</t>
        </is>
      </c>
      <c r="Q2" s="33" t="inlineStr">
        <is>
          <t>View 8 slides</t>
        </is>
      </c>
      <c r="R2" s="24">
        <f>IMAGE("https://raw.githubusercontent.com/RepoKing23/InstagramCarousel/claude/convert-images-jpg-5jeayb/content/2026-08-17-5-botox-lies-you-still/images/slide-1.png")</f>
        <v/>
      </c>
      <c r="S2" s="28" t="inlineStr">
        <is>
          <t>Ready</t>
        </is>
      </c>
      <c r="T2" s="28" t="n"/>
      <c r="U2" s="28" t="n"/>
      <c r="V2" s="28" t="n"/>
      <c r="W2" s="28" t="n"/>
      <c r="X2" s="28" t="n"/>
      <c r="Y2" s="28" t="n"/>
      <c r="Z2" s="24" t="n"/>
      <c r="AA2" s="24" t="n"/>
      <c r="AB2" s="33" t="inlineStr">
        <is>
          <t>View GBP image</t>
        </is>
      </c>
    </row>
    <row r="3" ht="57.45" customHeight="1" s="14">
      <c r="A3" s="29" t="n">
        <v>46252</v>
      </c>
      <c r="B3" s="30" t="inlineStr">
        <is>
          <t>Tue</t>
        </is>
      </c>
      <c r="C3" s="30" t="n">
        <v>1</v>
      </c>
      <c r="D3" s="30" t="inlineStr">
        <is>
          <t>Botox, Honestly (Launch)</t>
        </is>
      </c>
      <c r="E3" s="30" t="inlineStr">
        <is>
          <t>Single Image</t>
        </is>
      </c>
      <c r="F3" s="24" t="inlineStr">
        <is>
          <t>Photo</t>
        </is>
      </c>
      <c r="G3" s="30" t="inlineStr">
        <is>
          <t>IG + FB + TikTok photo + GBP</t>
        </is>
      </c>
      <c r="H3" s="30" t="inlineStr">
        <is>
          <t>Education</t>
        </is>
      </c>
      <c r="I3" s="30" t="inlineStr">
        <is>
          <t>Service Spotlight: Botox | Smooth, not frozen.</t>
        </is>
      </c>
      <c r="J3" s="30" t="inlineStr">
        <is>
          <t>Softened lines, full expression, and nobody can tell why you look so rested. That is Botox done right.
#botox #botoxeducation #botoxmyths #preventativebotox #antiwrinkleinjections #nurseinjector #medspa #naturalbotox #botoxbeforeandafter #aestheticnurse</t>
        </is>
      </c>
      <c r="K3" s="30" t="inlineStr">
        <is>
          <t>DM BOTOX to book</t>
        </is>
      </c>
      <c r="L3" s="30" t="inlineStr">
        <is>
          <t>Set A</t>
        </is>
      </c>
      <c r="M3" s="30" t="inlineStr">
        <is>
          <t>READY: final image in this post's folder</t>
        </is>
      </c>
      <c r="N3" s="24" t="n"/>
      <c r="O3" s="24" t="n"/>
      <c r="P3" s="34" t="inlineStr">
        <is>
          <t>Open folder</t>
        </is>
      </c>
      <c r="Q3" s="33" t="inlineStr">
        <is>
          <t>View image</t>
        </is>
      </c>
      <c r="R3" s="24">
        <f>IMAGE("https://raw.githubusercontent.com/RepoKing23/InstagramCarousel/claude/convert-images-jpg-5jeayb/content/2026-08-18-service-spotlight-botox/images/post.png")</f>
        <v/>
      </c>
      <c r="S3" s="30" t="inlineStr">
        <is>
          <t>Ready</t>
        </is>
      </c>
      <c r="T3" s="30" t="n"/>
      <c r="U3" s="30" t="n"/>
      <c r="V3" s="30" t="n"/>
      <c r="W3" s="30" t="n"/>
      <c r="X3" s="30" t="n"/>
      <c r="Y3" s="30" t="n"/>
      <c r="Z3" s="24" t="n"/>
      <c r="AA3" s="24" t="n"/>
      <c r="AB3" s="33" t="inlineStr">
        <is>
          <t>View GBP image</t>
        </is>
      </c>
    </row>
    <row r="4" ht="68.65000000000001" customHeight="1" s="14">
      <c r="A4" s="27" t="n">
        <v>46254</v>
      </c>
      <c r="B4" s="28" t="inlineStr">
        <is>
          <t>Thu</t>
        </is>
      </c>
      <c r="C4" s="28" t="n">
        <v>1</v>
      </c>
      <c r="D4" s="28" t="inlineStr">
        <is>
          <t>Botox, Honestly (Launch)</t>
        </is>
      </c>
      <c r="E4" s="28" t="inlineStr">
        <is>
          <t>Carousel</t>
        </is>
      </c>
      <c r="F4" s="24" t="inlineStr">
        <is>
          <t>Light</t>
        </is>
      </c>
      <c r="G4" s="28" t="inlineStr">
        <is>
          <t>Instagram feed + GBP</t>
        </is>
      </c>
      <c r="H4" s="28" t="inlineStr">
        <is>
          <t>Trust &amp; Proof</t>
        </is>
      </c>
      <c r="I4" s="28" t="inlineStr">
        <is>
          <t>5 Red Flags at a Med Spa. Run. | Your face deserves better than a bargain.</t>
        </is>
      </c>
      <c r="J4" s="28" t="inlineStr">
        <is>
          <t>If nobody asked you a single question before picking up a needle, leave.
I have fixed enough work from other clinics to know the pattern. The problem is
almost never the product. It starts with an appointment that skipped the part
where somebody actually looked at your face.
Five things worth walking away from. The last one is the one people forget to
ask about, and it is the one that matters most if something ever goes wrong.
Save this and take it to your next consult, wherever you book.
#oakvillemedspa #burlingtonmedspa #miltonontario #mississaugabeauty #haltonregion #honestinjector #naturalresults #aestheticnurse #nursepractitioner #medspacanada #luxurybeautybycleor #npcleo</t>
        </is>
      </c>
      <c r="K4" s="28" t="inlineStr">
        <is>
          <t>Save this before you book</t>
        </is>
      </c>
      <c r="L4" s="28" t="inlineStr">
        <is>
          <t>Set C</t>
        </is>
      </c>
      <c r="M4" s="28" t="inlineStr">
        <is>
          <t>Design in editorial template (sequel to Choosing the Right NP)</t>
        </is>
      </c>
      <c r="N4" s="24" t="n"/>
      <c r="O4" s="24" t="n"/>
      <c r="P4" s="32" t="inlineStr">
        <is>
          <t>Open folder</t>
        </is>
      </c>
      <c r="Q4" s="33" t="inlineStr">
        <is>
          <t>View 7 slides</t>
        </is>
      </c>
      <c r="R4" s="24">
        <f>IMAGE("https://raw.githubusercontent.com/RepoKing23/InstagramCarousel/claude/convert-images-jpg-5jeayb/content/2026-08-20-5-red-flags-at-a/images/slide-1.png")</f>
        <v/>
      </c>
      <c r="S4" s="28" t="inlineStr">
        <is>
          <t>Ready</t>
        </is>
      </c>
      <c r="T4" s="28" t="n"/>
      <c r="U4" s="28" t="n"/>
      <c r="V4" s="28" t="n"/>
      <c r="W4" s="28" t="n"/>
      <c r="X4" s="28" t="n"/>
      <c r="Y4" s="28" t="n"/>
      <c r="Z4" s="24" t="inlineStr">
        <is>
          <t>Five things to walk away from at a med spa: no consultation, bargain pricing, a provider who never says no, no named injector, and no plan for complications. Know them before you book anywhere. Serving Oakville, Burlington, Milton and Mississauga.</t>
        </is>
      </c>
      <c r="AA4" s="24" t="inlineStr">
        <is>
          <t>Learn more &gt; Instagram</t>
        </is>
      </c>
      <c r="AB4" s="33" t="inlineStr">
        <is>
          <t>View GBP image</t>
        </is>
      </c>
    </row>
    <row r="5" ht="57.45" customHeight="1" s="14">
      <c r="A5" s="29" t="n">
        <v>46255</v>
      </c>
      <c r="B5" s="30" t="inlineStr">
        <is>
          <t>Fri</t>
        </is>
      </c>
      <c r="C5" s="30" t="n">
        <v>1</v>
      </c>
      <c r="D5" s="30" t="inlineStr">
        <is>
          <t>Botox, Honestly (Launch)</t>
        </is>
      </c>
      <c r="E5" s="30" t="inlineStr">
        <is>
          <t>Single Image</t>
        </is>
      </c>
      <c r="F5" s="24" t="inlineStr">
        <is>
          <t>Dark</t>
        </is>
      </c>
      <c r="G5" s="30" t="inlineStr">
        <is>
          <t>IG + FB + TikTok photo + GBP</t>
        </is>
      </c>
      <c r="H5" s="30" t="inlineStr">
        <is>
          <t>Personality &amp; BTS</t>
        </is>
      </c>
      <c r="I5" s="30" t="inlineStr">
        <is>
          <t>Behind the Scenes: The Prep | Zero shortcuts. Ever.</t>
        </is>
      </c>
      <c r="J5" s="30" t="inlineStr">
        <is>
          <t>The part nobody films is the part that keeps you safe.
New tray. New gloves. Product opened in front of you so you can see the vial,
the lot number and the date. Your face marked while you are moving, because
muscles do not sit still and neither should the plan.
None of this is impressive. It is just the standard. I am showing it because
plenty of places skip it and you would never know.
Ask to watch next time. Anyone doing it properly will say yes.
#oakville #oakvillebusiness #burlingtonontario #miltonontario #mississauga #haltonregion #womeninbusiness #nursepractitioner #aestheticnurse #medspalife #luxurybeautybycleor #npcleo</t>
        </is>
      </c>
      <c r="K5" s="30" t="inlineStr">
        <is>
          <t>Zero shortcuts. Ever.</t>
        </is>
      </c>
      <c r="L5" s="30" t="inlineStr">
        <is>
          <t>Set D</t>
        </is>
      </c>
      <c r="M5" s="30" t="inlineStr">
        <is>
          <t>prep tray photo + hook overlay</t>
        </is>
      </c>
      <c r="N5" s="24" t="n"/>
      <c r="O5" s="24" t="n"/>
      <c r="P5" s="34" t="inlineStr">
        <is>
          <t>Open folder</t>
        </is>
      </c>
      <c r="Q5" s="33" t="inlineStr">
        <is>
          <t>View image</t>
        </is>
      </c>
      <c r="R5" s="24">
        <f>IMAGE("https://raw.githubusercontent.com/RepoKing23/InstagramCarousel/claude/convert-images-jpg-5jeayb/content/2026-08-21-behind-the-scenes-the-prep/images/post.png")</f>
        <v/>
      </c>
      <c r="S5" s="30" t="inlineStr">
        <is>
          <t>Ready</t>
        </is>
      </c>
      <c r="T5" s="30" t="n"/>
      <c r="U5" s="30" t="n"/>
      <c r="V5" s="30" t="n"/>
      <c r="W5" s="30" t="n"/>
      <c r="X5" s="30" t="n"/>
      <c r="Y5" s="30" t="n"/>
      <c r="Z5" s="24" t="inlineStr">
        <is>
          <t>Every appointment starts the same way. New tray, sealed product opened in front of you, and your face mapped while it moves so the plan fits how you actually move. Ask to watch. Serving Oakville, Burlington, Milton and Mississauga.</t>
        </is>
      </c>
      <c r="AA5" s="24" t="inlineStr">
        <is>
          <t>Learn more &gt; Instagram</t>
        </is>
      </c>
      <c r="AB5" s="33" t="inlineStr">
        <is>
          <t>View GBP image</t>
        </is>
      </c>
    </row>
    <row r="6" ht="46.25" customHeight="1" s="14">
      <c r="A6" s="29" t="n">
        <v>46256</v>
      </c>
      <c r="B6" s="30" t="inlineStr">
        <is>
          <t>Sat</t>
        </is>
      </c>
      <c r="C6" s="30" t="n">
        <v>1</v>
      </c>
      <c r="D6" s="30" t="inlineStr">
        <is>
          <t>Botox, Honestly (Launch)</t>
        </is>
      </c>
      <c r="E6" s="30" t="inlineStr">
        <is>
          <t>Before/After</t>
        </is>
      </c>
      <c r="F6" s="24" t="inlineStr">
        <is>
          <t>Light</t>
        </is>
      </c>
      <c r="G6" s="30" t="inlineStr">
        <is>
          <t>IG + FB + TikTok photo + GBP</t>
        </is>
      </c>
      <c r="H6" s="30" t="inlineStr">
        <is>
          <t>Trust &amp; Proof</t>
        </is>
      </c>
      <c r="I6" s="30" t="inlineStr">
        <is>
          <t>Great Work Is Invisible | You were not supposed to notice.</t>
        </is>
      </c>
      <c r="J6" s="30" t="inlineStr">
        <is>
          <t>She booked because her top lip disappeared when she smiled.
Not because she wanted bigger lips. She was very clear about that. One syringe,
placed along a lip line that was already there, and the shape she was born with
stayed exactly where it was.
If you scrolled past this without stopping, that is the result doing its job.
Good work does not announce itself.
Shared with her permission. Individual results vary.
#lipfilleroakville #fillersoakville #oakvillemedspa #burlingtonfiller #miltonlipfiller #mississaugamedspa #dermalfillers #naturallips #facialbalancing #aestheticnurse #luxurybeautybycleor #npcleo</t>
        </is>
      </c>
      <c r="K6" s="30" t="inlineStr">
        <is>
          <t>Message to book</t>
        </is>
      </c>
      <c r="L6" s="30" t="inlineStr">
        <is>
          <t>Set B</t>
        </is>
      </c>
      <c r="M6" s="30" t="inlineStr">
        <is>
          <t>Before and after card in editorial template. Crop to treatment area, no faces</t>
        </is>
      </c>
      <c r="N6" s="24" t="inlineStr">
        <is>
          <t>img_9908 (before), img_9912 (after)</t>
        </is>
      </c>
      <c r="O6" s="24" t="inlineStr">
        <is>
          <t>Not needed</t>
        </is>
      </c>
      <c r="P6" s="34" t="inlineStr">
        <is>
          <t>Open folder</t>
        </is>
      </c>
      <c r="Q6" s="33" t="inlineStr">
        <is>
          <t>View image</t>
        </is>
      </c>
      <c r="R6" s="24">
        <f>IMAGE("https://raw.githubusercontent.com/RepoKing23/InstagramCarousel/claude/convert-images-jpg-5jeayb/content/2026-08-22-great-work-is-invisible/images/before-after-result.png")</f>
        <v/>
      </c>
      <c r="S6" s="30" t="inlineStr">
        <is>
          <t>Ready</t>
        </is>
      </c>
      <c r="T6" s="30" t="n"/>
      <c r="U6" s="30" t="n"/>
      <c r="V6" s="30" t="n"/>
      <c r="W6" s="30" t="n"/>
      <c r="X6" s="30" t="n"/>
      <c r="Y6" s="30" t="n"/>
      <c r="Z6" s="24" t="inlineStr">
        <is>
          <t>One syringe of lip filler, with her own lip shape kept exactly where it was. Natural results are the whole point of how we practise. Shared with client consent, individual results vary. Serving Oakville, Burlington, Milton and Mississauga.</t>
        </is>
      </c>
      <c r="AA6" s="24" t="inlineStr">
        <is>
          <t>Learn more &gt; Instagram</t>
        </is>
      </c>
      <c r="AB6" s="33" t="inlineStr">
        <is>
          <t>View GBP image</t>
        </is>
      </c>
    </row>
    <row r="7" ht="57.45" customHeight="1" s="14">
      <c r="A7" s="27" t="n">
        <v>46258</v>
      </c>
      <c r="B7" s="28" t="inlineStr">
        <is>
          <t>Mon</t>
        </is>
      </c>
      <c r="C7" s="28" t="n">
        <v>2</v>
      </c>
      <c r="D7" s="28" t="inlineStr">
        <is>
          <t>Botox, Honestly (Launch)</t>
        </is>
      </c>
      <c r="E7" s="28" t="inlineStr">
        <is>
          <t>Carousel</t>
        </is>
      </c>
      <c r="F7" s="24" t="inlineStr">
        <is>
          <t>Light</t>
        </is>
      </c>
      <c r="G7" s="28" t="inlineStr">
        <is>
          <t>Instagram feed + GBP</t>
        </is>
      </c>
      <c r="H7" s="28" t="inlineStr">
        <is>
          <t>Education</t>
        </is>
      </c>
      <c r="I7" s="28" t="inlineStr">
        <is>
          <t>Your First Visit, Step by Step | Nervous about your first appointment? Here is exactly what happens.</t>
        </is>
      </c>
      <c r="J7" s="28" t="inlineStr">
        <is>
          <t>Most people arrive nervous and leave asking why they waited so long.
Usually that is because nobody told them what actually happens. So here it is,
start to finish, including the part where we agree on the areas, the units and
the price before anything gets opened.
The treatment itself is the short part. Ten to fifteen minutes for most people.
Everything before it is what makes the difference.
Swipe through. If you are still nervous at the end, send me the question you
are embarrassed to ask. I have heard it before.
#botoxoakville #oakvillemedspa #burlingtonbotox #miltonmedspa #mississaugainjector #haltonregion #preventativebotox #botoxcanada #nursepractitionerinjector #naturalresults #luxurybeautybycleor #npcleo</t>
        </is>
      </c>
      <c r="K7" s="28" t="inlineStr">
        <is>
          <t>DM to book a consult</t>
        </is>
      </c>
      <c r="L7" s="28" t="inlineStr">
        <is>
          <t>Set A</t>
        </is>
      </c>
      <c r="M7" s="28" t="inlineStr">
        <is>
          <t>Design in editorial template + treatment room photos</t>
        </is>
      </c>
      <c r="N7" s="24" t="n"/>
      <c r="O7" s="24" t="n"/>
      <c r="P7" s="32" t="inlineStr">
        <is>
          <t>Open folder</t>
        </is>
      </c>
      <c r="Q7" s="33" t="inlineStr">
        <is>
          <t>View 8 slides</t>
        </is>
      </c>
      <c r="R7" s="24">
        <f>IMAGE("https://raw.githubusercontent.com/RepoKing23/InstagramCarousel/claude/convert-images-jpg-5jeayb/content/2026-08-24-your-first-visit-step-by/images/slide-1.png")</f>
        <v/>
      </c>
      <c r="S7" s="28" t="inlineStr">
        <is>
          <t>Ready</t>
        </is>
      </c>
      <c r="T7" s="28" t="n"/>
      <c r="U7" s="28" t="n"/>
      <c r="V7" s="28" t="n"/>
      <c r="W7" s="28" t="n"/>
      <c r="X7" s="28" t="n"/>
      <c r="Y7" s="28" t="n"/>
      <c r="Z7" s="24" t="inlineStr">
        <is>
          <t>Nervous about your first appointment? A real consultation, your face mapped in motion, then the areas and the price agreed before anything is opened. The treatment itself takes about ten minutes. Serving Oakville, Burlington, Milton and Mississauga.</t>
        </is>
      </c>
      <c r="AA7" s="24" t="inlineStr">
        <is>
          <t>Learn more &gt; Instagram</t>
        </is>
      </c>
      <c r="AB7" s="33" t="inlineStr">
        <is>
          <t>View GBP image</t>
        </is>
      </c>
    </row>
    <row r="8" ht="57.45" customHeight="1" s="14">
      <c r="A8" s="29" t="n">
        <v>46259</v>
      </c>
      <c r="B8" s="30" t="inlineStr">
        <is>
          <t>Tue</t>
        </is>
      </c>
      <c r="C8" s="30" t="n">
        <v>2</v>
      </c>
      <c r="D8" s="30" t="inlineStr">
        <is>
          <t>Botox, Honestly (Launch)</t>
        </is>
      </c>
      <c r="E8" s="30" t="inlineStr">
        <is>
          <t>Single Image</t>
        </is>
      </c>
      <c r="F8" s="24" t="inlineStr">
        <is>
          <t>Dark</t>
        </is>
      </c>
      <c r="G8" s="30" t="inlineStr">
        <is>
          <t>IG + FB + TikTok photo + GBP</t>
        </is>
      </c>
      <c r="H8" s="30" t="inlineStr">
        <is>
          <t>Trust &amp; Proof</t>
        </is>
      </c>
      <c r="I8" s="30" t="inlineStr">
        <is>
          <t>Why I Do Not Post Prices | Every clinic gets this DM. Almost nobody answers it honestly.</t>
        </is>
      </c>
      <c r="J8" s="30" t="inlineStr">
        <is>
          <t>Every clinic gets this DM. Almost nobody answers it honestly.
Units are not a menu item. Two people who want the same result can need very
different doses, so one flat price either overcharges you or under treats you.
And cheap injectables end up being the most expensive thing in this industry,
because correcting bad work takes more time and more product than doing it
properly the first time.
What you do get is a number before anything starts. At your consult, in writing,
after I have actually looked at your face. Nothing is opened until you have
agreed to it.
Ask me anything about cost. I will not dodge it.
#oakvillemedspa #burlingtonmedspa #miltonontario #mississaugabeauty #haltonregion #honestinjector #naturalresults #aestheticnurse #nursepractitioner #medspacanada #luxurybeautybycleor #npcleo</t>
        </is>
      </c>
      <c r="K8" s="30" t="inlineStr">
        <is>
          <t>DM the word PRICE</t>
        </is>
      </c>
      <c r="L8" s="30" t="inlineStr">
        <is>
          <t>Set C</t>
        </is>
      </c>
      <c r="M8" s="30" t="inlineStr">
        <is>
          <t>Single image, dark variant. Type led, no photo</t>
        </is>
      </c>
      <c r="N8" s="24" t="n"/>
      <c r="O8" s="24" t="n"/>
      <c r="P8" s="34" t="inlineStr">
        <is>
          <t>Open folder</t>
        </is>
      </c>
      <c r="Q8" s="33" t="inlineStr">
        <is>
          <t>View image</t>
        </is>
      </c>
      <c r="R8" s="24">
        <f>IMAGE("https://raw.githubusercontent.com/RepoKing23/InstagramCarousel/claude/convert-images-jpg-5jeayb/content/2026-08-25-why-i-do-not-post/images/post.png")</f>
        <v/>
      </c>
      <c r="S8" s="30" t="inlineStr">
        <is>
          <t>Ready</t>
        </is>
      </c>
      <c r="T8" s="30" t="n"/>
      <c r="U8" s="30" t="n"/>
      <c r="V8" s="30" t="n"/>
      <c r="W8" s="30" t="n"/>
      <c r="X8" s="30" t="n"/>
      <c r="Y8" s="30" t="n"/>
      <c r="Z8" s="24" t="inlineStr">
        <is>
          <t>Why we do not post a price list. Doses differ from face to face, so one flat price either overcharges you or under treats you. You get a written number at your consult, before anything is opened. Serving Oakville, Burlington, Milton and Mississauga.</t>
        </is>
      </c>
      <c r="AA8" s="24" t="inlineStr">
        <is>
          <t>Learn more &gt; Instagram</t>
        </is>
      </c>
      <c r="AB8" s="33" t="inlineStr">
        <is>
          <t>View GBP image</t>
        </is>
      </c>
    </row>
    <row r="9" ht="57.45" customHeight="1" s="14">
      <c r="A9" s="27" t="n">
        <v>46261</v>
      </c>
      <c r="B9" s="28" t="inlineStr">
        <is>
          <t>Thu</t>
        </is>
      </c>
      <c r="C9" s="28" t="n">
        <v>2</v>
      </c>
      <c r="D9" s="28" t="inlineStr">
        <is>
          <t>Botox, Honestly (Launch)</t>
        </is>
      </c>
      <c r="E9" s="28" t="inlineStr">
        <is>
          <t>Carousel</t>
        </is>
      </c>
      <c r="F9" s="24" t="inlineStr">
        <is>
          <t>Photo</t>
        </is>
      </c>
      <c r="G9" s="28" t="inlineStr">
        <is>
          <t>Instagram feed + GBP</t>
        </is>
      </c>
      <c r="H9" s="28" t="inlineStr">
        <is>
          <t>Personality &amp; BTS</t>
        </is>
      </c>
      <c r="I9" s="28" t="inlineStr">
        <is>
          <t>Meet NP Cleo: The Face Behind the Glow | Real education. Real results. Real care.</t>
        </is>
      </c>
      <c r="J9" s="28" t="inlineStr">
        <is>
          <t>I got tired of fixing work that never should have happened.
That is the honest reason this clinic exists. Most people who sit in my chair
are not asking for a different face. They want to stop looking tired, and
somewhere along the way the industry decided more was always the answer.
So I go slow. I dose conservatively, I build over sessions, and I say not yet
more often than people expect. I have never once regretted that.
Nurse practitioner. Every appointment injected by me, never handed off to
somebody you have not met.
#oakville #oakvillebusiness #burlingtonontario #miltonontario #mississauga #haltonregion #womeninbusiness #nursepractitioner #aestheticnurse #medspalife #luxurybeautybycleor #npcleo</t>
        </is>
      </c>
      <c r="K9" s="28" t="inlineStr">
        <is>
          <t>DM the word CONSULT</t>
        </is>
      </c>
      <c r="L9" s="28" t="inlineStr">
        <is>
          <t>Set D</t>
        </is>
      </c>
      <c r="M9" s="28" t="inlineStr">
        <is>
          <t>Portrait photos of Cleo (reuse cleo.png + new shots)</t>
        </is>
      </c>
      <c r="N9" s="24" t="n"/>
      <c r="O9" s="24" t="n"/>
      <c r="P9" s="32" t="inlineStr">
        <is>
          <t>Open folder</t>
        </is>
      </c>
      <c r="Q9" s="33" t="inlineStr">
        <is>
          <t>View 5 slides</t>
        </is>
      </c>
      <c r="R9" s="24">
        <f>IMAGE("https://raw.githubusercontent.com/RepoKing23/InstagramCarousel/claude/convert-images-jpg-5jeayb/content/2026-08-27-meet-np-cleo-the-face/images/slide-1.png")</f>
        <v/>
      </c>
      <c r="S9" s="28" t="inlineStr">
        <is>
          <t>Ready</t>
        </is>
      </c>
      <c r="T9" s="28" t="n"/>
      <c r="U9" s="28" t="n"/>
      <c r="V9" s="28" t="n"/>
      <c r="W9" s="28" t="n"/>
      <c r="X9" s="28" t="n"/>
      <c r="Y9" s="28" t="n"/>
      <c r="Z9" s="24" t="inlineStr">
        <is>
          <t>Meet NP Cleo. Nurse practitioner and injector, and the person who will tell you no when the honest answer is not yet. Every appointment is injected by Cleo, never delegated. Serving Oakville, Burlington, Milton and Mississauga.</t>
        </is>
      </c>
      <c r="AA9" s="24" t="inlineStr">
        <is>
          <t>Learn more &gt; Instagram</t>
        </is>
      </c>
      <c r="AB9" s="33" t="inlineStr">
        <is>
          <t>View GBP image</t>
        </is>
      </c>
    </row>
    <row r="10" ht="46.25" customHeight="1" s="14">
      <c r="A10" s="29" t="n">
        <v>46262</v>
      </c>
      <c r="B10" s="30" t="inlineStr">
        <is>
          <t>Fri</t>
        </is>
      </c>
      <c r="C10" s="30" t="n">
        <v>2</v>
      </c>
      <c r="D10" s="30" t="inlineStr">
        <is>
          <t>Botox, Honestly (Launch)</t>
        </is>
      </c>
      <c r="E10" s="30" t="inlineStr">
        <is>
          <t>Single Image</t>
        </is>
      </c>
      <c r="F10" s="24" t="inlineStr">
        <is>
          <t>Dark</t>
        </is>
      </c>
      <c r="G10" s="30" t="inlineStr">
        <is>
          <t>IG + FB + TikTok photo + GBP</t>
        </is>
      </c>
      <c r="H10" s="30" t="inlineStr">
        <is>
          <t>Personality &amp; BTS</t>
        </is>
      </c>
      <c r="I10" s="30" t="inlineStr">
        <is>
          <t>Welcome to the Treatment Room | Where calm meets careful.</t>
        </is>
      </c>
      <c r="J10" s="30" t="inlineStr">
        <is>
          <t>One person in the room at a time, and the door stays shut.
Nobody rushes the client before you, which means nobody rushes you either. You
get the whole appointment, the questions you were too shy to ask somewhere
else, and a plan we agree on before anything happens.
It is a quiet room on purpose. Decisions about your face deserve one.
In Oakville, and worth the short drive from Burlington, Milton or Mississauga.
#oakville #oakvillebusiness #burlingtonontario #miltonontario #mississauga #haltonregion #womeninbusiness #nursepractitioner #aestheticnurse #medspalife #luxurybeautybycleor #npcleo</t>
        </is>
      </c>
      <c r="K10" s="30" t="inlineStr">
        <is>
          <t>Come see it</t>
        </is>
      </c>
      <c r="L10" s="30" t="inlineStr">
        <is>
          <t>Set D</t>
        </is>
      </c>
      <c r="M10" s="30" t="inlineStr">
        <is>
          <t>Single image, dark photo led. Uses botox-prep.png framed on the room</t>
        </is>
      </c>
      <c r="N10" s="24" t="n"/>
      <c r="O10" s="24" t="n"/>
      <c r="P10" s="34" t="inlineStr">
        <is>
          <t>Open folder</t>
        </is>
      </c>
      <c r="Q10" s="33" t="inlineStr">
        <is>
          <t>View image</t>
        </is>
      </c>
      <c r="R10" s="24">
        <f>IMAGE("https://raw.githubusercontent.com/RepoKing23/InstagramCarousel/claude/convert-images-jpg-5jeayb/content/2026-08-28-welcome-to-the-treatment-room/images/post.png")</f>
        <v/>
      </c>
      <c r="S10" s="30" t="inlineStr">
        <is>
          <t>Ready</t>
        </is>
      </c>
      <c r="T10" s="30" t="n"/>
      <c r="U10" s="30" t="n"/>
      <c r="V10" s="30" t="n"/>
      <c r="W10" s="30" t="n"/>
      <c r="X10" s="30" t="n"/>
      <c r="Y10" s="30" t="n"/>
      <c r="Z10" s="24" t="inlineStr">
        <is>
          <t>One client in the treatment room at a time. Nobody rushes the person before you, so nobody rushes you. Questions welcome, and a plan agreed before anything happens. Serving Oakville, Burlington, Milton and Mississauga.</t>
        </is>
      </c>
      <c r="AA10" s="24" t="inlineStr">
        <is>
          <t>Learn more &gt; Instagram</t>
        </is>
      </c>
      <c r="AB10" s="33" t="inlineStr">
        <is>
          <t>View GBP image</t>
        </is>
      </c>
    </row>
    <row r="11" ht="46.25" customHeight="1" s="14">
      <c r="A11" s="29" t="n">
        <v>46263</v>
      </c>
      <c r="B11" s="30" t="inlineStr">
        <is>
          <t>Sat</t>
        </is>
      </c>
      <c r="C11" s="30" t="n">
        <v>2</v>
      </c>
      <c r="D11" s="30" t="inlineStr">
        <is>
          <t>Botox, Honestly (Launch)</t>
        </is>
      </c>
      <c r="E11" s="30" t="inlineStr">
        <is>
          <t>Single Image</t>
        </is>
      </c>
      <c r="F11" s="24" t="inlineStr">
        <is>
          <t>Light</t>
        </is>
      </c>
      <c r="G11" s="30" t="inlineStr">
        <is>
          <t>IG + FB + TikTok photo + GBP</t>
        </is>
      </c>
      <c r="H11" s="30" t="inlineStr">
        <is>
          <t>Trust &amp; Proof</t>
        </is>
      </c>
      <c r="I11" s="30" t="inlineStr">
        <is>
          <t>This or That: Rested vs Frozen | If people ask what you had done, the dose was wrong.</t>
        </is>
      </c>
      <c r="J11" s="30" t="inlineStr">
        <is>
          <t>If people ask what you had done, the dose was wrong.
The goal was never to erase your expressions. You should still frown at your
inbox and squint in the sun. Softer, not stiller.
Rested or frozen. Which were you actually hoping for? Tell me in the comments,
I read all of them.
#oakvillemedspa #burlingtonmedspa #miltonontario #mississaugabeauty #haltonregion #honestinjector #naturalresults #aestheticnurse #nursepractitioner #medspacanada #luxurybeautybycleor #npcleo</t>
        </is>
      </c>
      <c r="K11" s="30" t="inlineStr">
        <is>
          <t>Which one do you want?</t>
        </is>
      </c>
      <c r="L11" s="30" t="inlineStr">
        <is>
          <t>Set C</t>
        </is>
      </c>
      <c r="M11" s="30" t="inlineStr">
        <is>
          <t>Two-panel comparison card in brand style</t>
        </is>
      </c>
      <c r="N11" s="24" t="n"/>
      <c r="O11" s="24" t="n"/>
      <c r="P11" s="34" t="inlineStr">
        <is>
          <t>Open folder</t>
        </is>
      </c>
      <c r="Q11" s="33" t="inlineStr">
        <is>
          <t>View image</t>
        </is>
      </c>
      <c r="R11" s="24">
        <f>IMAGE("https://raw.githubusercontent.com/RepoKing23/InstagramCarousel/claude/convert-images-jpg-5jeayb/content/2026-08-29-this-or-that-rested-vs/images/post.png")</f>
        <v/>
      </c>
      <c r="S11" s="30" t="inlineStr">
        <is>
          <t>Ready</t>
        </is>
      </c>
      <c r="T11" s="30" t="n"/>
      <c r="U11" s="30" t="n"/>
      <c r="V11" s="30" t="n"/>
      <c r="W11" s="30" t="n"/>
      <c r="X11" s="30" t="n"/>
      <c r="Y11" s="30" t="n"/>
      <c r="Z11" s="24" t="inlineStr">
        <is>
          <t>Rested, not frozen. You should still frown, squint and smile. If people ask what you had done instead of whether you slept well, the dose was wrong. Serving Oakville, Burlington, Milton and Mississauga.</t>
        </is>
      </c>
      <c r="AA11" s="24" t="inlineStr">
        <is>
          <t>Learn more &gt; Instagram</t>
        </is>
      </c>
      <c r="AB11" s="33" t="inlineStr">
        <is>
          <t>View GBP image</t>
        </is>
      </c>
    </row>
    <row r="12" ht="57.45" customHeight="1" s="14">
      <c r="A12" s="27" t="n">
        <v>46265</v>
      </c>
      <c r="B12" s="28" t="inlineStr">
        <is>
          <t>Mon</t>
        </is>
      </c>
      <c r="C12" s="28" t="n">
        <v>3</v>
      </c>
      <c r="D12" s="28" t="inlineStr">
        <is>
          <t>Botox, Honestly (Launch)</t>
        </is>
      </c>
      <c r="E12" s="28" t="inlineStr">
        <is>
          <t>Carousel</t>
        </is>
      </c>
      <c r="F12" s="24" t="inlineStr">
        <is>
          <t>Photo</t>
        </is>
      </c>
      <c r="G12" s="28" t="inlineStr">
        <is>
          <t>Instagram feed + GBP</t>
        </is>
      </c>
      <c r="H12" s="28" t="inlineStr">
        <is>
          <t>Education</t>
        </is>
      </c>
      <c r="I12" s="28" t="inlineStr">
        <is>
          <t>Preventative Botox: When to Actually Start | Your friend who never seems to age? This is why.</t>
        </is>
      </c>
      <c r="J12" s="28" t="inlineStr">
        <is>
          <t>Your friend who never seems to age did not get lucky.
She started before there was anything to fix. That is the whole trick, and it
has very little to do with turning thirty.
Here is the test you can do right now. Make your strongest expression, then let
your face go completely still. If a line is still sitting there, that one is
setting in, and that is the conversation worth having.
Swipe for when to actually start. If you do not need it yet, I will tell you
that too.
#botoxoakville #oakvillemedspa #burlingtonbotox #miltonmedspa #mississaugainjector #haltonregion #preventativebotox #botoxcanada #nursepractitionerinjector #naturalresults #luxurybeautybycleor #npcleo</t>
        </is>
      </c>
      <c r="K12" s="28" t="inlineStr">
        <is>
          <t>DM the word START</t>
        </is>
      </c>
      <c r="L12" s="28" t="inlineStr">
        <is>
          <t>Set A</t>
        </is>
      </c>
      <c r="M12" s="28" t="inlineStr">
        <is>
          <t>Carousel, 7 slides. Photo cover using smile-portrait.png</t>
        </is>
      </c>
      <c r="N12" s="24" t="n"/>
      <c r="O12" s="24" t="n"/>
      <c r="P12" s="32" t="inlineStr">
        <is>
          <t>Open folder</t>
        </is>
      </c>
      <c r="Q12" s="33" t="inlineStr">
        <is>
          <t>View 7 slides</t>
        </is>
      </c>
      <c r="R12" s="24">
        <f>IMAGE("https://raw.githubusercontent.com/RepoKing23/InstagramCarousel/claude/convert-images-jpg-5jeayb/content/2026-08-31-preventative-botox-when-to-actually/images/slide-1.png")</f>
        <v/>
      </c>
      <c r="S12" s="28" t="inlineStr">
        <is>
          <t>Ready</t>
        </is>
      </c>
      <c r="T12" s="28" t="n"/>
      <c r="U12" s="28" t="n"/>
      <c r="V12" s="28" t="n"/>
      <c r="W12" s="28" t="n"/>
      <c r="X12" s="28" t="n"/>
      <c r="Y12" s="28" t="n"/>
      <c r="Z12" s="24" t="inlineStr">
        <is>
          <t>When should you actually start preventative treatment? It is not about your age. Make your strongest expression, then relax completely. A line that stays is one that is setting in. Serving Oakville, Burlington, Milton and Mississauga.</t>
        </is>
      </c>
      <c r="AA12" s="24" t="inlineStr">
        <is>
          <t>Learn more &gt; Instagram</t>
        </is>
      </c>
      <c r="AB12" s="33" t="inlineStr">
        <is>
          <t>View GBP image</t>
        </is>
      </c>
    </row>
    <row r="13" ht="57.45" customHeight="1" s="14">
      <c r="A13" s="29" t="n">
        <v>46266</v>
      </c>
      <c r="B13" s="30" t="inlineStr">
        <is>
          <t>Tue</t>
        </is>
      </c>
      <c r="C13" s="30" t="n">
        <v>3</v>
      </c>
      <c r="D13" s="30" t="inlineStr">
        <is>
          <t>Botox Education Month</t>
        </is>
      </c>
      <c r="E13" s="30" t="inlineStr">
        <is>
          <t>Single Image</t>
        </is>
      </c>
      <c r="F13" s="24" t="inlineStr">
        <is>
          <t>Light</t>
        </is>
      </c>
      <c r="G13" s="30" t="inlineStr">
        <is>
          <t>IG + FB + TikTok photo + GBP</t>
        </is>
      </c>
      <c r="H13" s="30" t="inlineStr">
        <is>
          <t>Education</t>
        </is>
      </c>
      <c r="I13" s="30" t="inlineStr">
        <is>
          <t>Service Spotlight: Preventative Botox | Start before the lines do.</t>
        </is>
      </c>
      <c r="J13" s="30" t="inlineStr">
        <is>
          <t>The friend who never seems to age did not find a miracle cream. She started early and kept it subtle.
#botox #botoxeducation #botoxmyths #preventativebotox #antiwrinkleinjections #nurseinjector #medspa #naturalbotox #botoxbeforeandafter #aestheticnurse</t>
        </is>
      </c>
      <c r="K13" s="30" t="inlineStr">
        <is>
          <t>DM PREVENT to talk</t>
        </is>
      </c>
      <c r="L13" s="30" t="inlineStr">
        <is>
          <t>Set A</t>
        </is>
      </c>
      <c r="M13" s="30" t="inlineStr">
        <is>
          <t>Single image: young client or product photo + hook</t>
        </is>
      </c>
      <c r="N13" s="24" t="n"/>
      <c r="O13" s="24" t="n"/>
      <c r="P13" s="34" t="inlineStr">
        <is>
          <t>Open folder</t>
        </is>
      </c>
      <c r="Q13" s="24" t="inlineStr">
        <is>
          <t>Not designed yet</t>
        </is>
      </c>
      <c r="R13" s="24" t="n"/>
      <c r="S13" s="30" t="inlineStr">
        <is>
          <t>Idea</t>
        </is>
      </c>
      <c r="T13" s="30" t="n"/>
      <c r="U13" s="30" t="n"/>
      <c r="V13" s="30" t="n"/>
      <c r="W13" s="30" t="n"/>
      <c r="X13" s="30" t="n"/>
      <c r="Y13" s="30" t="n"/>
      <c r="Z13" s="24" t="n"/>
      <c r="AA13" s="24" t="n"/>
      <c r="AB13" s="24" t="inlineStr">
        <is>
          <t>Not designed yet</t>
        </is>
      </c>
    </row>
    <row r="14" ht="57.45" customHeight="1" s="14">
      <c r="A14" s="27" t="n">
        <v>46268</v>
      </c>
      <c r="B14" s="28" t="inlineStr">
        <is>
          <t>Thu</t>
        </is>
      </c>
      <c r="C14" s="28" t="n">
        <v>3</v>
      </c>
      <c r="D14" s="28" t="inlineStr">
        <is>
          <t>Botox Education Month</t>
        </is>
      </c>
      <c r="E14" s="28" t="inlineStr">
        <is>
          <t>Carousel</t>
        </is>
      </c>
      <c r="F14" s="24" t="inlineStr">
        <is>
          <t>Light</t>
        </is>
      </c>
      <c r="G14" s="28" t="inlineStr">
        <is>
          <t>Instagram feed + GBP</t>
        </is>
      </c>
      <c r="H14" s="28" t="inlineStr">
        <is>
          <t>Education</t>
        </is>
      </c>
      <c r="I14" s="28" t="inlineStr">
        <is>
          <t>What 20 Units Actually Looks Like | Unit math, finally explained.</t>
        </is>
      </c>
      <c r="J14" s="28" t="inlineStr">
        <is>
          <t>You have seen the price per unit. But what does 20 units actually do? Here is the honest breakdown of dosing, areas, and why cheaper per unit is not cheaper overall.
#botox #botoxeducation #botoxmyths #preventativebotox #antiwrinkleinjections #nurseinjector #medspa #naturalbotox #botoxbeforeandafter #aestheticnurse</t>
        </is>
      </c>
      <c r="K14" s="28" t="inlineStr">
        <is>
          <t>Save this for your consult</t>
        </is>
      </c>
      <c r="L14" s="28" t="inlineStr">
        <is>
          <t>Set A</t>
        </is>
      </c>
      <c r="M14" s="28" t="inlineStr">
        <is>
          <t>Design in editorial template + dosing diagram</t>
        </is>
      </c>
      <c r="N14" s="24" t="n"/>
      <c r="O14" s="24" t="n"/>
      <c r="P14" s="32" t="inlineStr">
        <is>
          <t>Open folder</t>
        </is>
      </c>
      <c r="Q14" s="24" t="inlineStr">
        <is>
          <t>Not designed yet</t>
        </is>
      </c>
      <c r="R14" s="24" t="n"/>
      <c r="S14" s="28" t="inlineStr">
        <is>
          <t>Idea</t>
        </is>
      </c>
      <c r="T14" s="28" t="n"/>
      <c r="U14" s="28" t="n"/>
      <c r="V14" s="28" t="n"/>
      <c r="W14" s="28" t="n"/>
      <c r="X14" s="28" t="n"/>
      <c r="Y14" s="28" t="n"/>
      <c r="Z14" s="24" t="n"/>
      <c r="AA14" s="24" t="n"/>
      <c r="AB14" s="24" t="inlineStr">
        <is>
          <t>Not designed yet</t>
        </is>
      </c>
    </row>
    <row r="15" ht="57.45" customHeight="1" s="14">
      <c r="A15" s="29" t="n">
        <v>46269</v>
      </c>
      <c r="B15" s="30" t="inlineStr">
        <is>
          <t>Fri</t>
        </is>
      </c>
      <c r="C15" s="30" t="n">
        <v>3</v>
      </c>
      <c r="D15" s="30" t="inlineStr">
        <is>
          <t>Botox Education Month</t>
        </is>
      </c>
      <c r="E15" s="30" t="inlineStr">
        <is>
          <t>Single Image</t>
        </is>
      </c>
      <c r="F15" s="24" t="inlineStr">
        <is>
          <t>Light</t>
        </is>
      </c>
      <c r="G15" s="30" t="inlineStr">
        <is>
          <t>IG + FB + TikTok photo + GBP</t>
        </is>
      </c>
      <c r="H15" s="30" t="inlineStr">
        <is>
          <t>Personality &amp; BTS</t>
        </is>
      </c>
      <c r="I15" s="30" t="inlineStr">
        <is>
          <t>Meet Your Injector | Board certified. Botox obsessed. Brutally honest.</t>
        </is>
      </c>
      <c r="J15" s="30" t="inlineStr">
        <is>
          <t>Your face deserves a nurse practitioner who tells the truth about what you need and what you do not. Hi, I am Cleo. 💛
#npinjector #nursepractitioner #medspalife #luxurybeauty #aestheticnurse #skincareexpert #beautyclinic #selfcare #naturalresults #honestbeauty</t>
        </is>
      </c>
      <c r="K15" s="30" t="inlineStr">
        <is>
          <t>Say hi in the comments</t>
        </is>
      </c>
      <c r="L15" s="30" t="inlineStr">
        <is>
          <t>Set C</t>
        </is>
      </c>
      <c r="M15" s="30" t="inlineStr">
        <is>
          <t>Single image: Cleo portrait + credentials hook</t>
        </is>
      </c>
      <c r="N15" s="24" t="n"/>
      <c r="O15" s="24" t="n"/>
      <c r="P15" s="34" t="inlineStr">
        <is>
          <t>Open folder</t>
        </is>
      </c>
      <c r="Q15" s="24" t="inlineStr">
        <is>
          <t>Not designed yet</t>
        </is>
      </c>
      <c r="R15" s="24" t="n"/>
      <c r="S15" s="30" t="inlineStr">
        <is>
          <t>Idea</t>
        </is>
      </c>
      <c r="T15" s="30" t="n"/>
      <c r="U15" s="30" t="n"/>
      <c r="V15" s="30" t="n"/>
      <c r="W15" s="30" t="n"/>
      <c r="X15" s="30" t="n"/>
      <c r="Y15" s="30" t="n"/>
      <c r="Z15" s="24" t="n"/>
      <c r="AA15" s="24" t="n"/>
      <c r="AB15" s="24" t="inlineStr">
        <is>
          <t>Not designed yet</t>
        </is>
      </c>
    </row>
    <row r="16" ht="46.25" customHeight="1" s="14">
      <c r="A16" s="29" t="n">
        <v>46270</v>
      </c>
      <c r="B16" s="30" t="inlineStr">
        <is>
          <t>Sat</t>
        </is>
      </c>
      <c r="C16" s="30" t="n">
        <v>3</v>
      </c>
      <c r="D16" s="30" t="inlineStr">
        <is>
          <t>Botox Education Month</t>
        </is>
      </c>
      <c r="E16" s="30" t="inlineStr">
        <is>
          <t>Single Image</t>
        </is>
      </c>
      <c r="F16" s="24" t="inlineStr">
        <is>
          <t>Light</t>
        </is>
      </c>
      <c r="G16" s="30" t="inlineStr">
        <is>
          <t>IG + FB + TikTok photo + GBP</t>
        </is>
      </c>
      <c r="H16" s="30" t="inlineStr">
        <is>
          <t>Education</t>
        </is>
      </c>
      <c r="I16" s="30" t="inlineStr">
        <is>
          <t>Quote: Prevention Beats Erasing | Brand quote card.</t>
        </is>
      </c>
      <c r="J16" s="30" t="inlineStr">
        <is>
          <t>Lines are easier to prevent than to erase. Save this reminder.
#npinjector #nursepractitioner #medspalife #luxurybeauty #aestheticnurse #skincareexpert #beautyclinic #selfcare #naturalresults #honestbeauty</t>
        </is>
      </c>
      <c r="K16" s="30" t="inlineStr">
        <is>
          <t>Save this</t>
        </is>
      </c>
      <c r="L16" s="30" t="inlineStr">
        <is>
          <t>Set C</t>
        </is>
      </c>
      <c r="M16" s="30" t="inlineStr">
        <is>
          <t>Quote card in brand style</t>
        </is>
      </c>
      <c r="N16" s="24" t="n"/>
      <c r="O16" s="24" t="n"/>
      <c r="P16" s="34" t="inlineStr">
        <is>
          <t>Open folder</t>
        </is>
      </c>
      <c r="Q16" s="24" t="inlineStr">
        <is>
          <t>Not designed yet</t>
        </is>
      </c>
      <c r="R16" s="24" t="n"/>
      <c r="S16" s="30" t="inlineStr">
        <is>
          <t>Idea</t>
        </is>
      </c>
      <c r="T16" s="30" t="n"/>
      <c r="U16" s="30" t="n"/>
      <c r="V16" s="30" t="n"/>
      <c r="W16" s="30" t="n"/>
      <c r="X16" s="30" t="n"/>
      <c r="Y16" s="30" t="n"/>
      <c r="Z16" s="24" t="n"/>
      <c r="AA16" s="24" t="n"/>
      <c r="AB16" s="24" t="inlineStr">
        <is>
          <t>Not designed yet</t>
        </is>
      </c>
    </row>
    <row r="17" ht="57.45" customHeight="1" s="14">
      <c r="A17" s="27" t="n">
        <v>46272</v>
      </c>
      <c r="B17" s="28" t="inlineStr">
        <is>
          <t>Mon</t>
        </is>
      </c>
      <c r="C17" s="28" t="n">
        <v>4</v>
      </c>
      <c r="D17" s="28" t="inlineStr">
        <is>
          <t>Botox Education Month</t>
        </is>
      </c>
      <c r="E17" s="28" t="inlineStr">
        <is>
          <t>Carousel</t>
        </is>
      </c>
      <c r="F17" s="24" t="inlineStr">
        <is>
          <t>Light</t>
        </is>
      </c>
      <c r="G17" s="28" t="inlineStr">
        <is>
          <t>Instagram feed + GBP</t>
        </is>
      </c>
      <c r="H17" s="28" t="inlineStr">
        <is>
          <t>Education</t>
        </is>
      </c>
      <c r="I17" s="28" t="inlineStr">
        <is>
          <t>Botox vs Dysport: The Real Difference | Same family. Different personalities.</t>
        </is>
      </c>
      <c r="J17" s="28" t="inlineStr">
        <is>
          <t>The most Googled question in aesthetics, answered honestly. Slide 5 explains why you should never compare prices unit to unit. Save this for later.
#botox #botoxeducation #botoxmyths #preventativebotox #antiwrinkleinjections #nurseinjector #medspa #naturalbotox #botoxbeforeandafter #aestheticnurse</t>
        </is>
      </c>
      <c r="K17" s="28" t="inlineStr">
        <is>
          <t>Book a consult. Link in bio</t>
        </is>
      </c>
      <c r="L17" s="28" t="inlineStr">
        <is>
          <t>Set A</t>
        </is>
      </c>
      <c r="M17" s="28" t="inlineStr">
        <is>
          <t>Design in editorial template</t>
        </is>
      </c>
      <c r="N17" s="24" t="n"/>
      <c r="O17" s="24" t="n"/>
      <c r="P17" s="32" t="inlineStr">
        <is>
          <t>Open folder</t>
        </is>
      </c>
      <c r="Q17" s="24" t="inlineStr">
        <is>
          <t>Not designed yet</t>
        </is>
      </c>
      <c r="R17" s="24" t="n"/>
      <c r="S17" s="28" t="inlineStr">
        <is>
          <t>Idea</t>
        </is>
      </c>
      <c r="T17" s="28" t="n"/>
      <c r="U17" s="28" t="n"/>
      <c r="V17" s="28" t="n"/>
      <c r="W17" s="28" t="n"/>
      <c r="X17" s="28" t="n"/>
      <c r="Y17" s="28" t="n"/>
      <c r="Z17" s="24" t="n"/>
      <c r="AA17" s="24" t="n"/>
      <c r="AB17" s="24" t="inlineStr">
        <is>
          <t>Not designed yet</t>
        </is>
      </c>
    </row>
    <row r="18" ht="57.45" customHeight="1" s="14">
      <c r="A18" s="29" t="n">
        <v>46273</v>
      </c>
      <c r="B18" s="30" t="inlineStr">
        <is>
          <t>Tue</t>
        </is>
      </c>
      <c r="C18" s="30" t="n">
        <v>4</v>
      </c>
      <c r="D18" s="30" t="inlineStr">
        <is>
          <t>Botox Education Month</t>
        </is>
      </c>
      <c r="E18" s="30" t="inlineStr">
        <is>
          <t>Single Image</t>
        </is>
      </c>
      <c r="F18" s="24" t="inlineStr">
        <is>
          <t>Light</t>
        </is>
      </c>
      <c r="G18" s="30" t="inlineStr">
        <is>
          <t>IG + FB + TikTok photo + GBP</t>
        </is>
      </c>
      <c r="H18" s="30" t="inlineStr">
        <is>
          <t>Education</t>
        </is>
      </c>
      <c r="I18" s="30" t="inlineStr">
        <is>
          <t>Botox vs Dysport at a Glance | Same family. Different personalities.</t>
        </is>
      </c>
      <c r="J18" s="30" t="inlineStr">
        <is>
          <t>Dysport kicks in faster and spreads wider. Botox is precise. The right one depends on your face, not the price list.
#botox #botoxeducation #botoxmyths #preventativebotox #antiwrinkleinjections #nurseinjector #medspa #naturalbotox #botoxbeforeandafter #aestheticnurse</t>
        </is>
      </c>
      <c r="K18" s="30" t="inlineStr">
        <is>
          <t>Full breakdown on our feed</t>
        </is>
      </c>
      <c r="L18" s="30" t="inlineStr">
        <is>
          <t>Set A</t>
        </is>
      </c>
      <c r="M18" s="30" t="inlineStr">
        <is>
          <t>Single image: side-by-side comparison card</t>
        </is>
      </c>
      <c r="N18" s="24" t="n"/>
      <c r="O18" s="24" t="n"/>
      <c r="P18" s="34" t="inlineStr">
        <is>
          <t>Open folder</t>
        </is>
      </c>
      <c r="Q18" s="24" t="inlineStr">
        <is>
          <t>Not designed yet</t>
        </is>
      </c>
      <c r="R18" s="24" t="n"/>
      <c r="S18" s="30" t="inlineStr">
        <is>
          <t>Idea</t>
        </is>
      </c>
      <c r="T18" s="30" t="n"/>
      <c r="U18" s="30" t="n"/>
      <c r="V18" s="30" t="n"/>
      <c r="W18" s="30" t="n"/>
      <c r="X18" s="30" t="n"/>
      <c r="Y18" s="30" t="n"/>
      <c r="Z18" s="24" t="n"/>
      <c r="AA18" s="24" t="n"/>
      <c r="AB18" s="24" t="inlineStr">
        <is>
          <t>Not designed yet</t>
        </is>
      </c>
    </row>
    <row r="19" ht="57.45" customHeight="1" s="14">
      <c r="A19" s="27" t="n">
        <v>46275</v>
      </c>
      <c r="B19" s="28" t="inlineStr">
        <is>
          <t>Thu</t>
        </is>
      </c>
      <c r="C19" s="28" t="n">
        <v>4</v>
      </c>
      <c r="D19" s="28" t="inlineStr">
        <is>
          <t>Botox Education Month</t>
        </is>
      </c>
      <c r="E19" s="28" t="inlineStr">
        <is>
          <t>Carousel</t>
        </is>
      </c>
      <c r="F19" s="24" t="inlineStr">
        <is>
          <t>Light</t>
        </is>
      </c>
      <c r="G19" s="28" t="inlineStr">
        <is>
          <t>Instagram feed + GBP</t>
        </is>
      </c>
      <c r="H19" s="28" t="inlineStr">
        <is>
          <t>Education</t>
        </is>
      </c>
      <c r="I19" s="28" t="inlineStr">
        <is>
          <t>Botox Aftercare: The First 48 Hours | You got Botox. Now what?</t>
        </is>
      </c>
      <c r="J19" s="28" t="inlineStr">
        <is>
          <t>The first 48 hours matter more than most people think. Here is exactly what to do, what to skip, and when to call me. Bookmark this one.
#botox #botoxeducation #botoxmyths #preventativebotox #antiwrinkleinjections #nurseinjector #medspa #naturalbotox #botoxbeforeandafter #aestheticnurse</t>
        </is>
      </c>
      <c r="K19" s="28" t="inlineStr">
        <is>
          <t>Save this guide</t>
        </is>
      </c>
      <c r="L19" s="28" t="inlineStr">
        <is>
          <t>Set A</t>
        </is>
      </c>
      <c r="M19" s="28" t="inlineStr">
        <is>
          <t>Design in editorial template</t>
        </is>
      </c>
      <c r="N19" s="24" t="n"/>
      <c r="O19" s="24" t="n"/>
      <c r="P19" s="32" t="inlineStr">
        <is>
          <t>Open folder</t>
        </is>
      </c>
      <c r="Q19" s="24" t="inlineStr">
        <is>
          <t>Not designed yet</t>
        </is>
      </c>
      <c r="R19" s="24" t="n"/>
      <c r="S19" s="28" t="inlineStr">
        <is>
          <t>Idea</t>
        </is>
      </c>
      <c r="T19" s="28" t="n"/>
      <c r="U19" s="28" t="n"/>
      <c r="V19" s="28" t="n"/>
      <c r="W19" s="28" t="n"/>
      <c r="X19" s="28" t="n"/>
      <c r="Y19" s="28" t="n"/>
      <c r="Z19" s="24" t="n"/>
      <c r="AA19" s="24" t="n"/>
      <c r="AB19" s="24" t="inlineStr">
        <is>
          <t>Not designed yet</t>
        </is>
      </c>
    </row>
    <row r="20" ht="57.45" customHeight="1" s="14">
      <c r="A20" s="29" t="n">
        <v>46276</v>
      </c>
      <c r="B20" s="30" t="inlineStr">
        <is>
          <t>Fri</t>
        </is>
      </c>
      <c r="C20" s="30" t="n">
        <v>4</v>
      </c>
      <c r="D20" s="30" t="inlineStr">
        <is>
          <t>Botox Education Month</t>
        </is>
      </c>
      <c r="E20" s="30" t="inlineStr">
        <is>
          <t>Single Image</t>
        </is>
      </c>
      <c r="F20" s="24" t="inlineStr">
        <is>
          <t>Light</t>
        </is>
      </c>
      <c r="G20" s="30" t="inlineStr">
        <is>
          <t>IG + FB + TikTok photo + GBP</t>
        </is>
      </c>
      <c r="H20" s="30" t="inlineStr">
        <is>
          <t>Trust &amp; Proof</t>
        </is>
      </c>
      <c r="I20" s="30" t="inlineStr">
        <is>
          <t>The Face Map | Every face gets a plan.</t>
        </is>
      </c>
      <c r="J20" s="30" t="inlineStr">
        <is>
          <t>Nothing touches your skin before I map your anatomy, your movement, and your goals. Planning is the treatment.
#npinjector #nursepractitioner #medspalife #luxurybeauty #aestheticnurse #skincareexpert #beautyclinic #selfcare #naturalresults #honestbeauty</t>
        </is>
      </c>
      <c r="K20" s="30" t="inlineStr">
        <is>
          <t>Book your mapping. Link in bio</t>
        </is>
      </c>
      <c r="L20" s="30" t="inlineStr">
        <is>
          <t>Set C</t>
        </is>
      </c>
      <c r="M20" s="30" t="inlineStr">
        <is>
          <t>Single image: assessment photo + hook</t>
        </is>
      </c>
      <c r="N20" s="24" t="n"/>
      <c r="O20" s="24" t="n"/>
      <c r="P20" s="34" t="inlineStr">
        <is>
          <t>Open folder</t>
        </is>
      </c>
      <c r="Q20" s="24" t="inlineStr">
        <is>
          <t>Not designed yet</t>
        </is>
      </c>
      <c r="R20" s="24" t="n"/>
      <c r="S20" s="30" t="inlineStr">
        <is>
          <t>Idea</t>
        </is>
      </c>
      <c r="T20" s="30" t="n"/>
      <c r="U20" s="30" t="n"/>
      <c r="V20" s="30" t="n"/>
      <c r="W20" s="30" t="n"/>
      <c r="X20" s="30" t="n"/>
      <c r="Y20" s="30" t="n"/>
      <c r="Z20" s="24" t="n"/>
      <c r="AA20" s="24" t="n"/>
      <c r="AB20" s="24" t="inlineStr">
        <is>
          <t>Not designed yet</t>
        </is>
      </c>
    </row>
    <row r="21" ht="57.45" customHeight="1" s="14">
      <c r="A21" s="29" t="n">
        <v>46277</v>
      </c>
      <c r="B21" s="30" t="inlineStr">
        <is>
          <t>Sat</t>
        </is>
      </c>
      <c r="C21" s="30" t="n">
        <v>4</v>
      </c>
      <c r="D21" s="30" t="inlineStr">
        <is>
          <t>Botox Education Month</t>
        </is>
      </c>
      <c r="E21" s="30" t="inlineStr">
        <is>
          <t>Single Image</t>
        </is>
      </c>
      <c r="F21" s="24" t="inlineStr">
        <is>
          <t>Light</t>
        </is>
      </c>
      <c r="G21" s="30" t="inlineStr">
        <is>
          <t>IG + FB + TikTok photo + GBP</t>
        </is>
      </c>
      <c r="H21" s="30" t="inlineStr">
        <is>
          <t>Education</t>
        </is>
      </c>
      <c r="I21" s="30" t="inlineStr">
        <is>
          <t>FAQ: Does Botox Hurt? | Honest answer, no fluff.</t>
        </is>
      </c>
      <c r="J21" s="30" t="inlineStr">
        <is>
          <t>Honestly? Less than plucking a brow. Tiny needle, a few seconds per area, and numbing if you want it. Most people say wait, that was it?
#npinjector #nursepractitioner #medspalife #luxurybeauty #aestheticnurse #skincareexpert #beautyclinic #selfcare #naturalresults #honestbeauty</t>
        </is>
      </c>
      <c r="K21" s="30" t="inlineStr">
        <is>
          <t>More questions? DM me</t>
        </is>
      </c>
      <c r="L21" s="30" t="inlineStr">
        <is>
          <t>Set C</t>
        </is>
      </c>
      <c r="M21" s="30" t="inlineStr">
        <is>
          <t>FAQ card in brand style</t>
        </is>
      </c>
      <c r="N21" s="24" t="n"/>
      <c r="O21" s="24" t="n"/>
      <c r="P21" s="34" t="inlineStr">
        <is>
          <t>Open folder</t>
        </is>
      </c>
      <c r="Q21" s="24" t="inlineStr">
        <is>
          <t>Not designed yet</t>
        </is>
      </c>
      <c r="R21" s="24" t="n"/>
      <c r="S21" s="30" t="inlineStr">
        <is>
          <t>Idea</t>
        </is>
      </c>
      <c r="T21" s="30" t="n"/>
      <c r="U21" s="30" t="n"/>
      <c r="V21" s="30" t="n"/>
      <c r="W21" s="30" t="n"/>
      <c r="X21" s="30" t="n"/>
      <c r="Y21" s="30" t="n"/>
      <c r="Z21" s="24" t="n"/>
      <c r="AA21" s="24" t="n"/>
      <c r="AB21" s="24" t="inlineStr">
        <is>
          <t>Not designed yet</t>
        </is>
      </c>
    </row>
    <row r="22" ht="57.45" customHeight="1" s="14">
      <c r="A22" s="27" t="n">
        <v>46279</v>
      </c>
      <c r="B22" s="28" t="inlineStr">
        <is>
          <t>Mon</t>
        </is>
      </c>
      <c r="C22" s="28" t="n">
        <v>5</v>
      </c>
      <c r="D22" s="28" t="inlineStr">
        <is>
          <t>Botox Education Month</t>
        </is>
      </c>
      <c r="E22" s="28" t="inlineStr">
        <is>
          <t>Carousel</t>
        </is>
      </c>
      <c r="F22" s="24" t="inlineStr">
        <is>
          <t>Light</t>
        </is>
      </c>
      <c r="G22" s="28" t="inlineStr">
        <is>
          <t>Instagram feed + GBP</t>
        </is>
      </c>
      <c r="H22" s="28" t="inlineStr">
        <is>
          <t>Trust &amp; Proof</t>
        </is>
      </c>
      <c r="I22" s="28" t="inlineStr">
        <is>
          <t>5 Things Botox Can't Do | Honest expectations, always.</t>
        </is>
      </c>
      <c r="J22" s="28" t="inlineStr">
        <is>
          <t>Botox is amazing at what it does. But it cannot do everything, and anyone who says otherwise is selling you something. Here is what it fixes and what needs a different plan.
#botox #botoxeducation #botoxmyths #preventativebotox #antiwrinkleinjections #nurseinjector #medspa #naturalbotox #botoxbeforeandafter #aestheticnurse</t>
        </is>
      </c>
      <c r="K22" s="28" t="inlineStr">
        <is>
          <t>Comment your questions</t>
        </is>
      </c>
      <c r="L22" s="28" t="inlineStr">
        <is>
          <t>Set A</t>
        </is>
      </c>
      <c r="M22" s="28" t="inlineStr">
        <is>
          <t>Design in editorial template</t>
        </is>
      </c>
      <c r="N22" s="24" t="n"/>
      <c r="O22" s="24" t="n"/>
      <c r="P22" s="32" t="inlineStr">
        <is>
          <t>Open folder</t>
        </is>
      </c>
      <c r="Q22" s="24" t="inlineStr">
        <is>
          <t>Not designed yet</t>
        </is>
      </c>
      <c r="R22" s="24" t="n"/>
      <c r="S22" s="28" t="inlineStr">
        <is>
          <t>Idea</t>
        </is>
      </c>
      <c r="T22" s="28" t="n"/>
      <c r="U22" s="28" t="n"/>
      <c r="V22" s="28" t="n"/>
      <c r="W22" s="28" t="n"/>
      <c r="X22" s="28" t="n"/>
      <c r="Y22" s="28" t="n"/>
      <c r="Z22" s="24" t="n"/>
      <c r="AA22" s="24" t="n"/>
      <c r="AB22" s="24" t="inlineStr">
        <is>
          <t>Not designed yet</t>
        </is>
      </c>
    </row>
    <row r="23" ht="57.45" customHeight="1" s="14">
      <c r="A23" s="29" t="n">
        <v>46280</v>
      </c>
      <c r="B23" s="30" t="inlineStr">
        <is>
          <t>Tue</t>
        </is>
      </c>
      <c r="C23" s="30" t="n">
        <v>5</v>
      </c>
      <c r="D23" s="30" t="inlineStr">
        <is>
          <t>Botox Education Month</t>
        </is>
      </c>
      <c r="E23" s="30" t="inlineStr">
        <is>
          <t>Single Image</t>
        </is>
      </c>
      <c r="F23" s="24" t="inlineStr">
        <is>
          <t>Light</t>
        </is>
      </c>
      <c r="G23" s="30" t="inlineStr">
        <is>
          <t>IG + FB + TikTok photo + GBP</t>
        </is>
      </c>
      <c r="H23" s="30" t="inlineStr">
        <is>
          <t>Education</t>
        </is>
      </c>
      <c r="I23" s="30" t="inlineStr">
        <is>
          <t>What Botox Can't Fix | Honest expectations, always.</t>
        </is>
      </c>
      <c r="J23" s="30" t="inlineStr">
        <is>
          <t>Sagging skin, volume loss, texture. Botox is not the tool for everything, and I would rather tell you that now than take your money and disappoint you.
#botox #botoxeducation #botoxmyths #preventativebotox #antiwrinkleinjections #nurseinjector #medspa #naturalbotox #botoxbeforeandafter #aestheticnurse</t>
        </is>
      </c>
      <c r="K23" s="30" t="inlineStr">
        <is>
          <t>Save this</t>
        </is>
      </c>
      <c r="L23" s="30" t="inlineStr">
        <is>
          <t>Set A</t>
        </is>
      </c>
      <c r="M23" s="30" t="inlineStr">
        <is>
          <t>Single image: myth-vs-reality card</t>
        </is>
      </c>
      <c r="N23" s="24" t="n"/>
      <c r="O23" s="24" t="n"/>
      <c r="P23" s="34" t="inlineStr">
        <is>
          <t>Open folder</t>
        </is>
      </c>
      <c r="Q23" s="24" t="inlineStr">
        <is>
          <t>Not designed yet</t>
        </is>
      </c>
      <c r="R23" s="24" t="n"/>
      <c r="S23" s="30" t="inlineStr">
        <is>
          <t>Idea</t>
        </is>
      </c>
      <c r="T23" s="30" t="n"/>
      <c r="U23" s="30" t="n"/>
      <c r="V23" s="30" t="n"/>
      <c r="W23" s="30" t="n"/>
      <c r="X23" s="30" t="n"/>
      <c r="Y23" s="30" t="n"/>
      <c r="Z23" s="24" t="n"/>
      <c r="AA23" s="24" t="n"/>
      <c r="AB23" s="24" t="inlineStr">
        <is>
          <t>Not designed yet</t>
        </is>
      </c>
    </row>
    <row r="24" ht="57.45" customHeight="1" s="14">
      <c r="A24" s="27" t="n">
        <v>46282</v>
      </c>
      <c r="B24" s="28" t="inlineStr">
        <is>
          <t>Thu</t>
        </is>
      </c>
      <c r="C24" s="28" t="n">
        <v>5</v>
      </c>
      <c r="D24" s="28" t="inlineStr">
        <is>
          <t>Botox Education Month</t>
        </is>
      </c>
      <c r="E24" s="28" t="inlineStr">
        <is>
          <t>Carousel</t>
        </is>
      </c>
      <c r="F24" s="24" t="inlineStr">
        <is>
          <t>Light</t>
        </is>
      </c>
      <c r="G24" s="28" t="inlineStr">
        <is>
          <t>Instagram feed + GBP</t>
        </is>
      </c>
      <c r="H24" s="28" t="inlineStr">
        <is>
          <t>Trust &amp; Proof</t>
        </is>
      </c>
      <c r="I24" s="28" t="inlineStr">
        <is>
          <t>Still You, Just Refreshed | You won't look done. You'll look rested.</t>
        </is>
      </c>
      <c r="J24" s="28" t="inlineStr">
        <is>
          <t>The 2026 standard is not transformation. It is restoration. My goal is that people ask if you have been on vacation, not what you had done. 💛
#npinjector #nursepractitioner #medspalife #luxurybeauty #aestheticnurse #skincareexpert #beautyclinic #selfcare #naturalresults #honestbeauty</t>
        </is>
      </c>
      <c r="K24" s="28" t="inlineStr">
        <is>
          <t>DM GLOW to start</t>
        </is>
      </c>
      <c r="L24" s="28" t="inlineStr">
        <is>
          <t>Set C</t>
        </is>
      </c>
      <c r="M24" s="28" t="inlineStr">
        <is>
          <t>Template exists (design/slides.html), needs photos</t>
        </is>
      </c>
      <c r="N24" s="24" t="n"/>
      <c r="O24" s="24" t="n"/>
      <c r="P24" s="32" t="inlineStr">
        <is>
          <t>Open folder</t>
        </is>
      </c>
      <c r="Q24" s="24" t="inlineStr">
        <is>
          <t>Not designed yet</t>
        </is>
      </c>
      <c r="R24" s="24" t="n"/>
      <c r="S24" s="28" t="inlineStr">
        <is>
          <t>Idea</t>
        </is>
      </c>
      <c r="T24" s="28" t="n"/>
      <c r="U24" s="28" t="n"/>
      <c r="V24" s="28" t="n"/>
      <c r="W24" s="28" t="n"/>
      <c r="X24" s="28" t="n"/>
      <c r="Y24" s="28" t="n"/>
      <c r="Z24" s="24" t="n"/>
      <c r="AA24" s="24" t="n"/>
      <c r="AB24" s="24" t="inlineStr">
        <is>
          <t>Not designed yet</t>
        </is>
      </c>
    </row>
    <row r="25" ht="57.45" customHeight="1" s="14">
      <c r="A25" s="29" t="n">
        <v>46283</v>
      </c>
      <c r="B25" s="30" t="inlineStr">
        <is>
          <t>Fri</t>
        </is>
      </c>
      <c r="C25" s="30" t="n">
        <v>5</v>
      </c>
      <c r="D25" s="30" t="inlineStr">
        <is>
          <t>Botox Education Month</t>
        </is>
      </c>
      <c r="E25" s="30" t="inlineStr">
        <is>
          <t>Single Image</t>
        </is>
      </c>
      <c r="F25" s="24" t="inlineStr">
        <is>
          <t>Light</t>
        </is>
      </c>
      <c r="G25" s="30" t="inlineStr">
        <is>
          <t>IG + FB + TikTok photo + GBP</t>
        </is>
      </c>
      <c r="H25" s="30" t="inlineStr">
        <is>
          <t>Education</t>
        </is>
      </c>
      <c r="I25" s="30" t="inlineStr">
        <is>
          <t>Myth vs Truth: The Frozen Face | The classic fear, debunked.</t>
        </is>
      </c>
      <c r="J25" s="30" t="inlineStr">
        <is>
          <t>MYTH: Botox freezes your face. TRUTH: correct dosing softens movement while you keep every expression that makes you, you.
#botox #botoxeducation #botoxmyths #preventativebotox #antiwrinkleinjections #nurseinjector #medspa #naturalbotox #botoxbeforeandafter #aestheticnurse</t>
        </is>
      </c>
      <c r="K25" s="30" t="inlineStr">
        <is>
          <t>Share with a friend</t>
        </is>
      </c>
      <c r="L25" s="30" t="inlineStr">
        <is>
          <t>Set A</t>
        </is>
      </c>
      <c r="M25" s="30" t="inlineStr">
        <is>
          <t>Single image: myth vs truth split card</t>
        </is>
      </c>
      <c r="N25" s="24" t="n"/>
      <c r="O25" s="24" t="n"/>
      <c r="P25" s="34" t="inlineStr">
        <is>
          <t>Open folder</t>
        </is>
      </c>
      <c r="Q25" s="24" t="inlineStr">
        <is>
          <t>Not designed yet</t>
        </is>
      </c>
      <c r="R25" s="24" t="n"/>
      <c r="S25" s="30" t="inlineStr">
        <is>
          <t>Idea</t>
        </is>
      </c>
      <c r="T25" s="30" t="n"/>
      <c r="U25" s="30" t="n"/>
      <c r="V25" s="30" t="n"/>
      <c r="W25" s="30" t="n"/>
      <c r="X25" s="30" t="n"/>
      <c r="Y25" s="30" t="n"/>
      <c r="Z25" s="24" t="n"/>
      <c r="AA25" s="24" t="n"/>
      <c r="AB25" s="24" t="inlineStr">
        <is>
          <t>Not designed yet</t>
        </is>
      </c>
    </row>
    <row r="26" ht="57.45" customHeight="1" s="14">
      <c r="A26" s="29" t="n">
        <v>46284</v>
      </c>
      <c r="B26" s="30" t="inlineStr">
        <is>
          <t>Sat</t>
        </is>
      </c>
      <c r="C26" s="30" t="n">
        <v>5</v>
      </c>
      <c r="D26" s="30" t="inlineStr">
        <is>
          <t>Botox Education Month</t>
        </is>
      </c>
      <c r="E26" s="30" t="inlineStr">
        <is>
          <t>Single Image</t>
        </is>
      </c>
      <c r="F26" s="24" t="inlineStr">
        <is>
          <t>Light</t>
        </is>
      </c>
      <c r="G26" s="30" t="inlineStr">
        <is>
          <t>IG + FB + TikTok photo + GBP</t>
        </is>
      </c>
      <c r="H26" s="30" t="inlineStr">
        <is>
          <t>Trust &amp; Proof</t>
        </is>
      </c>
      <c r="I26" s="30" t="inlineStr">
        <is>
          <t>Client Words: Natural Results | Testimonial card.</t>
        </is>
      </c>
      <c r="J26" s="30" t="inlineStr">
        <is>
          <t>Nobody could tell. They just kept saying I looked happy and rested. That is the whole goal. 💛 (Shared with permission.)
#npinjector #nursepractitioner #medspalife #luxurybeauty #aestheticnurse #skincareexpert #beautyclinic #selfcare #naturalresults #honestbeauty</t>
        </is>
      </c>
      <c r="K26" s="30" t="inlineStr">
        <is>
          <t>Your turn. Link in bio</t>
        </is>
      </c>
      <c r="L26" s="30" t="inlineStr">
        <is>
          <t>Set C</t>
        </is>
      </c>
      <c r="M26" s="30" t="inlineStr">
        <is>
          <t>Testimonial quote card (with consent)</t>
        </is>
      </c>
      <c r="N26" s="24" t="n"/>
      <c r="O26" s="24" t="n"/>
      <c r="P26" s="34" t="inlineStr">
        <is>
          <t>Open folder</t>
        </is>
      </c>
      <c r="Q26" s="24" t="inlineStr">
        <is>
          <t>Not designed yet</t>
        </is>
      </c>
      <c r="R26" s="24" t="n"/>
      <c r="S26" s="30" t="inlineStr">
        <is>
          <t>Idea</t>
        </is>
      </c>
      <c r="T26" s="30" t="n"/>
      <c r="U26" s="30" t="n"/>
      <c r="V26" s="30" t="n"/>
      <c r="W26" s="30" t="n"/>
      <c r="X26" s="30" t="n"/>
      <c r="Y26" s="30" t="n"/>
      <c r="Z26" s="24" t="n"/>
      <c r="AA26" s="24" t="n"/>
      <c r="AB26" s="24" t="inlineStr">
        <is>
          <t>Not designed yet</t>
        </is>
      </c>
    </row>
    <row r="27" ht="57.45" customHeight="1" s="14">
      <c r="A27" s="27" t="n">
        <v>46286</v>
      </c>
      <c r="B27" s="28" t="inlineStr">
        <is>
          <t>Mon</t>
        </is>
      </c>
      <c r="C27" s="28" t="n">
        <v>6</v>
      </c>
      <c r="D27" s="28" t="inlineStr">
        <is>
          <t>Botox Education Month</t>
        </is>
      </c>
      <c r="E27" s="28" t="inlineStr">
        <is>
          <t>Carousel</t>
        </is>
      </c>
      <c r="F27" s="24" t="inlineStr">
        <is>
          <t>Light</t>
        </is>
      </c>
      <c r="G27" s="28" t="inlineStr">
        <is>
          <t>Instagram feed + GBP</t>
        </is>
      </c>
      <c r="H27" s="28" t="inlineStr">
        <is>
          <t>Education</t>
        </is>
      </c>
      <c r="I27" s="28" t="inlineStr">
        <is>
          <t>Botox or Filler? You Might Be Asking for the Wrong One | Lines or volume? They are not the same problem.</t>
        </is>
      </c>
      <c r="J27" s="28" t="inlineStr">
        <is>
          <t>Half the DMs I get ask for the wrong treatment. Here is the simple way to know whether your concern is about movement or volume, and what that means for your plan.
#dermalfiller #lipfiller #cheekfiller #naturalfiller #facialbalancing #lipfillernatural #aestheticnurse #medspa #fillerjourney #lipgoals</t>
        </is>
      </c>
      <c r="K27" s="28" t="inlineStr">
        <is>
          <t>DM CONSULT and I will help</t>
        </is>
      </c>
      <c r="L27" s="28" t="inlineStr">
        <is>
          <t>Set B</t>
        </is>
      </c>
      <c r="M27" s="28" t="inlineStr">
        <is>
          <t>Design in editorial template</t>
        </is>
      </c>
      <c r="N27" s="24" t="n"/>
      <c r="O27" s="24" t="n"/>
      <c r="P27" s="32" t="inlineStr">
        <is>
          <t>Open folder</t>
        </is>
      </c>
      <c r="Q27" s="24" t="inlineStr">
        <is>
          <t>Not designed yet</t>
        </is>
      </c>
      <c r="R27" s="24" t="n"/>
      <c r="S27" s="28" t="inlineStr">
        <is>
          <t>Idea</t>
        </is>
      </c>
      <c r="T27" s="28" t="n"/>
      <c r="U27" s="28" t="n"/>
      <c r="V27" s="28" t="n"/>
      <c r="W27" s="28" t="n"/>
      <c r="X27" s="28" t="n"/>
      <c r="Y27" s="28" t="n"/>
      <c r="Z27" s="24" t="n"/>
      <c r="AA27" s="24" t="n"/>
      <c r="AB27" s="24" t="inlineStr">
        <is>
          <t>Not designed yet</t>
        </is>
      </c>
    </row>
    <row r="28" ht="57.45" customHeight="1" s="14">
      <c r="A28" s="29" t="n">
        <v>46287</v>
      </c>
      <c r="B28" s="30" t="inlineStr">
        <is>
          <t>Tue</t>
        </is>
      </c>
      <c r="C28" s="30" t="n">
        <v>6</v>
      </c>
      <c r="D28" s="30" t="inlineStr">
        <is>
          <t>Botox Education Month</t>
        </is>
      </c>
      <c r="E28" s="30" t="inlineStr">
        <is>
          <t>Single Image</t>
        </is>
      </c>
      <c r="F28" s="24" t="inlineStr">
        <is>
          <t>Light</t>
        </is>
      </c>
      <c r="G28" s="30" t="inlineStr">
        <is>
          <t>IG + FB + TikTok photo + GBP</t>
        </is>
      </c>
      <c r="H28" s="30" t="inlineStr">
        <is>
          <t>Education</t>
        </is>
      </c>
      <c r="I28" s="30" t="inlineStr">
        <is>
          <t>Lines vs Volume | Which one is your concern?</t>
        </is>
      </c>
      <c r="J28" s="30" t="inlineStr">
        <is>
          <t>Smile in the mirror. Movement lines need Botox. Lost volume needs filler. The answer decides your plan.
#dermalfiller #lipfiller #cheekfiller #naturalfiller #facialbalancing #lipfillernatural #aestheticnurse #medspa #fillerjourney #lipgoals</t>
        </is>
      </c>
      <c r="K28" s="30" t="inlineStr">
        <is>
          <t>DM CONSULT for help</t>
        </is>
      </c>
      <c r="L28" s="30" t="inlineStr">
        <is>
          <t>Set B</t>
        </is>
      </c>
      <c r="M28" s="30" t="inlineStr">
        <is>
          <t>Single image: two-column explainer card</t>
        </is>
      </c>
      <c r="N28" s="24" t="n"/>
      <c r="O28" s="24" t="n"/>
      <c r="P28" s="34" t="inlineStr">
        <is>
          <t>Open folder</t>
        </is>
      </c>
      <c r="Q28" s="24" t="inlineStr">
        <is>
          <t>Not designed yet</t>
        </is>
      </c>
      <c r="R28" s="24" t="n"/>
      <c r="S28" s="30" t="inlineStr">
        <is>
          <t>Idea</t>
        </is>
      </c>
      <c r="T28" s="30" t="n"/>
      <c r="U28" s="30" t="n"/>
      <c r="V28" s="30" t="n"/>
      <c r="W28" s="30" t="n"/>
      <c r="X28" s="30" t="n"/>
      <c r="Y28" s="30" t="n"/>
      <c r="Z28" s="24" t="n"/>
      <c r="AA28" s="24" t="n"/>
      <c r="AB28" s="24" t="inlineStr">
        <is>
          <t>Not designed yet</t>
        </is>
      </c>
    </row>
    <row r="29" ht="57.45" customHeight="1" s="14">
      <c r="A29" s="27" t="n">
        <v>46289</v>
      </c>
      <c r="B29" s="28" t="inlineStr">
        <is>
          <t>Thu</t>
        </is>
      </c>
      <c r="C29" s="28" t="n">
        <v>6</v>
      </c>
      <c r="D29" s="28" t="inlineStr">
        <is>
          <t>Botox Education Month</t>
        </is>
      </c>
      <c r="E29" s="28" t="inlineStr">
        <is>
          <t>Carousel</t>
        </is>
      </c>
      <c r="F29" s="24" t="inlineStr">
        <is>
          <t>Light</t>
        </is>
      </c>
      <c r="G29" s="28" t="inlineStr">
        <is>
          <t>Instagram feed + GBP</t>
        </is>
      </c>
      <c r="H29" s="28" t="inlineStr">
        <is>
          <t>Personality &amp; BTS</t>
        </is>
      </c>
      <c r="I29" s="28" t="inlineStr">
        <is>
          <t>Ask NP Cleo: Your Questions, Answered Honestly | You asked. I answered. No filter.</t>
        </is>
      </c>
      <c r="J29" s="28" t="inlineStr">
        <is>
          <t>This month you sent amazing questions. Here are the honest answers, including the one nobody else will give you about cheap Botox. Keep them coming. 👇
#npinjector #nursepractitioner #medspalife #luxurybeauty #aestheticnurse #skincareexpert #beautyclinic #selfcare #naturalresults #honestbeauty</t>
        </is>
      </c>
      <c r="K29" s="28" t="inlineStr">
        <is>
          <t>Drop your question below</t>
        </is>
      </c>
      <c r="L29" s="28" t="inlineStr">
        <is>
          <t>Set C</t>
        </is>
      </c>
      <c r="M29" s="28" t="inlineStr">
        <is>
          <t>Design Q&amp;A layout from real DM questions</t>
        </is>
      </c>
      <c r="N29" s="24" t="n"/>
      <c r="O29" s="24" t="n"/>
      <c r="P29" s="32" t="inlineStr">
        <is>
          <t>Open folder</t>
        </is>
      </c>
      <c r="Q29" s="24" t="inlineStr">
        <is>
          <t>Not designed yet</t>
        </is>
      </c>
      <c r="R29" s="24" t="n"/>
      <c r="S29" s="28" t="inlineStr">
        <is>
          <t>Idea</t>
        </is>
      </c>
      <c r="T29" s="28" t="n"/>
      <c r="U29" s="28" t="n"/>
      <c r="V29" s="28" t="n"/>
      <c r="W29" s="28" t="n"/>
      <c r="X29" s="28" t="n"/>
      <c r="Y29" s="28" t="n"/>
      <c r="Z29" s="24" t="n"/>
      <c r="AA29" s="24" t="n"/>
      <c r="AB29" s="24" t="inlineStr">
        <is>
          <t>Not designed yet</t>
        </is>
      </c>
    </row>
    <row r="30" ht="57.45" customHeight="1" s="14">
      <c r="A30" s="29" t="n">
        <v>46290</v>
      </c>
      <c r="B30" s="30" t="inlineStr">
        <is>
          <t>Fri</t>
        </is>
      </c>
      <c r="C30" s="30" t="n">
        <v>6</v>
      </c>
      <c r="D30" s="30" t="inlineStr">
        <is>
          <t>Botox Education Month</t>
        </is>
      </c>
      <c r="E30" s="30" t="inlineStr">
        <is>
          <t>Single Image</t>
        </is>
      </c>
      <c r="F30" s="24" t="inlineStr">
        <is>
          <t>Light</t>
        </is>
      </c>
      <c r="G30" s="30" t="inlineStr">
        <is>
          <t>IG + FB + TikTok photo + GBP</t>
        </is>
      </c>
      <c r="H30" s="30" t="inlineStr">
        <is>
          <t>Personality &amp; BTS</t>
        </is>
      </c>
      <c r="I30" s="30" t="inlineStr">
        <is>
          <t>Your DMs, Answered | The question everyone asks quietly.</t>
        </is>
      </c>
      <c r="J30" s="30" t="inlineStr">
        <is>
          <t>You asked: will people know I had work done? Honest answer: only if you want them to. Subtle is the standard here.
#npinjector #nursepractitioner #medspalife #luxurybeauty #aestheticnurse #skincareexpert #beautyclinic #selfcare #naturalresults #honestbeauty</t>
        </is>
      </c>
      <c r="K30" s="30" t="inlineStr">
        <is>
          <t>Send your question</t>
        </is>
      </c>
      <c r="L30" s="30" t="inlineStr">
        <is>
          <t>Set C</t>
        </is>
      </c>
      <c r="M30" s="30" t="inlineStr">
        <is>
          <t>Single image: Q&amp;A card in brand style</t>
        </is>
      </c>
      <c r="N30" s="24" t="n"/>
      <c r="O30" s="24" t="n"/>
      <c r="P30" s="34" t="inlineStr">
        <is>
          <t>Open folder</t>
        </is>
      </c>
      <c r="Q30" s="24" t="inlineStr">
        <is>
          <t>Not designed yet</t>
        </is>
      </c>
      <c r="R30" s="24" t="n"/>
      <c r="S30" s="30" t="inlineStr">
        <is>
          <t>Idea</t>
        </is>
      </c>
      <c r="T30" s="30" t="n"/>
      <c r="U30" s="30" t="n"/>
      <c r="V30" s="30" t="n"/>
      <c r="W30" s="30" t="n"/>
      <c r="X30" s="30" t="n"/>
      <c r="Y30" s="30" t="n"/>
      <c r="Z30" s="24" t="n"/>
      <c r="AA30" s="24" t="n"/>
      <c r="AB30" s="24" t="inlineStr">
        <is>
          <t>Not designed yet</t>
        </is>
      </c>
    </row>
    <row r="31" ht="57.45" customHeight="1" s="14">
      <c r="A31" s="29" t="n">
        <v>46291</v>
      </c>
      <c r="B31" s="30" t="inlineStr">
        <is>
          <t>Sat</t>
        </is>
      </c>
      <c r="C31" s="30" t="n">
        <v>6</v>
      </c>
      <c r="D31" s="30" t="inlineStr">
        <is>
          <t>Botox Education Month</t>
        </is>
      </c>
      <c r="E31" s="30" t="inlineStr">
        <is>
          <t>Single Image</t>
        </is>
      </c>
      <c r="F31" s="24" t="inlineStr">
        <is>
          <t>Light</t>
        </is>
      </c>
      <c r="G31" s="30" t="inlineStr">
        <is>
          <t>IG + FB + TikTok photo + GBP</t>
        </is>
      </c>
      <c r="H31" s="30" t="inlineStr">
        <is>
          <t>Personality &amp; BTS</t>
        </is>
      </c>
      <c r="I31" s="30" t="inlineStr">
        <is>
          <t>Poll: What Should NP Cleo Cover Next? | Audience chooses next month's content.</t>
        </is>
      </c>
      <c r="J31" s="30" t="inlineStr">
        <is>
          <t>October is filler month. What do you want the truth about first: lips, cheeks, or under eyes? Vote. 👇
#npinjector #nursepractitioner #medspalife #luxurybeauty #aestheticnurse #skincareexpert #beautyclinic #selfcare #naturalresults #honestbeauty</t>
        </is>
      </c>
      <c r="K31" s="30" t="inlineStr">
        <is>
          <t>Vote in comments</t>
        </is>
      </c>
      <c r="L31" s="30" t="inlineStr">
        <is>
          <t>Set C</t>
        </is>
      </c>
      <c r="M31" s="30" t="inlineStr">
        <is>
          <t>Poll card + matching story poll</t>
        </is>
      </c>
      <c r="N31" s="24" t="n"/>
      <c r="O31" s="24" t="n"/>
      <c r="P31" s="34" t="inlineStr">
        <is>
          <t>Open folder</t>
        </is>
      </c>
      <c r="Q31" s="24" t="inlineStr">
        <is>
          <t>Not designed yet</t>
        </is>
      </c>
      <c r="R31" s="24" t="n"/>
      <c r="S31" s="30" t="inlineStr">
        <is>
          <t>Idea</t>
        </is>
      </c>
      <c r="T31" s="30" t="n"/>
      <c r="U31" s="30" t="n"/>
      <c r="V31" s="30" t="n"/>
      <c r="W31" s="30" t="n"/>
      <c r="X31" s="30" t="n"/>
      <c r="Y31" s="30" t="n"/>
      <c r="Z31" s="24" t="n"/>
      <c r="AA31" s="24" t="n"/>
      <c r="AB31" s="24" t="inlineStr">
        <is>
          <t>Not designed yet</t>
        </is>
      </c>
    </row>
    <row r="32" ht="57.45" customHeight="1" s="14">
      <c r="A32" s="27" t="n">
        <v>46293</v>
      </c>
      <c r="B32" s="28" t="inlineStr">
        <is>
          <t>Mon</t>
        </is>
      </c>
      <c r="C32" s="28" t="n">
        <v>7</v>
      </c>
      <c r="D32" s="28" t="inlineStr">
        <is>
          <t>Botox Education Month</t>
        </is>
      </c>
      <c r="E32" s="28" t="inlineStr">
        <is>
          <t>Carousel</t>
        </is>
      </c>
      <c r="F32" s="24" t="inlineStr">
        <is>
          <t>Light</t>
        </is>
      </c>
      <c r="G32" s="28" t="inlineStr">
        <is>
          <t>Instagram feed + GBP</t>
        </is>
      </c>
      <c r="H32" s="28" t="inlineStr">
        <is>
          <t>Education</t>
        </is>
      </c>
      <c r="I32" s="28" t="inlineStr">
        <is>
          <t>How Long Does Botox Really Last? | The honest timeline, month by month.</t>
        </is>
      </c>
      <c r="J32" s="28" t="inlineStr">
        <is>
          <t>Anyone promising six months is overpromising. Here is the real timeline, what makes it fade faster, and how to make results last longer.
#botox #botoxeducation #botoxmyths #preventativebotox #antiwrinkleinjections #nurseinjector #medspa #naturalbotox #botoxbeforeandafter #aestheticnurse</t>
        </is>
      </c>
      <c r="K32" s="28" t="inlineStr">
        <is>
          <t>Save this timeline</t>
        </is>
      </c>
      <c r="L32" s="28" t="inlineStr">
        <is>
          <t>Set A</t>
        </is>
      </c>
      <c r="M32" s="28" t="inlineStr">
        <is>
          <t>Design timeline layout in editorial template</t>
        </is>
      </c>
      <c r="N32" s="24" t="n"/>
      <c r="O32" s="24" t="n"/>
      <c r="P32" s="32" t="inlineStr">
        <is>
          <t>Open folder</t>
        </is>
      </c>
      <c r="Q32" s="24" t="inlineStr">
        <is>
          <t>Not designed yet</t>
        </is>
      </c>
      <c r="R32" s="24" t="n"/>
      <c r="S32" s="28" t="inlineStr">
        <is>
          <t>Idea</t>
        </is>
      </c>
      <c r="T32" s="28" t="n"/>
      <c r="U32" s="28" t="n"/>
      <c r="V32" s="28" t="n"/>
      <c r="W32" s="28" t="n"/>
      <c r="X32" s="28" t="n"/>
      <c r="Y32" s="28" t="n"/>
      <c r="Z32" s="24" t="n"/>
      <c r="AA32" s="24" t="n"/>
      <c r="AB32" s="24" t="inlineStr">
        <is>
          <t>Not designed yet</t>
        </is>
      </c>
    </row>
    <row r="33" ht="57.45" customHeight="1" s="14">
      <c r="A33" s="29" t="n">
        <v>46294</v>
      </c>
      <c r="B33" s="30" t="inlineStr">
        <is>
          <t>Tue</t>
        </is>
      </c>
      <c r="C33" s="30" t="n">
        <v>7</v>
      </c>
      <c r="D33" s="30" t="inlineStr">
        <is>
          <t>Botox Education Month</t>
        </is>
      </c>
      <c r="E33" s="30" t="inlineStr">
        <is>
          <t>Single Image</t>
        </is>
      </c>
      <c r="F33" s="24" t="inlineStr">
        <is>
          <t>Light</t>
        </is>
      </c>
      <c r="G33" s="30" t="inlineStr">
        <is>
          <t>IG + FB + TikTok photo + GBP</t>
        </is>
      </c>
      <c r="H33" s="30" t="inlineStr">
        <is>
          <t>Education</t>
        </is>
      </c>
      <c r="I33" s="30" t="inlineStr">
        <is>
          <t>The 3-Month Botox Timeline | Week by week, what to expect.</t>
        </is>
      </c>
      <c r="J33" s="30" t="inlineStr">
        <is>
          <t>Day 3 it starts. Week 2 it settles. Month 3 it softens. Save this so you know exactly what is normal.
#botox #botoxeducation #botoxmyths #preventativebotox #antiwrinkleinjections #nurseinjector #medspa #naturalbotox #botoxbeforeandafter #aestheticnurse</t>
        </is>
      </c>
      <c r="K33" s="30" t="inlineStr">
        <is>
          <t>Save this timeline</t>
        </is>
      </c>
      <c r="L33" s="30" t="inlineStr">
        <is>
          <t>Set A</t>
        </is>
      </c>
      <c r="M33" s="30" t="inlineStr">
        <is>
          <t>Single image: timeline infographic card</t>
        </is>
      </c>
      <c r="N33" s="24" t="n"/>
      <c r="O33" s="24" t="n"/>
      <c r="P33" s="34" t="inlineStr">
        <is>
          <t>Open folder</t>
        </is>
      </c>
      <c r="Q33" s="24" t="inlineStr">
        <is>
          <t>Not designed yet</t>
        </is>
      </c>
      <c r="R33" s="24" t="n"/>
      <c r="S33" s="30" t="inlineStr">
        <is>
          <t>Idea</t>
        </is>
      </c>
      <c r="T33" s="30" t="n"/>
      <c r="U33" s="30" t="n"/>
      <c r="V33" s="30" t="n"/>
      <c r="W33" s="30" t="n"/>
      <c r="X33" s="30" t="n"/>
      <c r="Y33" s="30" t="n"/>
      <c r="Z33" s="24" t="n"/>
      <c r="AA33" s="24" t="n"/>
      <c r="AB33" s="24" t="inlineStr">
        <is>
          <t>Not designed yet</t>
        </is>
      </c>
    </row>
    <row r="34" ht="57.45" customHeight="1" s="14">
      <c r="A34" s="27" t="n">
        <v>46296</v>
      </c>
      <c r="B34" s="28" t="inlineStr">
        <is>
          <t>Thu</t>
        </is>
      </c>
      <c r="C34" s="28" t="n">
        <v>7</v>
      </c>
      <c r="D34" s="28" t="inlineStr">
        <is>
          <t>Fillers, Naturally</t>
        </is>
      </c>
      <c r="E34" s="28" t="inlineStr">
        <is>
          <t>Carousel</t>
        </is>
      </c>
      <c r="F34" s="24" t="inlineStr">
        <is>
          <t>Light</t>
        </is>
      </c>
      <c r="G34" s="28" t="inlineStr">
        <is>
          <t>Instagram feed + GBP</t>
        </is>
      </c>
      <c r="H34" s="28" t="inlineStr">
        <is>
          <t>Trust &amp; Proof</t>
        </is>
      </c>
      <c r="I34" s="28" t="inlineStr">
        <is>
          <t>Why We Sometimes Say No | A provider who says yes to everyone is a red flag.</t>
        </is>
      </c>
      <c r="J34" s="28" t="inlineStr">
        <is>
          <t>I have turned people away, and they thanked me later. Here is why honest candidacy matters and what it says about any provider who never says no.
#npinjector #nursepractitioner #medspalife #luxurybeauty #aestheticnurse #skincareexpert #beautyclinic #selfcare #naturalresults #honestbeauty</t>
        </is>
      </c>
      <c r="K34" s="28" t="inlineStr">
        <is>
          <t>Book an honest consult</t>
        </is>
      </c>
      <c r="L34" s="28" t="inlineStr">
        <is>
          <t>Set C</t>
        </is>
      </c>
      <c r="M34" s="28" t="inlineStr">
        <is>
          <t>Design in editorial template</t>
        </is>
      </c>
      <c r="N34" s="24" t="n"/>
      <c r="O34" s="24" t="n"/>
      <c r="P34" s="32" t="inlineStr">
        <is>
          <t>Open folder</t>
        </is>
      </c>
      <c r="Q34" s="24" t="inlineStr">
        <is>
          <t>Not designed yet</t>
        </is>
      </c>
      <c r="R34" s="24" t="n"/>
      <c r="S34" s="28" t="inlineStr">
        <is>
          <t>Idea</t>
        </is>
      </c>
      <c r="T34" s="28" t="n"/>
      <c r="U34" s="28" t="n"/>
      <c r="V34" s="28" t="n"/>
      <c r="W34" s="28" t="n"/>
      <c r="X34" s="28" t="n"/>
      <c r="Y34" s="28" t="n"/>
      <c r="Z34" s="24" t="n"/>
      <c r="AA34" s="24" t="n"/>
      <c r="AB34" s="24" t="inlineStr">
        <is>
          <t>Not designed yet</t>
        </is>
      </c>
    </row>
    <row r="35" ht="57.45" customHeight="1" s="14">
      <c r="A35" s="29" t="n">
        <v>46297</v>
      </c>
      <c r="B35" s="30" t="inlineStr">
        <is>
          <t>Fri</t>
        </is>
      </c>
      <c r="C35" s="30" t="n">
        <v>7</v>
      </c>
      <c r="D35" s="30" t="inlineStr">
        <is>
          <t>Fillers, Naturally</t>
        </is>
      </c>
      <c r="E35" s="30" t="inlineStr">
        <is>
          <t>Single Image</t>
        </is>
      </c>
      <c r="F35" s="24" t="inlineStr">
        <is>
          <t>Light</t>
        </is>
      </c>
      <c r="G35" s="30" t="inlineStr">
        <is>
          <t>IG + FB + TikTok photo + GBP</t>
        </is>
      </c>
      <c r="H35" s="30" t="inlineStr">
        <is>
          <t>Trust &amp; Proof</t>
        </is>
      </c>
      <c r="I35" s="30" t="inlineStr">
        <is>
          <t>What I Tell Every First-Timer | The pep talk before every first appointment.</t>
        </is>
      </c>
      <c r="J35" s="30" t="inlineStr">
        <is>
          <t>You do not need to know the treatment names. You just need to show up honest about your goals. I handle the rest. 💛
#npinjector #nursepractitioner #medspalife #luxurybeauty #aestheticnurse #skincareexpert #beautyclinic #selfcare #naturalresults #honestbeauty</t>
        </is>
      </c>
      <c r="K35" s="30" t="inlineStr">
        <is>
          <t>Book your first visit</t>
        </is>
      </c>
      <c r="L35" s="30" t="inlineStr">
        <is>
          <t>Set C</t>
        </is>
      </c>
      <c r="M35" s="30" t="inlineStr">
        <is>
          <t>Single image: Cleo photo + quote overlay</t>
        </is>
      </c>
      <c r="N35" s="24" t="n"/>
      <c r="O35" s="24" t="n"/>
      <c r="P35" s="34" t="inlineStr">
        <is>
          <t>Open folder</t>
        </is>
      </c>
      <c r="Q35" s="24" t="inlineStr">
        <is>
          <t>Not designed yet</t>
        </is>
      </c>
      <c r="R35" s="24" t="n"/>
      <c r="S35" s="30" t="inlineStr">
        <is>
          <t>Idea</t>
        </is>
      </c>
      <c r="T35" s="30" t="n"/>
      <c r="U35" s="30" t="n"/>
      <c r="V35" s="30" t="n"/>
      <c r="W35" s="30" t="n"/>
      <c r="X35" s="30" t="n"/>
      <c r="Y35" s="30" t="n"/>
      <c r="Z35" s="24" t="n"/>
      <c r="AA35" s="24" t="n"/>
      <c r="AB35" s="24" t="inlineStr">
        <is>
          <t>Not designed yet</t>
        </is>
      </c>
    </row>
    <row r="36" ht="46.25" customHeight="1" s="14">
      <c r="A36" s="29" t="n">
        <v>46298</v>
      </c>
      <c r="B36" s="30" t="inlineStr">
        <is>
          <t>Sat</t>
        </is>
      </c>
      <c r="C36" s="30" t="n">
        <v>7</v>
      </c>
      <c r="D36" s="30" t="inlineStr">
        <is>
          <t>Fillers, Naturally</t>
        </is>
      </c>
      <c r="E36" s="30" t="inlineStr">
        <is>
          <t>Single Image</t>
        </is>
      </c>
      <c r="F36" s="24" t="inlineStr">
        <is>
          <t>Light</t>
        </is>
      </c>
      <c r="G36" s="30" t="inlineStr">
        <is>
          <t>IG + FB + TikTok photo + GBP</t>
        </is>
      </c>
      <c r="H36" s="30" t="inlineStr">
        <is>
          <t>Trust &amp; Proof</t>
        </is>
      </c>
      <c r="I36" s="30" t="inlineStr">
        <is>
          <t>Quote: No Is Protection | Brand quote card.</t>
        </is>
      </c>
      <c r="J36" s="30" t="inlineStr">
        <is>
          <t>An honest provider will sometimes tell you no. That is protection, not rejection.
#npinjector #nursepractitioner #medspalife #luxurybeauty #aestheticnurse #skincareexpert #beautyclinic #selfcare #naturalresults #honestbeauty</t>
        </is>
      </c>
      <c r="K36" s="30" t="inlineStr">
        <is>
          <t>Share this</t>
        </is>
      </c>
      <c r="L36" s="30" t="inlineStr">
        <is>
          <t>Set C</t>
        </is>
      </c>
      <c r="M36" s="30" t="inlineStr">
        <is>
          <t>Quote card in brand style</t>
        </is>
      </c>
      <c r="N36" s="24" t="n"/>
      <c r="O36" s="24" t="n"/>
      <c r="P36" s="34" t="inlineStr">
        <is>
          <t>Open folder</t>
        </is>
      </c>
      <c r="Q36" s="24" t="inlineStr">
        <is>
          <t>Not designed yet</t>
        </is>
      </c>
      <c r="R36" s="24" t="n"/>
      <c r="S36" s="30" t="inlineStr">
        <is>
          <t>Idea</t>
        </is>
      </c>
      <c r="T36" s="30" t="n"/>
      <c r="U36" s="30" t="n"/>
      <c r="V36" s="30" t="n"/>
      <c r="W36" s="30" t="n"/>
      <c r="X36" s="30" t="n"/>
      <c r="Y36" s="30" t="n"/>
      <c r="Z36" s="24" t="n"/>
      <c r="AA36" s="24" t="n"/>
      <c r="AB36" s="24" t="inlineStr">
        <is>
          <t>Not designed yet</t>
        </is>
      </c>
    </row>
    <row r="37" ht="57.45" customHeight="1" s="14">
      <c r="A37" s="27" t="n">
        <v>46300</v>
      </c>
      <c r="B37" s="28" t="inlineStr">
        <is>
          <t>Mon</t>
        </is>
      </c>
      <c r="C37" s="28" t="n">
        <v>8</v>
      </c>
      <c r="D37" s="28" t="inlineStr">
        <is>
          <t>Fillers, Naturally</t>
        </is>
      </c>
      <c r="E37" s="28" t="inlineStr">
        <is>
          <t>Carousel</t>
        </is>
      </c>
      <c r="F37" s="24" t="inlineStr">
        <is>
          <t>Light</t>
        </is>
      </c>
      <c r="G37" s="28" t="inlineStr">
        <is>
          <t>Instagram feed + GBP</t>
        </is>
      </c>
      <c r="H37" s="28" t="inlineStr">
        <is>
          <t>Education</t>
        </is>
      </c>
      <c r="I37" s="28" t="inlineStr">
        <is>
          <t>Filler Won't Make You Look Fake. Bad Technique Does. | The fear is real. The cause is not what you think.</t>
        </is>
      </c>
      <c r="J37" s="28" t="inlineStr">
        <is>
          <t>Every overdone face you have seen came from heavy hands, not from filler itself. Great work is invisible. You have seen it a hundred times without knowing.
#dermalfiller #lipfiller #cheekfiller #naturalfiller #facialbalancing #lipfillernatural #aestheticnurse #medspa #fillerjourney #lipgoals</t>
        </is>
      </c>
      <c r="K37" s="28" t="inlineStr">
        <is>
          <t>DM FILLER for a consult</t>
        </is>
      </c>
      <c r="L37" s="28" t="inlineStr">
        <is>
          <t>Set B</t>
        </is>
      </c>
      <c r="M37" s="28" t="inlineStr">
        <is>
          <t>Design in editorial template. October filler month opener</t>
        </is>
      </c>
      <c r="N37" s="24" t="n"/>
      <c r="O37" s="24" t="n"/>
      <c r="P37" s="32" t="inlineStr">
        <is>
          <t>Open folder</t>
        </is>
      </c>
      <c r="Q37" s="24" t="inlineStr">
        <is>
          <t>Not designed yet</t>
        </is>
      </c>
      <c r="R37" s="24" t="n"/>
      <c r="S37" s="28" t="inlineStr">
        <is>
          <t>Idea</t>
        </is>
      </c>
      <c r="T37" s="28" t="n"/>
      <c r="U37" s="28" t="n"/>
      <c r="V37" s="28" t="n"/>
      <c r="W37" s="28" t="n"/>
      <c r="X37" s="28" t="n"/>
      <c r="Y37" s="28" t="n"/>
      <c r="Z37" s="24" t="n"/>
      <c r="AA37" s="24" t="n"/>
      <c r="AB37" s="24" t="inlineStr">
        <is>
          <t>Not designed yet</t>
        </is>
      </c>
    </row>
    <row r="38" ht="57.45" customHeight="1" s="14">
      <c r="A38" s="29" t="n">
        <v>46301</v>
      </c>
      <c r="B38" s="30" t="inlineStr">
        <is>
          <t>Tue</t>
        </is>
      </c>
      <c r="C38" s="30" t="n">
        <v>8</v>
      </c>
      <c r="D38" s="30" t="inlineStr">
        <is>
          <t>Fillers, Naturally</t>
        </is>
      </c>
      <c r="E38" s="30" t="inlineStr">
        <is>
          <t>Single Image</t>
        </is>
      </c>
      <c r="F38" s="24" t="inlineStr">
        <is>
          <t>Light</t>
        </is>
      </c>
      <c r="G38" s="30" t="inlineStr">
        <is>
          <t>IG + FB + TikTok photo + GBP</t>
        </is>
      </c>
      <c r="H38" s="30" t="inlineStr">
        <is>
          <t>Education</t>
        </is>
      </c>
      <c r="I38" s="30" t="inlineStr">
        <is>
          <t>Service Spotlight: Dermal Filler | Volume where you lost it. Nowhere else.</t>
        </is>
      </c>
      <c r="J38" s="30" t="inlineStr">
        <is>
          <t>Filler is not about changing your face. It is about restoring what time quietly took. October is filler month. 👀
#dermalfiller #lipfiller #cheekfiller #naturalfiller #facialbalancing #lipfillernatural #aestheticnurse #medspa #fillerjourney #lipgoals</t>
        </is>
      </c>
      <c r="K38" s="30" t="inlineStr">
        <is>
          <t>DM FILLER to start</t>
        </is>
      </c>
      <c r="L38" s="30" t="inlineStr">
        <is>
          <t>Set B</t>
        </is>
      </c>
      <c r="M38" s="30" t="inlineStr">
        <is>
          <t>Single image: filler product or treatment photo + hook</t>
        </is>
      </c>
      <c r="N38" s="24" t="n"/>
      <c r="O38" s="24" t="n"/>
      <c r="P38" s="34" t="inlineStr">
        <is>
          <t>Open folder</t>
        </is>
      </c>
      <c r="Q38" s="24" t="inlineStr">
        <is>
          <t>Not designed yet</t>
        </is>
      </c>
      <c r="R38" s="24" t="n"/>
      <c r="S38" s="30" t="inlineStr">
        <is>
          <t>Idea</t>
        </is>
      </c>
      <c r="T38" s="30" t="n"/>
      <c r="U38" s="30" t="n"/>
      <c r="V38" s="30" t="n"/>
      <c r="W38" s="30" t="n"/>
      <c r="X38" s="30" t="n"/>
      <c r="Y38" s="30" t="n"/>
      <c r="Z38" s="24" t="n"/>
      <c r="AA38" s="24" t="n"/>
      <c r="AB38" s="24" t="inlineStr">
        <is>
          <t>Not designed yet</t>
        </is>
      </c>
    </row>
    <row r="39" ht="57.45" customHeight="1" s="14">
      <c r="A39" s="27" t="n">
        <v>46303</v>
      </c>
      <c r="B39" s="28" t="inlineStr">
        <is>
          <t>Thu</t>
        </is>
      </c>
      <c r="C39" s="28" t="n">
        <v>8</v>
      </c>
      <c r="D39" s="28" t="inlineStr">
        <is>
          <t>Fillers, Naturally</t>
        </is>
      </c>
      <c r="E39" s="28" t="inlineStr">
        <is>
          <t>Carousel</t>
        </is>
      </c>
      <c r="F39" s="24" t="inlineStr">
        <is>
          <t>Light</t>
        </is>
      </c>
      <c r="G39" s="28" t="inlineStr">
        <is>
          <t>Instagram feed + GBP</t>
        </is>
      </c>
      <c r="H39" s="28" t="inlineStr">
        <is>
          <t>Education</t>
        </is>
      </c>
      <c r="I39" s="28" t="inlineStr">
        <is>
          <t>Lip Filler: Natural vs Overdone | The difference is the injector.</t>
        </is>
      </c>
      <c r="J39" s="28" t="inlineStr">
        <is>
          <t>Soft, balanced, still you. Here is what separates natural lip results from the duck lips everyone fears, and the questions to ask before anyone touches your lips.
#dermalfiller #lipfiller #cheekfiller #naturalfiller #facialbalancing #lipfillernatural #aestheticnurse #medspa #fillerjourney #lipgoals</t>
        </is>
      </c>
      <c r="K39" s="28" t="inlineStr">
        <is>
          <t>Save before you book anywhere</t>
        </is>
      </c>
      <c r="L39" s="28" t="inlineStr">
        <is>
          <t>Set B</t>
        </is>
      </c>
      <c r="M39" s="28" t="inlineStr">
        <is>
          <t>READY: before and after result card in this post's folder</t>
        </is>
      </c>
      <c r="N39" s="24" t="inlineStr">
        <is>
          <t>img_9908 (before), img_9912 (after)</t>
        </is>
      </c>
      <c r="O39" s="24" t="inlineStr">
        <is>
          <t>Not needed</t>
        </is>
      </c>
      <c r="P39" s="32" t="inlineStr">
        <is>
          <t>Open folder</t>
        </is>
      </c>
      <c r="Q39" s="33" t="inlineStr">
        <is>
          <t>View image</t>
        </is>
      </c>
      <c r="R39" s="24">
        <f>IMAGE("https://raw.githubusercontent.com/RepoKing23/InstagramCarousel/claude/convert-images-jpg-5jeayb/content/2026-10-08-lip-filler-natural-vs-overdone/images/before-after-result.png")</f>
        <v/>
      </c>
      <c r="S39" s="28" t="inlineStr">
        <is>
          <t>Ready</t>
        </is>
      </c>
      <c r="T39" s="28" t="n"/>
      <c r="U39" s="28" t="n"/>
      <c r="V39" s="28" t="n"/>
      <c r="W39" s="28" t="n"/>
      <c r="X39" s="28" t="n"/>
      <c r="Y39" s="28" t="n"/>
      <c r="Z39" s="24" t="n"/>
      <c r="AA39" s="24" t="n"/>
      <c r="AB39" s="24" t="inlineStr">
        <is>
          <t>Not designed yet</t>
        </is>
      </c>
    </row>
    <row r="40" ht="46.25" customHeight="1" s="14">
      <c r="A40" s="29" t="n">
        <v>46304</v>
      </c>
      <c r="B40" s="30" t="inlineStr">
        <is>
          <t>Fri</t>
        </is>
      </c>
      <c r="C40" s="30" t="n">
        <v>8</v>
      </c>
      <c r="D40" s="30" t="inlineStr">
        <is>
          <t>Fillers, Naturally</t>
        </is>
      </c>
      <c r="E40" s="30" t="inlineStr">
        <is>
          <t>Single Image</t>
        </is>
      </c>
      <c r="F40" s="24" t="inlineStr">
        <is>
          <t>Light</t>
        </is>
      </c>
      <c r="G40" s="30" t="inlineStr">
        <is>
          <t>IG + FB + TikTok photo + GBP</t>
        </is>
      </c>
      <c r="H40" s="30" t="inlineStr">
        <is>
          <t>Personality &amp; BTS</t>
        </is>
      </c>
      <c r="I40" s="30" t="inlineStr">
        <is>
          <t>Inside the Filler Appointment | Planned to the last drop.</t>
        </is>
      </c>
      <c r="J40" s="30" t="inlineStr">
        <is>
          <t>Cannulas, numbing, and a plan drawn before we start. This is what careful looks like.
#dermalfiller #lipfiller #cheekfiller #naturalfiller #facialbalancing #lipfillernatural #aestheticnurse #medspa #fillerjourney #lipgoals</t>
        </is>
      </c>
      <c r="K40" s="30" t="inlineStr">
        <is>
          <t>Follow for filler month</t>
        </is>
      </c>
      <c r="L40" s="30" t="inlineStr">
        <is>
          <t>Set B</t>
        </is>
      </c>
      <c r="M40" s="30" t="inlineStr">
        <is>
          <t>Single image: filler prep photo + hook</t>
        </is>
      </c>
      <c r="N40" s="24" t="n"/>
      <c r="O40" s="24" t="n"/>
      <c r="P40" s="34" t="inlineStr">
        <is>
          <t>Open folder</t>
        </is>
      </c>
      <c r="Q40" s="24" t="inlineStr">
        <is>
          <t>Not designed yet</t>
        </is>
      </c>
      <c r="R40" s="24" t="n"/>
      <c r="S40" s="30" t="inlineStr">
        <is>
          <t>Idea</t>
        </is>
      </c>
      <c r="T40" s="30" t="n"/>
      <c r="U40" s="30" t="n"/>
      <c r="V40" s="30" t="n"/>
      <c r="W40" s="30" t="n"/>
      <c r="X40" s="30" t="n"/>
      <c r="Y40" s="30" t="n"/>
      <c r="Z40" s="24" t="n"/>
      <c r="AA40" s="24" t="n"/>
      <c r="AB40" s="24" t="inlineStr">
        <is>
          <t>Not designed yet</t>
        </is>
      </c>
    </row>
    <row r="41" ht="46.25" customHeight="1" s="14">
      <c r="A41" s="29" t="n">
        <v>46305</v>
      </c>
      <c r="B41" s="30" t="inlineStr">
        <is>
          <t>Sat</t>
        </is>
      </c>
      <c r="C41" s="30" t="n">
        <v>8</v>
      </c>
      <c r="D41" s="30" t="inlineStr">
        <is>
          <t>Fillers, Naturally</t>
        </is>
      </c>
      <c r="E41" s="30" t="inlineStr">
        <is>
          <t>Before/After</t>
        </is>
      </c>
      <c r="F41" s="24" t="inlineStr">
        <is>
          <t>Light</t>
        </is>
      </c>
      <c r="G41" s="30" t="inlineStr">
        <is>
          <t>IG + FB + TikTok photo + GBP</t>
        </is>
      </c>
      <c r="H41" s="30" t="inlineStr">
        <is>
          <t>Trust &amp; Proof</t>
        </is>
      </c>
      <c r="I41" s="30" t="inlineStr">
        <is>
          <t>Subtle Is the New Dramatic | The quote, proved.</t>
        </is>
      </c>
      <c r="J41" s="30" t="inlineStr">
        <is>
          <t>Subtle is the new dramatic. The best work whispers. This is one syringe, healed and settled, on a client who did not want anyone to know. Individual results vary. Shared with consent. 💛
#npinjector #nursepractitioner #medspalife #luxurybeauty #aestheticnurse #skincareexpert #beautyclinic #selfcare #naturalresults #honestbeauty</t>
        </is>
      </c>
      <c r="K41" s="30" t="inlineStr">
        <is>
          <t>Save this</t>
        </is>
      </c>
      <c r="L41" s="30" t="inlineStr">
        <is>
          <t>Set C</t>
        </is>
      </c>
      <c r="M41" s="30" t="inlineStr">
        <is>
          <t>Before and after card in editorial template. Crop to treatment area, no faces</t>
        </is>
      </c>
      <c r="N41" s="24" t="inlineStr">
        <is>
          <t>img_1119 (before), img_1123 (after)</t>
        </is>
      </c>
      <c r="O41" s="24" t="inlineStr">
        <is>
          <t>On file</t>
        </is>
      </c>
      <c r="P41" s="34" t="inlineStr">
        <is>
          <t>Open folder</t>
        </is>
      </c>
      <c r="Q41" s="33" t="inlineStr">
        <is>
          <t>View image</t>
        </is>
      </c>
      <c r="R41" s="24">
        <f>IMAGE("https://raw.githubusercontent.com/RepoKing23/InstagramCarousel/claude/convert-images-jpg-5jeayb/content/2026-10-10-subtle-is-the-new-dramatic/images/before-after-result.png")</f>
        <v/>
      </c>
      <c r="S41" s="30" t="inlineStr">
        <is>
          <t>Ready</t>
        </is>
      </c>
      <c r="T41" s="30" t="n"/>
      <c r="U41" s="30" t="n"/>
      <c r="V41" s="30" t="n"/>
      <c r="W41" s="30" t="n"/>
      <c r="X41" s="30" t="n"/>
      <c r="Y41" s="30" t="n"/>
      <c r="Z41" s="24" t="n"/>
      <c r="AA41" s="24" t="n"/>
      <c r="AB41" s="24" t="inlineStr">
        <is>
          <t>Not designed yet</t>
        </is>
      </c>
    </row>
    <row r="42" ht="57.45" customHeight="1" s="14">
      <c r="A42" s="27" t="n">
        <v>46307</v>
      </c>
      <c r="B42" s="28" t="inlineStr">
        <is>
          <t>Mon</t>
        </is>
      </c>
      <c r="C42" s="28" t="n">
        <v>9</v>
      </c>
      <c r="D42" s="28" t="inlineStr">
        <is>
          <t>Fillers, Naturally</t>
        </is>
      </c>
      <c r="E42" s="28" t="inlineStr">
        <is>
          <t>Carousel</t>
        </is>
      </c>
      <c r="F42" s="24" t="inlineStr">
        <is>
          <t>Light</t>
        </is>
      </c>
      <c r="G42" s="28" t="inlineStr">
        <is>
          <t>Instagram feed + GBP</t>
        </is>
      </c>
      <c r="H42" s="28" t="inlineStr">
        <is>
          <t>Education</t>
        </is>
      </c>
      <c r="I42" s="28" t="inlineStr">
        <is>
          <t>Cheek Filler: The Secret Nobody Talks About | The treatment behind the best natural glow-ups.</t>
        </is>
      </c>
      <c r="J42" s="28" t="inlineStr">
        <is>
          <t>Everyone asks about lips. But cheek filler is quietly behind some of the most natural transformations you have seen. Here is how facial balancing works.
#dermalfiller #lipfiller #cheekfiller #naturalfiller #facialbalancing #lipfillernatural #aestheticnurse #medspa #fillerjourney #lipgoals</t>
        </is>
      </c>
      <c r="K42" s="28" t="inlineStr">
        <is>
          <t>DM CHEEKS to learn more</t>
        </is>
      </c>
      <c r="L42" s="28" t="inlineStr">
        <is>
          <t>Set B</t>
        </is>
      </c>
      <c r="M42" s="28" t="inlineStr">
        <is>
          <t>Design in editorial template</t>
        </is>
      </c>
      <c r="N42" s="24" t="n"/>
      <c r="O42" s="24" t="n"/>
      <c r="P42" s="32" t="inlineStr">
        <is>
          <t>Open folder</t>
        </is>
      </c>
      <c r="Q42" s="24" t="inlineStr">
        <is>
          <t>Not designed yet</t>
        </is>
      </c>
      <c r="R42" s="24" t="n"/>
      <c r="S42" s="28" t="inlineStr">
        <is>
          <t>Idea</t>
        </is>
      </c>
      <c r="T42" s="28" t="n"/>
      <c r="U42" s="28" t="n"/>
      <c r="V42" s="28" t="n"/>
      <c r="W42" s="28" t="n"/>
      <c r="X42" s="28" t="n"/>
      <c r="Y42" s="28" t="n"/>
      <c r="Z42" s="24" t="n"/>
      <c r="AA42" s="24" t="n"/>
      <c r="AB42" s="24" t="inlineStr">
        <is>
          <t>Not designed yet</t>
        </is>
      </c>
    </row>
    <row r="43" ht="57.45" customHeight="1" s="14">
      <c r="A43" s="29" t="n">
        <v>46308</v>
      </c>
      <c r="B43" s="30" t="inlineStr">
        <is>
          <t>Tue</t>
        </is>
      </c>
      <c r="C43" s="30" t="n">
        <v>9</v>
      </c>
      <c r="D43" s="30" t="inlineStr">
        <is>
          <t>Fillers, Naturally</t>
        </is>
      </c>
      <c r="E43" s="30" t="inlineStr">
        <is>
          <t>Single Image</t>
        </is>
      </c>
      <c r="F43" s="24" t="inlineStr">
        <is>
          <t>Light</t>
        </is>
      </c>
      <c r="G43" s="30" t="inlineStr">
        <is>
          <t>IG + FB + TikTok photo + GBP</t>
        </is>
      </c>
      <c r="H43" s="30" t="inlineStr">
        <is>
          <t>Education</t>
        </is>
      </c>
      <c r="I43" s="30" t="inlineStr">
        <is>
          <t>Service Spotlight: Cheek Filler | The lift nobody talks about.</t>
        </is>
      </c>
      <c r="J43" s="30" t="inlineStr">
        <is>
          <t>Lifted, refreshed, never puffy. Cheek filler is quietly behind the most natural glow-ups you have seen.
#dermalfiller #lipfiller #cheekfiller #naturalfiller #facialbalancing #lipfillernatural #aestheticnurse #medspa #fillerjourney #lipgoals</t>
        </is>
      </c>
      <c r="K43" s="30" t="inlineStr">
        <is>
          <t>DM CHEEKS to learn more</t>
        </is>
      </c>
      <c r="L43" s="30" t="inlineStr">
        <is>
          <t>Set B</t>
        </is>
      </c>
      <c r="M43" s="30" t="inlineStr">
        <is>
          <t>Single image: cheek treatment photo + hook</t>
        </is>
      </c>
      <c r="N43" s="24" t="n"/>
      <c r="O43" s="24" t="n"/>
      <c r="P43" s="34" t="inlineStr">
        <is>
          <t>Open folder</t>
        </is>
      </c>
      <c r="Q43" s="24" t="inlineStr">
        <is>
          <t>Not designed yet</t>
        </is>
      </c>
      <c r="R43" s="24" t="n"/>
      <c r="S43" s="30" t="inlineStr">
        <is>
          <t>Idea</t>
        </is>
      </c>
      <c r="T43" s="30" t="n"/>
      <c r="U43" s="30" t="n"/>
      <c r="V43" s="30" t="n"/>
      <c r="W43" s="30" t="n"/>
      <c r="X43" s="30" t="n"/>
      <c r="Y43" s="30" t="n"/>
      <c r="Z43" s="24" t="n"/>
      <c r="AA43" s="24" t="n"/>
      <c r="AB43" s="24" t="inlineStr">
        <is>
          <t>Not designed yet</t>
        </is>
      </c>
    </row>
    <row r="44" ht="57.45" customHeight="1" s="14">
      <c r="A44" s="27" t="n">
        <v>46310</v>
      </c>
      <c r="B44" s="28" t="inlineStr">
        <is>
          <t>Thu</t>
        </is>
      </c>
      <c r="C44" s="28" t="n">
        <v>9</v>
      </c>
      <c r="D44" s="28" t="inlineStr">
        <is>
          <t>Fillers, Naturally</t>
        </is>
      </c>
      <c r="E44" s="28" t="inlineStr">
        <is>
          <t>Carousel</t>
        </is>
      </c>
      <c r="F44" s="24" t="inlineStr">
        <is>
          <t>Light</t>
        </is>
      </c>
      <c r="G44" s="28" t="inlineStr">
        <is>
          <t>Instagram feed + GBP</t>
        </is>
      </c>
      <c r="H44" s="28" t="inlineStr">
        <is>
          <t>Trust &amp; Proof</t>
        </is>
      </c>
      <c r="I44" s="28" t="inlineStr">
        <is>
          <t>Real Lips. Real Results. | Four clients. One syringe each.</t>
        </is>
      </c>
      <c r="J44" s="28" t="inlineStr">
        <is>
          <t>No filters, no angles, no tricks. Four real clients, one syringe each, photographed in the same light on the same day. Swipe to see what natural actually looks like. Individual results vary. All shared with consent.
#dermalfiller #lipfiller #cheekfiller #naturalfiller #facialbalancing #lipfillernatural #aestheticnurse #medspa #fillerjourney #lipgoals</t>
        </is>
      </c>
      <c r="K44" s="28" t="inlineStr">
        <is>
          <t>DM LIPS to book yours</t>
        </is>
      </c>
      <c r="L44" s="28" t="inlineStr">
        <is>
          <t>Set B</t>
        </is>
      </c>
      <c r="M44" s="28" t="inlineStr">
        <is>
          <t>Carousel: cover + 5 before and after slides + CTA. Crop to treatment area, no faces</t>
        </is>
      </c>
      <c r="N44" s="24" t="inlineStr">
        <is>
          <t>Pairs: 9908/9912, 0221/0233, 0962/0998, 1119/1123, 9848/9850</t>
        </is>
      </c>
      <c r="O44" s="24" t="inlineStr">
        <is>
          <t>On file</t>
        </is>
      </c>
      <c r="P44" s="32" t="inlineStr">
        <is>
          <t>Open folder</t>
        </is>
      </c>
      <c r="Q44" s="33" t="inlineStr">
        <is>
          <t>View 7 slides</t>
        </is>
      </c>
      <c r="R44" s="24">
        <f>IMAGE("https://raw.githubusercontent.com/RepoKing23/InstagramCarousel/claude/convert-images-jpg-5jeayb/content/2026-10-15-real-lips-real-results/images/slide-1.png")</f>
        <v/>
      </c>
      <c r="S44" s="28" t="inlineStr">
        <is>
          <t>Ready</t>
        </is>
      </c>
      <c r="T44" s="28" t="n"/>
      <c r="U44" s="28" t="n"/>
      <c r="V44" s="28" t="n"/>
      <c r="W44" s="28" t="n"/>
      <c r="X44" s="28" t="n"/>
      <c r="Y44" s="28" t="n"/>
      <c r="Z44" s="24" t="n"/>
      <c r="AA44" s="24" t="n"/>
      <c r="AB44" s="24" t="inlineStr">
        <is>
          <t>Not designed yet</t>
        </is>
      </c>
    </row>
    <row r="45" ht="57.45" customHeight="1" s="14">
      <c r="A45" s="29" t="n">
        <v>46311</v>
      </c>
      <c r="B45" s="30" t="inlineStr">
        <is>
          <t>Fri</t>
        </is>
      </c>
      <c r="C45" s="30" t="n">
        <v>9</v>
      </c>
      <c r="D45" s="30" t="inlineStr">
        <is>
          <t>Fillers, Naturally</t>
        </is>
      </c>
      <c r="E45" s="30" t="inlineStr">
        <is>
          <t>Single Image</t>
        </is>
      </c>
      <c r="F45" s="24" t="inlineStr">
        <is>
          <t>Light</t>
        </is>
      </c>
      <c r="G45" s="30" t="inlineStr">
        <is>
          <t>IG + FB + TikTok photo + GBP</t>
        </is>
      </c>
      <c r="H45" s="30" t="inlineStr">
        <is>
          <t>Education</t>
        </is>
      </c>
      <c r="I45" s="30" t="inlineStr">
        <is>
          <t>Facial Balancing 101 | One plan beats three syringes.</t>
        </is>
      </c>
      <c r="J45" s="30" t="inlineStr">
        <is>
          <t>One syringe in the right place beats three in the wrong ones. Balance first, volume second. Always.
#dermalfiller #lipfiller #cheekfiller #naturalfiller #facialbalancing #lipfillernatural #aestheticnurse #medspa #fillerjourney #lipgoals</t>
        </is>
      </c>
      <c r="K45" s="30" t="inlineStr">
        <is>
          <t>Book a balancing consult</t>
        </is>
      </c>
      <c r="L45" s="30" t="inlineStr">
        <is>
          <t>Set B</t>
        </is>
      </c>
      <c r="M45" s="30" t="inlineStr">
        <is>
          <t>Single image: face-map diagram card</t>
        </is>
      </c>
      <c r="N45" s="24" t="n"/>
      <c r="O45" s="24" t="n"/>
      <c r="P45" s="34" t="inlineStr">
        <is>
          <t>Open folder</t>
        </is>
      </c>
      <c r="Q45" s="24" t="inlineStr">
        <is>
          <t>Not designed yet</t>
        </is>
      </c>
      <c r="R45" s="24" t="n"/>
      <c r="S45" s="30" t="inlineStr">
        <is>
          <t>Idea</t>
        </is>
      </c>
      <c r="T45" s="30" t="n"/>
      <c r="U45" s="30" t="n"/>
      <c r="V45" s="30" t="n"/>
      <c r="W45" s="30" t="n"/>
      <c r="X45" s="30" t="n"/>
      <c r="Y45" s="30" t="n"/>
      <c r="Z45" s="24" t="n"/>
      <c r="AA45" s="24" t="n"/>
      <c r="AB45" s="24" t="inlineStr">
        <is>
          <t>Not designed yet</t>
        </is>
      </c>
    </row>
    <row r="46" ht="57.45" customHeight="1" s="14">
      <c r="A46" s="29" t="n">
        <v>46312</v>
      </c>
      <c r="B46" s="30" t="inlineStr">
        <is>
          <t>Sat</t>
        </is>
      </c>
      <c r="C46" s="30" t="n">
        <v>9</v>
      </c>
      <c r="D46" s="30" t="inlineStr">
        <is>
          <t>Fillers, Naturally</t>
        </is>
      </c>
      <c r="E46" s="30" t="inlineStr">
        <is>
          <t>Single Image</t>
        </is>
      </c>
      <c r="F46" s="24" t="inlineStr">
        <is>
          <t>Light</t>
        </is>
      </c>
      <c r="G46" s="30" t="inlineStr">
        <is>
          <t>IG + FB + TikTok photo + GBP</t>
        </is>
      </c>
      <c r="H46" s="30" t="inlineStr">
        <is>
          <t>Education</t>
        </is>
      </c>
      <c r="I46" s="30" t="inlineStr">
        <is>
          <t>FAQ: How Much Filler Do I Need? | The honest answer.</t>
        </is>
      </c>
      <c r="J46" s="30" t="inlineStr">
        <is>
          <t>Less than Instagram makes you think. Most natural results start with one syringe or less. Here is why.
#npinjector #nursepractitioner #medspalife #luxurybeauty #aestheticnurse #skincareexpert #beautyclinic #selfcare #naturalresults #honestbeauty</t>
        </is>
      </c>
      <c r="K46" s="30" t="inlineStr">
        <is>
          <t>More FAQs? DM me</t>
        </is>
      </c>
      <c r="L46" s="30" t="inlineStr">
        <is>
          <t>Set C</t>
        </is>
      </c>
      <c r="M46" s="30" t="inlineStr">
        <is>
          <t>FAQ card in brand style</t>
        </is>
      </c>
      <c r="N46" s="24" t="n"/>
      <c r="O46" s="24" t="n"/>
      <c r="P46" s="34" t="inlineStr">
        <is>
          <t>Open folder</t>
        </is>
      </c>
      <c r="Q46" s="24" t="inlineStr">
        <is>
          <t>Not designed yet</t>
        </is>
      </c>
      <c r="R46" s="24" t="n"/>
      <c r="S46" s="30" t="inlineStr">
        <is>
          <t>Idea</t>
        </is>
      </c>
      <c r="T46" s="30" t="n"/>
      <c r="U46" s="30" t="n"/>
      <c r="V46" s="30" t="n"/>
      <c r="W46" s="30" t="n"/>
      <c r="X46" s="30" t="n"/>
      <c r="Y46" s="30" t="n"/>
      <c r="Z46" s="24" t="n"/>
      <c r="AA46" s="24" t="n"/>
      <c r="AB46" s="24" t="inlineStr">
        <is>
          <t>Not designed yet</t>
        </is>
      </c>
    </row>
    <row r="47" ht="57.45" customHeight="1" s="14">
      <c r="A47" s="27" t="n">
        <v>46314</v>
      </c>
      <c r="B47" s="28" t="inlineStr">
        <is>
          <t>Mon</t>
        </is>
      </c>
      <c r="C47" s="28" t="n">
        <v>10</v>
      </c>
      <c r="D47" s="28" t="inlineStr">
        <is>
          <t>Fillers, Naturally</t>
        </is>
      </c>
      <c r="E47" s="28" t="inlineStr">
        <is>
          <t>Carousel</t>
        </is>
      </c>
      <c r="F47" s="24" t="inlineStr">
        <is>
          <t>Light</t>
        </is>
      </c>
      <c r="G47" s="28" t="inlineStr">
        <is>
          <t>Instagram feed + GBP</t>
        </is>
      </c>
      <c r="H47" s="28" t="inlineStr">
        <is>
          <t>Education</t>
        </is>
      </c>
      <c r="I47" s="28" t="inlineStr">
        <is>
          <t>Filler Dissolves. Here Is the Real Timeline. | What they do not tell you about longevity.</t>
        </is>
      </c>
      <c r="J47" s="28" t="inlineStr">
        <is>
          <t>Filler is not forever, and honestly, that is a good thing. Here is how long each area really lasts and what keeping it up actually looks like.
#dermalfiller #lipfiller #cheekfiller #naturalfiller #facialbalancing #lipfillernatural #aestheticnurse #medspa #fillerjourney #lipgoals</t>
        </is>
      </c>
      <c r="K47" s="28" t="inlineStr">
        <is>
          <t>Book your plan. Link in bio</t>
        </is>
      </c>
      <c r="L47" s="28" t="inlineStr">
        <is>
          <t>Set B</t>
        </is>
      </c>
      <c r="M47" s="28" t="inlineStr">
        <is>
          <t>Design timeline layout</t>
        </is>
      </c>
      <c r="N47" s="24" t="n"/>
      <c r="O47" s="24" t="n"/>
      <c r="P47" s="32" t="inlineStr">
        <is>
          <t>Open folder</t>
        </is>
      </c>
      <c r="Q47" s="24" t="inlineStr">
        <is>
          <t>Not designed yet</t>
        </is>
      </c>
      <c r="R47" s="24" t="n"/>
      <c r="S47" s="28" t="inlineStr">
        <is>
          <t>Idea</t>
        </is>
      </c>
      <c r="T47" s="28" t="n"/>
      <c r="U47" s="28" t="n"/>
      <c r="V47" s="28" t="n"/>
      <c r="W47" s="28" t="n"/>
      <c r="X47" s="28" t="n"/>
      <c r="Y47" s="28" t="n"/>
      <c r="Z47" s="24" t="n"/>
      <c r="AA47" s="24" t="n"/>
      <c r="AB47" s="24" t="inlineStr">
        <is>
          <t>Not designed yet</t>
        </is>
      </c>
    </row>
    <row r="48" ht="57.45" customHeight="1" s="14">
      <c r="A48" s="29" t="n">
        <v>46315</v>
      </c>
      <c r="B48" s="30" t="inlineStr">
        <is>
          <t>Tue</t>
        </is>
      </c>
      <c r="C48" s="30" t="n">
        <v>10</v>
      </c>
      <c r="D48" s="30" t="inlineStr">
        <is>
          <t>Fillers, Naturally</t>
        </is>
      </c>
      <c r="E48" s="30" t="inlineStr">
        <is>
          <t>Single Image</t>
        </is>
      </c>
      <c r="F48" s="24" t="inlineStr">
        <is>
          <t>Light</t>
        </is>
      </c>
      <c r="G48" s="30" t="inlineStr">
        <is>
          <t>IG + FB + TikTok photo + GBP</t>
        </is>
      </c>
      <c r="H48" s="30" t="inlineStr">
        <is>
          <t>Education</t>
        </is>
      </c>
      <c r="I48" s="30" t="inlineStr">
        <is>
          <t>The Filler Timeline | What happens as it fades.</t>
        </is>
      </c>
      <c r="J48" s="30" t="inlineStr">
        <is>
          <t>Filler does not vanish overnight and you will not deflate. It softens slowly, on a schedule you can plan around.
#dermalfiller #lipfiller #cheekfiller #naturalfiller #facialbalancing #lipfillernatural #aestheticnurse #medspa #fillerjourney #lipgoals</t>
        </is>
      </c>
      <c r="K48" s="30" t="inlineStr">
        <is>
          <t>Save this</t>
        </is>
      </c>
      <c r="L48" s="30" t="inlineStr">
        <is>
          <t>Set B</t>
        </is>
      </c>
      <c r="M48" s="30" t="inlineStr">
        <is>
          <t>Single image: timeline infographic card</t>
        </is>
      </c>
      <c r="N48" s="24" t="n"/>
      <c r="O48" s="24" t="n"/>
      <c r="P48" s="34" t="inlineStr">
        <is>
          <t>Open folder</t>
        </is>
      </c>
      <c r="Q48" s="24" t="inlineStr">
        <is>
          <t>Not designed yet</t>
        </is>
      </c>
      <c r="R48" s="24" t="n"/>
      <c r="S48" s="30" t="inlineStr">
        <is>
          <t>Idea</t>
        </is>
      </c>
      <c r="T48" s="30" t="n"/>
      <c r="U48" s="30" t="n"/>
      <c r="V48" s="30" t="n"/>
      <c r="W48" s="30" t="n"/>
      <c r="X48" s="30" t="n"/>
      <c r="Y48" s="30" t="n"/>
      <c r="Z48" s="24" t="n"/>
      <c r="AA48" s="24" t="n"/>
      <c r="AB48" s="24" t="inlineStr">
        <is>
          <t>Not designed yet</t>
        </is>
      </c>
    </row>
    <row r="49" ht="57.45" customHeight="1" s="14">
      <c r="A49" s="27" t="n">
        <v>46317</v>
      </c>
      <c r="B49" s="28" t="inlineStr">
        <is>
          <t>Thu</t>
        </is>
      </c>
      <c r="C49" s="28" t="n">
        <v>10</v>
      </c>
      <c r="D49" s="28" t="inlineStr">
        <is>
          <t>Fillers, Naturally</t>
        </is>
      </c>
      <c r="E49" s="28" t="inlineStr">
        <is>
          <t>Carousel</t>
        </is>
      </c>
      <c r="F49" s="24" t="inlineStr">
        <is>
          <t>Light</t>
        </is>
      </c>
      <c r="G49" s="28" t="inlineStr">
        <is>
          <t>Instagram feed + GBP</t>
        </is>
      </c>
      <c r="H49" s="28" t="inlineStr">
        <is>
          <t>Education</t>
        </is>
      </c>
      <c r="I49" s="28" t="inlineStr">
        <is>
          <t>Lip Filler Aftercare: Your First Week | Swelling is normal. Panic is optional.</t>
        </is>
      </c>
      <c r="J49" s="28" t="inlineStr">
        <is>
          <t>Day 1 looks different from day 7. Here is the honest day-by-day so you know exactly what is normal and when to reach out. Save this before your appointment.
#dermalfiller #lipfiller #cheekfiller #naturalfiller #facialbalancing #lipfillernatural #aestheticnurse #medspa #fillerjourney #lipgoals</t>
        </is>
      </c>
      <c r="K49" s="28" t="inlineStr">
        <is>
          <t>Save this guide</t>
        </is>
      </c>
      <c r="L49" s="28" t="inlineStr">
        <is>
          <t>Set B</t>
        </is>
      </c>
      <c r="M49" s="28" t="inlineStr">
        <is>
          <t>Carousel: day by day. Day zero card built from the img_9848 / img_9850 pair. Crop to treatment area, no faces</t>
        </is>
      </c>
      <c r="N49" s="24" t="inlineStr">
        <is>
          <t>img_9848 (before) + img_9850 (right after); img_7715, whatsapp composite</t>
        </is>
      </c>
      <c r="O49" s="24" t="inlineStr">
        <is>
          <t>On file</t>
        </is>
      </c>
      <c r="P49" s="32" t="inlineStr">
        <is>
          <t>Open folder</t>
        </is>
      </c>
      <c r="Q49" s="33" t="inlineStr">
        <is>
          <t>View image</t>
        </is>
      </c>
      <c r="R49" s="24">
        <f>IMAGE("https://raw.githubusercontent.com/RepoKing23/InstagramCarousel/claude/convert-images-jpg-5jeayb/content/2026-10-22-lip-filler-aftercare-your-first/images/day-zero-before-after.png")</f>
        <v/>
      </c>
      <c r="S49" s="28" t="inlineStr">
        <is>
          <t>Design</t>
        </is>
      </c>
      <c r="T49" s="28" t="n"/>
      <c r="U49" s="28" t="n"/>
      <c r="V49" s="28" t="n"/>
      <c r="W49" s="28" t="n"/>
      <c r="X49" s="28" t="n"/>
      <c r="Y49" s="28" t="n"/>
      <c r="Z49" s="24" t="n"/>
      <c r="AA49" s="24" t="n"/>
      <c r="AB49" s="24" t="inlineStr">
        <is>
          <t>Not designed yet</t>
        </is>
      </c>
    </row>
    <row r="50" ht="57.45" customHeight="1" s="14">
      <c r="A50" s="29" t="n">
        <v>46318</v>
      </c>
      <c r="B50" s="30" t="inlineStr">
        <is>
          <t>Fri</t>
        </is>
      </c>
      <c r="C50" s="30" t="n">
        <v>10</v>
      </c>
      <c r="D50" s="30" t="inlineStr">
        <is>
          <t>Fillers, Naturally</t>
        </is>
      </c>
      <c r="E50" s="30" t="inlineStr">
        <is>
          <t>Single Image</t>
        </is>
      </c>
      <c r="F50" s="24" t="inlineStr">
        <is>
          <t>Light</t>
        </is>
      </c>
      <c r="G50" s="30" t="inlineStr">
        <is>
          <t>IG + FB + TikTok photo + GBP</t>
        </is>
      </c>
      <c r="H50" s="30" t="inlineStr">
        <is>
          <t>Education</t>
        </is>
      </c>
      <c r="I50" s="30" t="inlineStr">
        <is>
          <t>Aftercare Essentials | Save this for after your appointment.</t>
        </is>
      </c>
      <c r="J50" s="30" t="inlineStr">
        <is>
          <t>Ice, no gym for 24 hours, sleep on your back, and message me with anything. That is it. Save this.
#dermalfiller #lipfiller #cheekfiller #naturalfiller #facialbalancing #lipfillernatural #aestheticnurse #medspa #fillerjourney #lipgoals</t>
        </is>
      </c>
      <c r="K50" s="30" t="inlineStr">
        <is>
          <t>Save + share</t>
        </is>
      </c>
      <c r="L50" s="30" t="inlineStr">
        <is>
          <t>Set B</t>
        </is>
      </c>
      <c r="M50" s="30" t="inlineStr">
        <is>
          <t>Single image: 4-point checklist card</t>
        </is>
      </c>
      <c r="N50" s="24" t="n"/>
      <c r="O50" s="24" t="n"/>
      <c r="P50" s="34" t="inlineStr">
        <is>
          <t>Open folder</t>
        </is>
      </c>
      <c r="Q50" s="24" t="inlineStr">
        <is>
          <t>Not designed yet</t>
        </is>
      </c>
      <c r="R50" s="24" t="n"/>
      <c r="S50" s="30" t="inlineStr">
        <is>
          <t>Idea</t>
        </is>
      </c>
      <c r="T50" s="30" t="n"/>
      <c r="U50" s="30" t="n"/>
      <c r="V50" s="30" t="n"/>
      <c r="W50" s="30" t="n"/>
      <c r="X50" s="30" t="n"/>
      <c r="Y50" s="30" t="n"/>
      <c r="Z50" s="24" t="n"/>
      <c r="AA50" s="24" t="n"/>
      <c r="AB50" s="24" t="inlineStr">
        <is>
          <t>Not designed yet</t>
        </is>
      </c>
    </row>
    <row r="51" ht="57.45" customHeight="1" s="14">
      <c r="A51" s="29" t="n">
        <v>46319</v>
      </c>
      <c r="B51" s="30" t="inlineStr">
        <is>
          <t>Sat</t>
        </is>
      </c>
      <c r="C51" s="30" t="n">
        <v>10</v>
      </c>
      <c r="D51" s="30" t="inlineStr">
        <is>
          <t>Fillers, Naturally</t>
        </is>
      </c>
      <c r="E51" s="30" t="inlineStr">
        <is>
          <t>Before/After</t>
        </is>
      </c>
      <c r="F51" s="24" t="inlineStr">
        <is>
          <t>Light</t>
        </is>
      </c>
      <c r="G51" s="30" t="inlineStr">
        <is>
          <t>IG + FB + TikTok photo + GBP</t>
        </is>
      </c>
      <c r="H51" s="30" t="inlineStr">
        <is>
          <t>Trust &amp; Proof</t>
        </is>
      </c>
      <c r="I51" s="30" t="inlineStr">
        <is>
          <t>Client Words: The Lip Glow-Up | Her words, her result.</t>
        </is>
      </c>
      <c r="J51" s="30" t="inlineStr">
        <is>
          <t>I finally got my lips done and nobody said filler. They said I looked prettier and could not say why. Here is the result she is talking about. Individual results vary. Shared with permission. 💛
#npinjector #nursepractitioner #medspalife #luxurybeauty #aestheticnurse #skincareexpert #beautyclinic #selfcare #naturalresults #honestbeauty</t>
        </is>
      </c>
      <c r="K51" s="30" t="inlineStr">
        <is>
          <t>Your turn. DM FILLER</t>
        </is>
      </c>
      <c r="L51" s="30" t="inlineStr">
        <is>
          <t>Set C</t>
        </is>
      </c>
      <c r="M51" s="30" t="inlineStr">
        <is>
          <t>Testimonial quote over before and after card. Crop to treatment area, no faces</t>
        </is>
      </c>
      <c r="N51" s="24" t="inlineStr">
        <is>
          <t>img_0962 (before), img_0998 (after)</t>
        </is>
      </c>
      <c r="O51" s="24" t="inlineStr">
        <is>
          <t>On file</t>
        </is>
      </c>
      <c r="P51" s="34" t="inlineStr">
        <is>
          <t>Open folder</t>
        </is>
      </c>
      <c r="Q51" s="33" t="inlineStr">
        <is>
          <t>View image</t>
        </is>
      </c>
      <c r="R51" s="24">
        <f>IMAGE("https://raw.githubusercontent.com/RepoKing23/InstagramCarousel/claude/convert-images-jpg-5jeayb/content/2026-10-24-client-words-the-lip-glow/images/before-after-result.png")</f>
        <v/>
      </c>
      <c r="S51" s="30" t="inlineStr">
        <is>
          <t>Ready</t>
        </is>
      </c>
      <c r="T51" s="30" t="n"/>
      <c r="U51" s="30" t="n"/>
      <c r="V51" s="30" t="n"/>
      <c r="W51" s="30" t="n"/>
      <c r="X51" s="30" t="n"/>
      <c r="Y51" s="30" t="n"/>
      <c r="Z51" s="24" t="n"/>
      <c r="AA51" s="24" t="n"/>
      <c r="AB51" s="24" t="inlineStr">
        <is>
          <t>Not designed yet</t>
        </is>
      </c>
    </row>
    <row r="52" ht="57.45" customHeight="1" s="14">
      <c r="A52" s="27" t="n">
        <v>46321</v>
      </c>
      <c r="B52" s="28" t="inlineStr">
        <is>
          <t>Mon</t>
        </is>
      </c>
      <c r="C52" s="28" t="n">
        <v>11</v>
      </c>
      <c r="D52" s="28" t="inlineStr">
        <is>
          <t>Fillers, Naturally</t>
        </is>
      </c>
      <c r="E52" s="28" t="inlineStr">
        <is>
          <t>Carousel</t>
        </is>
      </c>
      <c r="F52" s="24" t="inlineStr">
        <is>
          <t>Light</t>
        </is>
      </c>
      <c r="G52" s="28" t="inlineStr">
        <is>
          <t>Instagram feed + GBP</t>
        </is>
      </c>
      <c r="H52" s="28" t="inlineStr">
        <is>
          <t>Education</t>
        </is>
      </c>
      <c r="I52" s="28" t="inlineStr">
        <is>
          <t>5 Filler Lies You Still Believe | The sequel you asked for.</t>
        </is>
      </c>
      <c r="J52" s="28" t="inlineStr">
        <is>
          <t>You loved the Botox edition, so here is the filler truth round. Slide 4 is the one that surprises everyone. Share it with your group chat.
#dermalfiller #lipfiller #cheekfiller #naturalfiller #facialbalancing #lipfillernatural #aestheticnurse #medspa #fillerjourney #lipgoals</t>
        </is>
      </c>
      <c r="K52" s="28" t="inlineStr">
        <is>
          <t>Share with a friend</t>
        </is>
      </c>
      <c r="L52" s="28" t="inlineStr">
        <is>
          <t>Set B</t>
        </is>
      </c>
      <c r="M52" s="28" t="inlineStr">
        <is>
          <t>Design in editorial template. Sequel to Botox lies</t>
        </is>
      </c>
      <c r="N52" s="24" t="n"/>
      <c r="O52" s="24" t="n"/>
      <c r="P52" s="32" t="inlineStr">
        <is>
          <t>Open folder</t>
        </is>
      </c>
      <c r="Q52" s="24" t="inlineStr">
        <is>
          <t>Not designed yet</t>
        </is>
      </c>
      <c r="R52" s="24" t="n"/>
      <c r="S52" s="28" t="inlineStr">
        <is>
          <t>Idea</t>
        </is>
      </c>
      <c r="T52" s="28" t="n"/>
      <c r="U52" s="28" t="n"/>
      <c r="V52" s="28" t="n"/>
      <c r="W52" s="28" t="n"/>
      <c r="X52" s="28" t="n"/>
      <c r="Y52" s="28" t="n"/>
      <c r="Z52" s="24" t="n"/>
      <c r="AA52" s="24" t="n"/>
      <c r="AB52" s="24" t="inlineStr">
        <is>
          <t>Not designed yet</t>
        </is>
      </c>
    </row>
    <row r="53" ht="57.45" customHeight="1" s="14">
      <c r="A53" s="29" t="n">
        <v>46322</v>
      </c>
      <c r="B53" s="30" t="inlineStr">
        <is>
          <t>Tue</t>
        </is>
      </c>
      <c r="C53" s="30" t="n">
        <v>11</v>
      </c>
      <c r="D53" s="30" t="inlineStr">
        <is>
          <t>Fillers, Naturally</t>
        </is>
      </c>
      <c r="E53" s="30" t="inlineStr">
        <is>
          <t>Single Image</t>
        </is>
      </c>
      <c r="F53" s="24" t="inlineStr">
        <is>
          <t>Light</t>
        </is>
      </c>
      <c r="G53" s="30" t="inlineStr">
        <is>
          <t>IG + FB + TikTok photo + GBP</t>
        </is>
      </c>
      <c r="H53" s="30" t="inlineStr">
        <is>
          <t>Education</t>
        </is>
      </c>
      <c r="I53" s="30" t="inlineStr">
        <is>
          <t>Myth vs Truth: Filler Edition | The one everyone believes.</t>
        </is>
      </c>
      <c r="J53" s="30" t="inlineStr">
        <is>
          <t>MYTH: filler stretches your lips forever. TRUTH: treated well, your lips return to baseline as filler softens.
#dermalfiller #lipfiller #cheekfiller #naturalfiller #facialbalancing #lipfillernatural #aestheticnurse #medspa #fillerjourney #lipgoals</t>
        </is>
      </c>
      <c r="K53" s="30" t="inlineStr">
        <is>
          <t>Full carousel on our feed</t>
        </is>
      </c>
      <c r="L53" s="30" t="inlineStr">
        <is>
          <t>Set B</t>
        </is>
      </c>
      <c r="M53" s="30" t="inlineStr">
        <is>
          <t>Single image: myth vs truth split card</t>
        </is>
      </c>
      <c r="N53" s="24" t="n"/>
      <c r="O53" s="24" t="n"/>
      <c r="P53" s="34" t="inlineStr">
        <is>
          <t>Open folder</t>
        </is>
      </c>
      <c r="Q53" s="24" t="inlineStr">
        <is>
          <t>Not designed yet</t>
        </is>
      </c>
      <c r="R53" s="24" t="n"/>
      <c r="S53" s="30" t="inlineStr">
        <is>
          <t>Idea</t>
        </is>
      </c>
      <c r="T53" s="30" t="n"/>
      <c r="U53" s="30" t="n"/>
      <c r="V53" s="30" t="n"/>
      <c r="W53" s="30" t="n"/>
      <c r="X53" s="30" t="n"/>
      <c r="Y53" s="30" t="n"/>
      <c r="Z53" s="24" t="n"/>
      <c r="AA53" s="24" t="n"/>
      <c r="AB53" s="24" t="inlineStr">
        <is>
          <t>Not designed yet</t>
        </is>
      </c>
    </row>
    <row r="54" ht="57.45" customHeight="1" s="14">
      <c r="A54" s="27" t="n">
        <v>46324</v>
      </c>
      <c r="B54" s="28" t="inlineStr">
        <is>
          <t>Thu</t>
        </is>
      </c>
      <c r="C54" s="28" t="n">
        <v>11</v>
      </c>
      <c r="D54" s="28" t="inlineStr">
        <is>
          <t>Fillers, Naturally</t>
        </is>
      </c>
      <c r="E54" s="28" t="inlineStr">
        <is>
          <t>Carousel</t>
        </is>
      </c>
      <c r="F54" s="24" t="inlineStr">
        <is>
          <t>Light</t>
        </is>
      </c>
      <c r="G54" s="28" t="inlineStr">
        <is>
          <t>Instagram feed + GBP</t>
        </is>
      </c>
      <c r="H54" s="28" t="inlineStr">
        <is>
          <t>Trust &amp; Proof</t>
        </is>
      </c>
      <c r="I54" s="28" t="inlineStr">
        <is>
          <t>Facial Balancing: Why We Treat Faces, Not Lines | Chasing lines is old school.</t>
        </is>
      </c>
      <c r="J54" s="28" t="inlineStr">
        <is>
          <t>Great aesthetics looks at the whole face: proportions, balance, harmony. Here is why the best results come from a plan, not a single syringe.
#dermalfiller #lipfiller #cheekfiller #naturalfiller #facialbalancing #lipfillernatural #aestheticnurse #medspa #fillerjourney #lipgoals</t>
        </is>
      </c>
      <c r="K54" s="28" t="inlineStr">
        <is>
          <t>DM BALANCE for a consult</t>
        </is>
      </c>
      <c r="L54" s="28" t="inlineStr">
        <is>
          <t>Set B</t>
        </is>
      </c>
      <c r="M54" s="28" t="inlineStr">
        <is>
          <t>Design in editorial template</t>
        </is>
      </c>
      <c r="N54" s="24" t="n"/>
      <c r="O54" s="24" t="n"/>
      <c r="P54" s="32" t="inlineStr">
        <is>
          <t>Open folder</t>
        </is>
      </c>
      <c r="Q54" s="24" t="inlineStr">
        <is>
          <t>Not designed yet</t>
        </is>
      </c>
      <c r="R54" s="24" t="n"/>
      <c r="S54" s="28" t="inlineStr">
        <is>
          <t>Idea</t>
        </is>
      </c>
      <c r="T54" s="28" t="n"/>
      <c r="U54" s="28" t="n"/>
      <c r="V54" s="28" t="n"/>
      <c r="W54" s="28" t="n"/>
      <c r="X54" s="28" t="n"/>
      <c r="Y54" s="28" t="n"/>
      <c r="Z54" s="24" t="n"/>
      <c r="AA54" s="24" t="n"/>
      <c r="AB54" s="24" t="inlineStr">
        <is>
          <t>Not designed yet</t>
        </is>
      </c>
    </row>
    <row r="55" ht="57.45" customHeight="1" s="14">
      <c r="A55" s="29" t="n">
        <v>46325</v>
      </c>
      <c r="B55" s="30" t="inlineStr">
        <is>
          <t>Fri</t>
        </is>
      </c>
      <c r="C55" s="30" t="n">
        <v>11</v>
      </c>
      <c r="D55" s="30" t="inlineStr">
        <is>
          <t>Fillers, Naturally</t>
        </is>
      </c>
      <c r="E55" s="30" t="inlineStr">
        <is>
          <t>Before/After</t>
        </is>
      </c>
      <c r="F55" s="24" t="inlineStr">
        <is>
          <t>Light</t>
        </is>
      </c>
      <c r="G55" s="30" t="inlineStr">
        <is>
          <t>IG + FB + TikTok photo + GBP</t>
        </is>
      </c>
      <c r="H55" s="30" t="inlineStr">
        <is>
          <t>Trust &amp; Proof</t>
        </is>
      </c>
      <c r="I55" s="30" t="inlineStr">
        <is>
          <t>One Syringe. Balanced Lips. | Faces, not lines.</t>
        </is>
      </c>
      <c r="J55" s="30" t="inlineStr">
        <is>
          <t>Chasing individual lines is old school. Balance is why my clients look rested instead of done. One syringe, placed where her lip actually needed it. Individual results vary. Shared with consent.
#dermalfiller #lipfiller #cheekfiller #naturalfiller #facialbalancing #lipfillernatural #aestheticnurse #medspa #fillerjourney #lipgoals</t>
        </is>
      </c>
      <c r="K55" s="30" t="inlineStr">
        <is>
          <t>Book a consult. Link in bio</t>
        </is>
      </c>
      <c r="L55" s="30" t="inlineStr">
        <is>
          <t>Set B</t>
        </is>
      </c>
      <c r="M55" s="30" t="inlineStr">
        <is>
          <t>Before and after card in editorial template. Crop to treatment area, no faces</t>
        </is>
      </c>
      <c r="N55" s="24" t="inlineStr">
        <is>
          <t>img_0221 (before), img_0233 (after)</t>
        </is>
      </c>
      <c r="O55" s="24" t="inlineStr">
        <is>
          <t>On file</t>
        </is>
      </c>
      <c r="P55" s="34" t="inlineStr">
        <is>
          <t>Open folder</t>
        </is>
      </c>
      <c r="Q55" s="33" t="inlineStr">
        <is>
          <t>View image</t>
        </is>
      </c>
      <c r="R55" s="24">
        <f>IMAGE("https://raw.githubusercontent.com/RepoKing23/InstagramCarousel/claude/convert-images-jpg-5jeayb/content/2026-10-30-one-syringe-balanced-lips/images/before-after-result.png")</f>
        <v/>
      </c>
      <c r="S55" s="30" t="inlineStr">
        <is>
          <t>Ready</t>
        </is>
      </c>
      <c r="T55" s="30" t="n"/>
      <c r="U55" s="30" t="n"/>
      <c r="V55" s="30" t="n"/>
      <c r="W55" s="30" t="n"/>
      <c r="X55" s="30" t="n"/>
      <c r="Y55" s="30" t="n"/>
      <c r="Z55" s="24" t="n"/>
      <c r="AA55" s="24" t="n"/>
      <c r="AB55" s="24" t="inlineStr">
        <is>
          <t>Not designed yet</t>
        </is>
      </c>
    </row>
    <row r="56" ht="57.45" customHeight="1" s="14">
      <c r="A56" s="29" t="n">
        <v>46326</v>
      </c>
      <c r="B56" s="30" t="inlineStr">
        <is>
          <t>Sat</t>
        </is>
      </c>
      <c r="C56" s="30" t="n">
        <v>11</v>
      </c>
      <c r="D56" s="30" t="inlineStr">
        <is>
          <t>Fillers, Naturally</t>
        </is>
      </c>
      <c r="E56" s="30" t="inlineStr">
        <is>
          <t>Single Image</t>
        </is>
      </c>
      <c r="F56" s="24" t="inlineStr">
        <is>
          <t>Light</t>
        </is>
      </c>
      <c r="G56" s="30" t="inlineStr">
        <is>
          <t>IG + FB + TikTok photo + GBP</t>
        </is>
      </c>
      <c r="H56" s="30" t="inlineStr">
        <is>
          <t>Personality &amp; BTS</t>
        </is>
      </c>
      <c r="I56" s="30" t="inlineStr">
        <is>
          <t>Ask Anything: Filler Edition | Engagement post.</t>
        </is>
      </c>
      <c r="J56" s="30" t="inlineStr">
        <is>
          <t>Filler month is almost over. Drop every remaining question below and I will answer all of them. No judgment. 👇
#npinjector #nursepractitioner #medspalife #luxurybeauty #aestheticnurse #skincareexpert #beautyclinic #selfcare #naturalresults #honestbeauty</t>
        </is>
      </c>
      <c r="K56" s="30" t="inlineStr">
        <is>
          <t>Comment your question</t>
        </is>
      </c>
      <c r="L56" s="30" t="inlineStr">
        <is>
          <t>Set C</t>
        </is>
      </c>
      <c r="M56" s="30" t="inlineStr">
        <is>
          <t>Engagement card in brand style</t>
        </is>
      </c>
      <c r="N56" s="24" t="n"/>
      <c r="O56" s="24" t="n"/>
      <c r="P56" s="34" t="inlineStr">
        <is>
          <t>Open folder</t>
        </is>
      </c>
      <c r="Q56" s="24" t="inlineStr">
        <is>
          <t>Not designed yet</t>
        </is>
      </c>
      <c r="R56" s="24" t="n"/>
      <c r="S56" s="30" t="inlineStr">
        <is>
          <t>Idea</t>
        </is>
      </c>
      <c r="T56" s="30" t="n"/>
      <c r="U56" s="30" t="n"/>
      <c r="V56" s="30" t="n"/>
      <c r="W56" s="30" t="n"/>
      <c r="X56" s="30" t="n"/>
      <c r="Y56" s="30" t="n"/>
      <c r="Z56" s="24" t="n"/>
      <c r="AA56" s="24" t="n"/>
      <c r="AB56" s="24" t="inlineStr">
        <is>
          <t>Not designed yet</t>
        </is>
      </c>
    </row>
    <row r="57" ht="57.45" customHeight="1" s="14">
      <c r="A57" s="27" t="n">
        <v>46328</v>
      </c>
      <c r="B57" s="28" t="inlineStr">
        <is>
          <t>Mon</t>
        </is>
      </c>
      <c r="C57" s="28" t="n">
        <v>12</v>
      </c>
      <c r="D57" s="28" t="inlineStr">
        <is>
          <t>Rested by the Holidays</t>
        </is>
      </c>
      <c r="E57" s="28" t="inlineStr">
        <is>
          <t>Carousel</t>
        </is>
      </c>
      <c r="F57" s="24" t="inlineStr">
        <is>
          <t>Light</t>
        </is>
      </c>
      <c r="G57" s="28" t="inlineStr">
        <is>
          <t>Instagram feed + GBP</t>
        </is>
      </c>
      <c r="H57" s="28" t="inlineStr">
        <is>
          <t>Promo &amp; CTA</t>
        </is>
      </c>
      <c r="I57" s="28" t="inlineStr">
        <is>
          <t>Rested by the Holidays: Your Treatment Timeline | Party season is closer than you think.</t>
        </is>
      </c>
      <c r="J57" s="28" t="inlineStr">
        <is>
          <t>Botox needs 2 weeks to settle. Filler needs up to 4. If you want to glow in the December photos, here is exactly when to book each treatment. 🗓️
#holidayglow #treatyourself #giftcertificate #bookyourappointment #medspaspecial #glowupseason #selfcaregift #luxuryselfcare #holidayready #giftideas</t>
        </is>
      </c>
      <c r="K57" s="28" t="inlineStr">
        <is>
          <t>Book now. Link in bio</t>
        </is>
      </c>
      <c r="L57" s="28" t="inlineStr">
        <is>
          <t>Set E</t>
        </is>
      </c>
      <c r="M57" s="28" t="inlineStr">
        <is>
          <t>Design holiday timeline layout</t>
        </is>
      </c>
      <c r="N57" s="24" t="n"/>
      <c r="O57" s="24" t="n"/>
      <c r="P57" s="32" t="inlineStr">
        <is>
          <t>Open folder</t>
        </is>
      </c>
      <c r="Q57" s="24" t="inlineStr">
        <is>
          <t>Not designed yet</t>
        </is>
      </c>
      <c r="R57" s="24" t="n"/>
      <c r="S57" s="28" t="inlineStr">
        <is>
          <t>Idea</t>
        </is>
      </c>
      <c r="T57" s="28" t="n"/>
      <c r="U57" s="28" t="n"/>
      <c r="V57" s="28" t="n"/>
      <c r="W57" s="28" t="n"/>
      <c r="X57" s="28" t="n"/>
      <c r="Y57" s="28" t="n"/>
      <c r="Z57" s="24" t="n"/>
      <c r="AA57" s="24" t="n"/>
      <c r="AB57" s="24" t="inlineStr">
        <is>
          <t>Not designed yet</t>
        </is>
      </c>
    </row>
    <row r="58" ht="57.45" customHeight="1" s="14">
      <c r="A58" s="29" t="n">
        <v>46329</v>
      </c>
      <c r="B58" s="30" t="inlineStr">
        <is>
          <t>Tue</t>
        </is>
      </c>
      <c r="C58" s="30" t="n">
        <v>12</v>
      </c>
      <c r="D58" s="30" t="inlineStr">
        <is>
          <t>Rested by the Holidays</t>
        </is>
      </c>
      <c r="E58" s="30" t="inlineStr">
        <is>
          <t>Single Image</t>
        </is>
      </c>
      <c r="F58" s="24" t="inlineStr">
        <is>
          <t>Light</t>
        </is>
      </c>
      <c r="G58" s="30" t="inlineStr">
        <is>
          <t>IG + FB + TikTok photo + GBP</t>
        </is>
      </c>
      <c r="H58" s="30" t="inlineStr">
        <is>
          <t>Promo &amp; CTA</t>
        </is>
      </c>
      <c r="I58" s="30" t="inlineStr">
        <is>
          <t>Holiday Countdown: Book by These Dates | Work backwards from party season.</t>
        </is>
      </c>
      <c r="J58" s="30" t="inlineStr">
        <is>
          <t>Botox needs 2 weeks. Filler needs 4. If you want to glow in the December photos, these are your deadlines. 🗓️
#holidayglow #treatyourself #giftcertificate #bookyourappointment #medspaspecial #glowupseason #selfcaregift #luxuryselfcare #holidayready #giftideas</t>
        </is>
      </c>
      <c r="K58" s="30" t="inlineStr">
        <is>
          <t>Book now. Link in bio</t>
        </is>
      </c>
      <c r="L58" s="30" t="inlineStr">
        <is>
          <t>Set E</t>
        </is>
      </c>
      <c r="M58" s="30" t="inlineStr">
        <is>
          <t>Single image: countdown-dates card</t>
        </is>
      </c>
      <c r="N58" s="24" t="n"/>
      <c r="O58" s="24" t="n"/>
      <c r="P58" s="34" t="inlineStr">
        <is>
          <t>Open folder</t>
        </is>
      </c>
      <c r="Q58" s="24" t="inlineStr">
        <is>
          <t>Not designed yet</t>
        </is>
      </c>
      <c r="R58" s="24" t="n"/>
      <c r="S58" s="30" t="inlineStr">
        <is>
          <t>Idea</t>
        </is>
      </c>
      <c r="T58" s="30" t="n"/>
      <c r="U58" s="30" t="n"/>
      <c r="V58" s="30" t="n"/>
      <c r="W58" s="30" t="n"/>
      <c r="X58" s="30" t="n"/>
      <c r="Y58" s="30" t="n"/>
      <c r="Z58" s="24" t="n"/>
      <c r="AA58" s="24" t="n"/>
      <c r="AB58" s="24" t="inlineStr">
        <is>
          <t>Not designed yet</t>
        </is>
      </c>
    </row>
    <row r="59" ht="57.45" customHeight="1" s="14">
      <c r="A59" s="27" t="n">
        <v>46331</v>
      </c>
      <c r="B59" s="28" t="inlineStr">
        <is>
          <t>Thu</t>
        </is>
      </c>
      <c r="C59" s="28" t="n">
        <v>12</v>
      </c>
      <c r="D59" s="28" t="inlineStr">
        <is>
          <t>Rested by the Holidays</t>
        </is>
      </c>
      <c r="E59" s="28" t="inlineStr">
        <is>
          <t>Carousel</t>
        </is>
      </c>
      <c r="F59" s="24" t="inlineStr">
        <is>
          <t>Light</t>
        </is>
      </c>
      <c r="G59" s="28" t="inlineStr">
        <is>
          <t>Instagram feed + GBP</t>
        </is>
      </c>
      <c r="H59" s="28" t="inlineStr">
        <is>
          <t>Promo &amp; CTA</t>
        </is>
      </c>
      <c r="I59" s="28" t="inlineStr">
        <is>
          <t>Party Season Prep: What to Book and When | Your holiday glow, planned backwards.</t>
        </is>
      </c>
      <c r="J59" s="28" t="inlineStr">
        <is>
          <t>Work back from your event date and nothing is rushed, nothing is swollen, and everything looks like you. Here is the smart booking order.
#holidayglow #treatyourself #giftcertificate #bookyourappointment #medspaspecial #glowupseason #selfcaregift #luxuryselfcare #holidayready #giftideas</t>
        </is>
      </c>
      <c r="K59" s="28" t="inlineStr">
        <is>
          <t>DM HOLIDAY to book</t>
        </is>
      </c>
      <c r="L59" s="28" t="inlineStr">
        <is>
          <t>Set E</t>
        </is>
      </c>
      <c r="M59" s="28" t="inlineStr">
        <is>
          <t>Design in editorial template</t>
        </is>
      </c>
      <c r="N59" s="24" t="n"/>
      <c r="O59" s="24" t="n"/>
      <c r="P59" s="32" t="inlineStr">
        <is>
          <t>Open folder</t>
        </is>
      </c>
      <c r="Q59" s="24" t="inlineStr">
        <is>
          <t>Not designed yet</t>
        </is>
      </c>
      <c r="R59" s="24" t="n"/>
      <c r="S59" s="28" t="inlineStr">
        <is>
          <t>Idea</t>
        </is>
      </c>
      <c r="T59" s="28" t="n"/>
      <c r="U59" s="28" t="n"/>
      <c r="V59" s="28" t="n"/>
      <c r="W59" s="28" t="n"/>
      <c r="X59" s="28" t="n"/>
      <c r="Y59" s="28" t="n"/>
      <c r="Z59" s="24" t="n"/>
      <c r="AA59" s="24" t="n"/>
      <c r="AB59" s="24" t="inlineStr">
        <is>
          <t>Not designed yet</t>
        </is>
      </c>
    </row>
    <row r="60" ht="57.45" customHeight="1" s="14">
      <c r="A60" s="29" t="n">
        <v>46332</v>
      </c>
      <c r="B60" s="30" t="inlineStr">
        <is>
          <t>Fri</t>
        </is>
      </c>
      <c r="C60" s="30" t="n">
        <v>12</v>
      </c>
      <c r="D60" s="30" t="inlineStr">
        <is>
          <t>Rested by the Holidays</t>
        </is>
      </c>
      <c r="E60" s="30" t="inlineStr">
        <is>
          <t>Carousel</t>
        </is>
      </c>
      <c r="F60" s="24" t="inlineStr">
        <is>
          <t>Light</t>
        </is>
      </c>
      <c r="G60" s="30" t="inlineStr">
        <is>
          <t>Instagram feed + GBP</t>
        </is>
      </c>
      <c r="H60" s="30" t="inlineStr">
        <is>
          <t>Trust &amp; Proof</t>
        </is>
      </c>
      <c r="I60" s="30" t="inlineStr">
        <is>
          <t>One Result, Every Angle | No flattering angle. Every angle.</t>
        </is>
      </c>
      <c r="J60" s="30" t="inlineStr">
        <is>
          <t>Anyone can find one good angle. This is the same client, same lips, six angles, fully healed. That is the whole test. Individual results vary. Shared with consent.
#dermalfiller #lipfiller #cheekfiller #naturalfiller #facialbalancing #lipfillernatural #aestheticnurse #medspa #fillerjourney #lipgoals</t>
        </is>
      </c>
      <c r="K60" s="30" t="inlineStr">
        <is>
          <t>DM LIPS to book</t>
        </is>
      </c>
      <c r="L60" s="30" t="inlineStr">
        <is>
          <t>Set B</t>
        </is>
      </c>
      <c r="M60" s="30" t="inlineStr">
        <is>
          <t>Carousel: 6 angles of one healed result. Crop to treatment area, no faces</t>
        </is>
      </c>
      <c r="N60" s="24" t="inlineStr">
        <is>
          <t>img_4775, 4777, 4778, 4780, 4781, 4782</t>
        </is>
      </c>
      <c r="O60" s="24" t="inlineStr">
        <is>
          <t>On file</t>
        </is>
      </c>
      <c r="P60" s="34" t="inlineStr">
        <is>
          <t>Open folder</t>
        </is>
      </c>
      <c r="Q60" s="33" t="inlineStr">
        <is>
          <t>View 7 slides</t>
        </is>
      </c>
      <c r="R60" s="24">
        <f>IMAGE("https://raw.githubusercontent.com/RepoKing23/InstagramCarousel/claude/convert-images-jpg-5jeayb/content/2026-11-06-one-result-every-angle/images/slide-1.png")</f>
        <v/>
      </c>
      <c r="S60" s="30" t="inlineStr">
        <is>
          <t>Ready</t>
        </is>
      </c>
      <c r="T60" s="30" t="n"/>
      <c r="U60" s="30" t="n"/>
      <c r="V60" s="30" t="n"/>
      <c r="W60" s="30" t="n"/>
      <c r="X60" s="30" t="n"/>
      <c r="Y60" s="30" t="n"/>
      <c r="Z60" s="24" t="n"/>
      <c r="AA60" s="24" t="n"/>
      <c r="AB60" s="24" t="inlineStr">
        <is>
          <t>Not designed yet</t>
        </is>
      </c>
    </row>
    <row r="61" ht="57.45" customHeight="1" s="14">
      <c r="A61" s="29" t="n">
        <v>46333</v>
      </c>
      <c r="B61" s="30" t="inlineStr">
        <is>
          <t>Sat</t>
        </is>
      </c>
      <c r="C61" s="30" t="n">
        <v>12</v>
      </c>
      <c r="D61" s="30" t="inlineStr">
        <is>
          <t>Rested by the Holidays</t>
        </is>
      </c>
      <c r="E61" s="30" t="inlineStr">
        <is>
          <t>Single Image</t>
        </is>
      </c>
      <c r="F61" s="24" t="inlineStr">
        <is>
          <t>Light</t>
        </is>
      </c>
      <c r="G61" s="30" t="inlineStr">
        <is>
          <t>IG + FB + TikTok photo + GBP</t>
        </is>
      </c>
      <c r="H61" s="30" t="inlineStr">
        <is>
          <t>Promo &amp; CTA</t>
        </is>
      </c>
      <c r="I61" s="30" t="inlineStr">
        <is>
          <t>Quote: Book the Appointment | Seasonal self-care push.</t>
        </is>
      </c>
      <c r="J61" s="30" t="inlineStr">
        <is>
          <t>You cannot pour from an empty cup. Book the appointment. Take the hour. You have earned it. 💛
#holidayglow #treatyourself #giftcertificate #bookyourappointment #medspaspecial #glowupseason #selfcaregift #luxuryselfcare #holidayready #giftideas</t>
        </is>
      </c>
      <c r="K61" s="30" t="inlineStr">
        <is>
          <t>Link in bio</t>
        </is>
      </c>
      <c r="L61" s="30" t="inlineStr">
        <is>
          <t>Set E</t>
        </is>
      </c>
      <c r="M61" s="30" t="inlineStr">
        <is>
          <t>Quote card in brand style</t>
        </is>
      </c>
      <c r="N61" s="24" t="n"/>
      <c r="O61" s="24" t="n"/>
      <c r="P61" s="34" t="inlineStr">
        <is>
          <t>Open folder</t>
        </is>
      </c>
      <c r="Q61" s="24" t="inlineStr">
        <is>
          <t>Not designed yet</t>
        </is>
      </c>
      <c r="R61" s="24" t="n"/>
      <c r="S61" s="30" t="inlineStr">
        <is>
          <t>Idea</t>
        </is>
      </c>
      <c r="T61" s="30" t="n"/>
      <c r="U61" s="30" t="n"/>
      <c r="V61" s="30" t="n"/>
      <c r="W61" s="30" t="n"/>
      <c r="X61" s="30" t="n"/>
      <c r="Y61" s="30" t="n"/>
      <c r="Z61" s="24" t="n"/>
      <c r="AA61" s="24" t="n"/>
      <c r="AB61" s="24" t="inlineStr">
        <is>
          <t>Not designed yet</t>
        </is>
      </c>
    </row>
    <row r="62" ht="57.45" customHeight="1" s="14">
      <c r="A62" s="27" t="n">
        <v>46335</v>
      </c>
      <c r="B62" s="28" t="inlineStr">
        <is>
          <t>Mon</t>
        </is>
      </c>
      <c r="C62" s="28" t="n">
        <v>13</v>
      </c>
      <c r="D62" s="28" t="inlineStr">
        <is>
          <t>Rested by the Holidays</t>
        </is>
      </c>
      <c r="E62" s="28" t="inlineStr">
        <is>
          <t>Carousel</t>
        </is>
      </c>
      <c r="F62" s="24" t="inlineStr">
        <is>
          <t>Light</t>
        </is>
      </c>
      <c r="G62" s="28" t="inlineStr">
        <is>
          <t>Instagram feed + GBP</t>
        </is>
      </c>
      <c r="H62" s="28" t="inlineStr">
        <is>
          <t>Promo &amp; CTA</t>
        </is>
      </c>
      <c r="I62" s="28" t="inlineStr">
        <is>
          <t>The Gift of Glow: Gift Certificates Are Here | The present nobody returns.</t>
        </is>
      </c>
      <c r="J62" s="28" t="inlineStr">
        <is>
          <t>Give the people you love something they actually want. Luxury Beauty gift certificates are available in any amount, wrapped and ready. 🎁
#holidayglow #treatyourself #giftcertificate #bookyourappointment #medspaspecial #glowupseason #selfcaregift #luxuryselfcare #holidayready #giftideas</t>
        </is>
      </c>
      <c r="K62" s="28" t="inlineStr">
        <is>
          <t>DM GIFT to order</t>
        </is>
      </c>
      <c r="L62" s="28" t="inlineStr">
        <is>
          <t>Set E</t>
        </is>
      </c>
      <c r="M62" s="28" t="inlineStr">
        <is>
          <t>Design gift certificate reveal layout</t>
        </is>
      </c>
      <c r="N62" s="24" t="n"/>
      <c r="O62" s="24" t="n"/>
      <c r="P62" s="32" t="inlineStr">
        <is>
          <t>Open folder</t>
        </is>
      </c>
      <c r="Q62" s="24" t="inlineStr">
        <is>
          <t>Not designed yet</t>
        </is>
      </c>
      <c r="R62" s="24" t="n"/>
      <c r="S62" s="28" t="inlineStr">
        <is>
          <t>Idea</t>
        </is>
      </c>
      <c r="T62" s="28" t="n"/>
      <c r="U62" s="28" t="n"/>
      <c r="V62" s="28" t="n"/>
      <c r="W62" s="28" t="n"/>
      <c r="X62" s="28" t="n"/>
      <c r="Y62" s="28" t="n"/>
      <c r="Z62" s="24" t="n"/>
      <c r="AA62" s="24" t="n"/>
      <c r="AB62" s="24" t="inlineStr">
        <is>
          <t>Not designed yet</t>
        </is>
      </c>
    </row>
    <row r="63" ht="57.45" customHeight="1" s="14">
      <c r="A63" s="29" t="n">
        <v>46336</v>
      </c>
      <c r="B63" s="30" t="inlineStr">
        <is>
          <t>Tue</t>
        </is>
      </c>
      <c r="C63" s="30" t="n">
        <v>13</v>
      </c>
      <c r="D63" s="30" t="inlineStr">
        <is>
          <t>Rested by the Holidays</t>
        </is>
      </c>
      <c r="E63" s="30" t="inlineStr">
        <is>
          <t>Single Image</t>
        </is>
      </c>
      <c r="F63" s="24" t="inlineStr">
        <is>
          <t>Light</t>
        </is>
      </c>
      <c r="G63" s="30" t="inlineStr">
        <is>
          <t>IG + FB + TikTok photo + GBP</t>
        </is>
      </c>
      <c r="H63" s="30" t="inlineStr">
        <is>
          <t>Promo &amp; CTA</t>
        </is>
      </c>
      <c r="I63" s="30" t="inlineStr">
        <is>
          <t>Gift Certificates Are Here | The present nobody returns.</t>
        </is>
      </c>
      <c r="J63" s="30" t="inlineStr">
        <is>
          <t>In any amount, wrapped and beautiful. Give the people you love something they actually want. 🎁
#holidayglow #treatyourself #giftcertificate #bookyourappointment #medspaspecial #glowupseason #selfcaregift #luxuryselfcare #holidayready #giftideas</t>
        </is>
      </c>
      <c r="K63" s="30" t="inlineStr">
        <is>
          <t>DM GIFT to order</t>
        </is>
      </c>
      <c r="L63" s="30" t="inlineStr">
        <is>
          <t>Set E</t>
        </is>
      </c>
      <c r="M63" s="30" t="inlineStr">
        <is>
          <t>Single image: gift certificate photo + hook</t>
        </is>
      </c>
      <c r="N63" s="24" t="n"/>
      <c r="O63" s="24" t="n"/>
      <c r="P63" s="34" t="inlineStr">
        <is>
          <t>Open folder</t>
        </is>
      </c>
      <c r="Q63" s="24" t="inlineStr">
        <is>
          <t>Not designed yet</t>
        </is>
      </c>
      <c r="R63" s="24" t="n"/>
      <c r="S63" s="30" t="inlineStr">
        <is>
          <t>Idea</t>
        </is>
      </c>
      <c r="T63" s="30" t="n"/>
      <c r="U63" s="30" t="n"/>
      <c r="V63" s="30" t="n"/>
      <c r="W63" s="30" t="n"/>
      <c r="X63" s="30" t="n"/>
      <c r="Y63" s="30" t="n"/>
      <c r="Z63" s="24" t="n"/>
      <c r="AA63" s="24" t="n"/>
      <c r="AB63" s="24" t="inlineStr">
        <is>
          <t>Not designed yet</t>
        </is>
      </c>
    </row>
    <row r="64" ht="57.45" customHeight="1" s="14">
      <c r="A64" s="27" t="n">
        <v>46338</v>
      </c>
      <c r="B64" s="28" t="inlineStr">
        <is>
          <t>Thu</t>
        </is>
      </c>
      <c r="C64" s="28" t="n">
        <v>13</v>
      </c>
      <c r="D64" s="28" t="inlineStr">
        <is>
          <t>Rested by the Holidays</t>
        </is>
      </c>
      <c r="E64" s="28" t="inlineStr">
        <is>
          <t>Carousel</t>
        </is>
      </c>
      <c r="F64" s="24" t="inlineStr">
        <is>
          <t>Light</t>
        </is>
      </c>
      <c r="G64" s="28" t="inlineStr">
        <is>
          <t>Instagram feed + GBP</t>
        </is>
      </c>
      <c r="H64" s="28" t="inlineStr">
        <is>
          <t>Trust &amp; Proof</t>
        </is>
      </c>
      <c r="I64" s="28" t="inlineStr">
        <is>
          <t>3 Months of Honest Answers: The Recap | Real education. Real results. Thank you.</t>
        </is>
      </c>
      <c r="J64" s="28" t="inlineStr">
        <is>
          <t>Since August we have busted myths, answered your questions, and kept every promise about natural results. Here are the posts you loved most, in case you missed one. 💛
#npinjector #nursepractitioner #medspalife #luxurybeauty #aestheticnurse #skincareexpert #beautyclinic #selfcare #naturalresults #honestbeauty</t>
        </is>
      </c>
      <c r="K64" s="28" t="inlineStr">
        <is>
          <t>Follow for what is next</t>
        </is>
      </c>
      <c r="L64" s="28" t="inlineStr">
        <is>
          <t>Set C</t>
        </is>
      </c>
      <c r="M64" s="28" t="inlineStr">
        <is>
          <t>Compile top slides from past carousels</t>
        </is>
      </c>
      <c r="N64" s="24" t="n"/>
      <c r="O64" s="24" t="n"/>
      <c r="P64" s="32" t="inlineStr">
        <is>
          <t>Open folder</t>
        </is>
      </c>
      <c r="Q64" s="24" t="inlineStr">
        <is>
          <t>Not designed yet</t>
        </is>
      </c>
      <c r="R64" s="24" t="n"/>
      <c r="S64" s="28" t="inlineStr">
        <is>
          <t>Idea</t>
        </is>
      </c>
      <c r="T64" s="28" t="n"/>
      <c r="U64" s="28" t="n"/>
      <c r="V64" s="28" t="n"/>
      <c r="W64" s="28" t="n"/>
      <c r="X64" s="28" t="n"/>
      <c r="Y64" s="28" t="n"/>
      <c r="Z64" s="24" t="n"/>
      <c r="AA64" s="24" t="n"/>
      <c r="AB64" s="24" t="inlineStr">
        <is>
          <t>Not designed yet</t>
        </is>
      </c>
    </row>
    <row r="65" ht="57.45" customHeight="1" s="14">
      <c r="A65" s="29" t="n">
        <v>46339</v>
      </c>
      <c r="B65" s="30" t="inlineStr">
        <is>
          <t>Fri</t>
        </is>
      </c>
      <c r="C65" s="30" t="n">
        <v>13</v>
      </c>
      <c r="D65" s="30" t="inlineStr">
        <is>
          <t>Rested by the Holidays</t>
        </is>
      </c>
      <c r="E65" s="30" t="inlineStr">
        <is>
          <t>Single Image</t>
        </is>
      </c>
      <c r="F65" s="24" t="inlineStr">
        <is>
          <t>Light</t>
        </is>
      </c>
      <c r="G65" s="30" t="inlineStr">
        <is>
          <t>IG + FB + TikTok photo + GBP</t>
        </is>
      </c>
      <c r="H65" s="30" t="inlineStr">
        <is>
          <t>Personality &amp; BTS</t>
        </is>
      </c>
      <c r="I65" s="30" t="inlineStr">
        <is>
          <t>Thank You: 3 Months of Honest Aesthetics | Gratitude post.</t>
        </is>
      </c>
      <c r="J65" s="30" t="inlineStr">
        <is>
          <t>Since August you have asked incredible questions and trusted us with the answers. Here is to honest aesthetics. Thank you. 💛
#npinjector #nursepractitioner #medspalife #luxurybeauty #aestheticnurse #skincareexpert #beautyclinic #selfcare #naturalresults #honestbeauty</t>
        </is>
      </c>
      <c r="K65" s="30" t="inlineStr">
        <is>
          <t>Follow for what is next</t>
        </is>
      </c>
      <c r="L65" s="30" t="inlineStr">
        <is>
          <t>Set C</t>
        </is>
      </c>
      <c r="M65" s="30" t="inlineStr">
        <is>
          <t>Single image: team or Cleo photo + thank you overlay</t>
        </is>
      </c>
      <c r="N65" s="24" t="n"/>
      <c r="O65" s="24" t="n"/>
      <c r="P65" s="34" t="inlineStr">
        <is>
          <t>Open folder</t>
        </is>
      </c>
      <c r="Q65" s="24" t="inlineStr">
        <is>
          <t>Not designed yet</t>
        </is>
      </c>
      <c r="R65" s="24" t="n"/>
      <c r="S65" s="30" t="inlineStr">
        <is>
          <t>Idea</t>
        </is>
      </c>
      <c r="T65" s="30" t="n"/>
      <c r="U65" s="30" t="n"/>
      <c r="V65" s="30" t="n"/>
      <c r="W65" s="30" t="n"/>
      <c r="X65" s="30" t="n"/>
      <c r="Y65" s="30" t="n"/>
      <c r="Z65" s="24" t="n"/>
      <c r="AA65" s="24" t="n"/>
      <c r="AB65" s="24" t="inlineStr">
        <is>
          <t>Not designed yet</t>
        </is>
      </c>
    </row>
    <row r="66" ht="57.45" customHeight="1" s="14">
      <c r="A66" s="29" t="n">
        <v>46340</v>
      </c>
      <c r="B66" s="30" t="inlineStr">
        <is>
          <t>Sat</t>
        </is>
      </c>
      <c r="C66" s="30" t="n">
        <v>13</v>
      </c>
      <c r="D66" s="30" t="inlineStr">
        <is>
          <t>Rested by the Holidays</t>
        </is>
      </c>
      <c r="E66" s="30" t="inlineStr">
        <is>
          <t>Single Image</t>
        </is>
      </c>
      <c r="F66" s="24" t="inlineStr">
        <is>
          <t>Light</t>
        </is>
      </c>
      <c r="G66" s="30" t="inlineStr">
        <is>
          <t>IG + FB + TikTok photo + GBP</t>
        </is>
      </c>
      <c r="H66" s="30" t="inlineStr">
        <is>
          <t>Promo &amp; CTA</t>
        </is>
      </c>
      <c r="I66" s="30" t="inlineStr">
        <is>
          <t>Tag Someone Who Deserves a Glow-Up Gift | Engagement + promo close.</t>
        </is>
      </c>
      <c r="J66" s="30" t="inlineStr">
        <is>
          <t>Know someone who never treats themselves? Tag them below. We will take care of the rest. 🎁
#holidayglow #treatyourself #giftcertificate #bookyourappointment #medspaspecial #glowupseason #selfcaregift #luxuryselfcare #holidayready #giftideas</t>
        </is>
      </c>
      <c r="K66" s="30" t="inlineStr">
        <is>
          <t>Tag a friend</t>
        </is>
      </c>
      <c r="L66" s="30" t="inlineStr">
        <is>
          <t>Set E</t>
        </is>
      </c>
      <c r="M66" s="30" t="inlineStr">
        <is>
          <t>Engagement card in brand style</t>
        </is>
      </c>
      <c r="N66" s="24" t="n"/>
      <c r="O66" s="24" t="n"/>
      <c r="P66" s="34" t="inlineStr">
        <is>
          <t>Open folder</t>
        </is>
      </c>
      <c r="Q66" s="24" t="inlineStr">
        <is>
          <t>Not designed yet</t>
        </is>
      </c>
      <c r="R66" s="24" t="n"/>
      <c r="S66" s="30" t="inlineStr">
        <is>
          <t>Idea</t>
        </is>
      </c>
      <c r="T66" s="30" t="n"/>
      <c r="U66" s="30" t="n"/>
      <c r="V66" s="30" t="n"/>
      <c r="W66" s="30" t="n"/>
      <c r="X66" s="30" t="n"/>
      <c r="Y66" s="30" t="n"/>
      <c r="Z66" s="24" t="n"/>
      <c r="AA66" s="24" t="n"/>
      <c r="AB66" s="24" t="inlineStr">
        <is>
          <t>Not designed yet</t>
        </is>
      </c>
    </row>
  </sheetData>
  <dataValidations count="1">
    <dataValidation sqref="P2:P66" showDropDown="0" showInputMessage="0" showErrorMessage="0" allowBlank="1" type="list">
      <formula1>"Idea,Design,Ready,Hold,Posted"</formula1>
    </dataValidation>
  </dataValidations>
  <hyperlinks>
    <hyperlink xmlns:r="http://schemas.openxmlformats.org/officeDocument/2006/relationships" ref="O2" r:id="rId1"/>
    <hyperlink xmlns:r="http://schemas.openxmlformats.org/officeDocument/2006/relationships" ref="P2" r:id="rId2"/>
    <hyperlink xmlns:r="http://schemas.openxmlformats.org/officeDocument/2006/relationships" ref="AA2" r:id="rId3"/>
    <hyperlink xmlns:r="http://schemas.openxmlformats.org/officeDocument/2006/relationships" ref="O3" r:id="rId4"/>
    <hyperlink xmlns:r="http://schemas.openxmlformats.org/officeDocument/2006/relationships" ref="P3" r:id="rId5"/>
    <hyperlink xmlns:r="http://schemas.openxmlformats.org/officeDocument/2006/relationships" ref="AA3" r:id="rId6"/>
    <hyperlink xmlns:r="http://schemas.openxmlformats.org/officeDocument/2006/relationships" ref="O4" r:id="rId7"/>
    <hyperlink xmlns:r="http://schemas.openxmlformats.org/officeDocument/2006/relationships" ref="P4" r:id="rId8"/>
    <hyperlink xmlns:r="http://schemas.openxmlformats.org/officeDocument/2006/relationships" ref="AA4" r:id="rId9"/>
    <hyperlink xmlns:r="http://schemas.openxmlformats.org/officeDocument/2006/relationships" ref="O5" r:id="rId10"/>
    <hyperlink xmlns:r="http://schemas.openxmlformats.org/officeDocument/2006/relationships" ref="P5" r:id="rId11"/>
    <hyperlink xmlns:r="http://schemas.openxmlformats.org/officeDocument/2006/relationships" ref="AA5" r:id="rId12"/>
    <hyperlink xmlns:r="http://schemas.openxmlformats.org/officeDocument/2006/relationships" ref="O6" r:id="rId13"/>
    <hyperlink xmlns:r="http://schemas.openxmlformats.org/officeDocument/2006/relationships" ref="P6" r:id="rId14"/>
    <hyperlink xmlns:r="http://schemas.openxmlformats.org/officeDocument/2006/relationships" ref="AA6" r:id="rId15"/>
    <hyperlink xmlns:r="http://schemas.openxmlformats.org/officeDocument/2006/relationships" ref="O7" r:id="rId16"/>
    <hyperlink xmlns:r="http://schemas.openxmlformats.org/officeDocument/2006/relationships" ref="P7" r:id="rId17"/>
    <hyperlink xmlns:r="http://schemas.openxmlformats.org/officeDocument/2006/relationships" ref="AA7" r:id="rId18"/>
    <hyperlink xmlns:r="http://schemas.openxmlformats.org/officeDocument/2006/relationships" ref="O8" r:id="rId19"/>
    <hyperlink xmlns:r="http://schemas.openxmlformats.org/officeDocument/2006/relationships" ref="P8" r:id="rId20"/>
    <hyperlink xmlns:r="http://schemas.openxmlformats.org/officeDocument/2006/relationships" ref="AA8" r:id="rId21"/>
    <hyperlink xmlns:r="http://schemas.openxmlformats.org/officeDocument/2006/relationships" ref="O9" r:id="rId22"/>
    <hyperlink xmlns:r="http://schemas.openxmlformats.org/officeDocument/2006/relationships" ref="P9" r:id="rId23"/>
    <hyperlink xmlns:r="http://schemas.openxmlformats.org/officeDocument/2006/relationships" ref="AA9" r:id="rId24"/>
    <hyperlink xmlns:r="http://schemas.openxmlformats.org/officeDocument/2006/relationships" ref="O10" r:id="rId25"/>
    <hyperlink xmlns:r="http://schemas.openxmlformats.org/officeDocument/2006/relationships" ref="P10" r:id="rId26"/>
    <hyperlink xmlns:r="http://schemas.openxmlformats.org/officeDocument/2006/relationships" ref="AA10" r:id="rId27"/>
    <hyperlink xmlns:r="http://schemas.openxmlformats.org/officeDocument/2006/relationships" ref="O11" r:id="rId28"/>
    <hyperlink xmlns:r="http://schemas.openxmlformats.org/officeDocument/2006/relationships" ref="P11" r:id="rId29"/>
    <hyperlink xmlns:r="http://schemas.openxmlformats.org/officeDocument/2006/relationships" ref="AA11" r:id="rId30"/>
    <hyperlink xmlns:r="http://schemas.openxmlformats.org/officeDocument/2006/relationships" ref="O12" r:id="rId31"/>
    <hyperlink xmlns:r="http://schemas.openxmlformats.org/officeDocument/2006/relationships" ref="P12" r:id="rId32"/>
    <hyperlink xmlns:r="http://schemas.openxmlformats.org/officeDocument/2006/relationships" ref="AA12" r:id="rId33"/>
    <hyperlink xmlns:r="http://schemas.openxmlformats.org/officeDocument/2006/relationships" ref="O13" r:id="rId34"/>
    <hyperlink xmlns:r="http://schemas.openxmlformats.org/officeDocument/2006/relationships" ref="O14" r:id="rId35"/>
    <hyperlink xmlns:r="http://schemas.openxmlformats.org/officeDocument/2006/relationships" ref="O15" r:id="rId36"/>
    <hyperlink xmlns:r="http://schemas.openxmlformats.org/officeDocument/2006/relationships" ref="O16" r:id="rId37"/>
    <hyperlink xmlns:r="http://schemas.openxmlformats.org/officeDocument/2006/relationships" ref="O17" r:id="rId38"/>
    <hyperlink xmlns:r="http://schemas.openxmlformats.org/officeDocument/2006/relationships" ref="O18" r:id="rId39"/>
    <hyperlink xmlns:r="http://schemas.openxmlformats.org/officeDocument/2006/relationships" ref="O19" r:id="rId40"/>
    <hyperlink xmlns:r="http://schemas.openxmlformats.org/officeDocument/2006/relationships" ref="O20" r:id="rId41"/>
    <hyperlink xmlns:r="http://schemas.openxmlformats.org/officeDocument/2006/relationships" ref="O21" r:id="rId42"/>
    <hyperlink xmlns:r="http://schemas.openxmlformats.org/officeDocument/2006/relationships" ref="O22" r:id="rId43"/>
    <hyperlink xmlns:r="http://schemas.openxmlformats.org/officeDocument/2006/relationships" ref="O23" r:id="rId44"/>
    <hyperlink xmlns:r="http://schemas.openxmlformats.org/officeDocument/2006/relationships" ref="O24" r:id="rId45"/>
    <hyperlink xmlns:r="http://schemas.openxmlformats.org/officeDocument/2006/relationships" ref="O25" r:id="rId46"/>
    <hyperlink xmlns:r="http://schemas.openxmlformats.org/officeDocument/2006/relationships" ref="O26" r:id="rId47"/>
    <hyperlink xmlns:r="http://schemas.openxmlformats.org/officeDocument/2006/relationships" ref="O27" r:id="rId48"/>
    <hyperlink xmlns:r="http://schemas.openxmlformats.org/officeDocument/2006/relationships" ref="O28" r:id="rId49"/>
    <hyperlink xmlns:r="http://schemas.openxmlformats.org/officeDocument/2006/relationships" ref="O29" r:id="rId50"/>
    <hyperlink xmlns:r="http://schemas.openxmlformats.org/officeDocument/2006/relationships" ref="O30" r:id="rId51"/>
    <hyperlink xmlns:r="http://schemas.openxmlformats.org/officeDocument/2006/relationships" ref="O31" r:id="rId52"/>
    <hyperlink xmlns:r="http://schemas.openxmlformats.org/officeDocument/2006/relationships" ref="O32" r:id="rId53"/>
    <hyperlink xmlns:r="http://schemas.openxmlformats.org/officeDocument/2006/relationships" ref="O33" r:id="rId54"/>
    <hyperlink xmlns:r="http://schemas.openxmlformats.org/officeDocument/2006/relationships" ref="O34" r:id="rId55"/>
    <hyperlink xmlns:r="http://schemas.openxmlformats.org/officeDocument/2006/relationships" ref="O35" r:id="rId56"/>
    <hyperlink xmlns:r="http://schemas.openxmlformats.org/officeDocument/2006/relationships" ref="O36" r:id="rId57"/>
    <hyperlink xmlns:r="http://schemas.openxmlformats.org/officeDocument/2006/relationships" ref="O37" r:id="rId58"/>
    <hyperlink xmlns:r="http://schemas.openxmlformats.org/officeDocument/2006/relationships" ref="O38" r:id="rId59"/>
    <hyperlink xmlns:r="http://schemas.openxmlformats.org/officeDocument/2006/relationships" ref="O39" r:id="rId60"/>
    <hyperlink xmlns:r="http://schemas.openxmlformats.org/officeDocument/2006/relationships" ref="P39" r:id="rId61"/>
    <hyperlink xmlns:r="http://schemas.openxmlformats.org/officeDocument/2006/relationships" ref="O40" r:id="rId62"/>
    <hyperlink xmlns:r="http://schemas.openxmlformats.org/officeDocument/2006/relationships" ref="O41" r:id="rId63"/>
    <hyperlink xmlns:r="http://schemas.openxmlformats.org/officeDocument/2006/relationships" ref="P41" r:id="rId64"/>
    <hyperlink xmlns:r="http://schemas.openxmlformats.org/officeDocument/2006/relationships" ref="O42" r:id="rId65"/>
    <hyperlink xmlns:r="http://schemas.openxmlformats.org/officeDocument/2006/relationships" ref="O43" r:id="rId66"/>
    <hyperlink xmlns:r="http://schemas.openxmlformats.org/officeDocument/2006/relationships" ref="O44" r:id="rId67"/>
    <hyperlink xmlns:r="http://schemas.openxmlformats.org/officeDocument/2006/relationships" ref="P44" r:id="rId68"/>
    <hyperlink xmlns:r="http://schemas.openxmlformats.org/officeDocument/2006/relationships" ref="O45" r:id="rId69"/>
    <hyperlink xmlns:r="http://schemas.openxmlformats.org/officeDocument/2006/relationships" ref="O46" r:id="rId70"/>
    <hyperlink xmlns:r="http://schemas.openxmlformats.org/officeDocument/2006/relationships" ref="O47" r:id="rId71"/>
    <hyperlink xmlns:r="http://schemas.openxmlformats.org/officeDocument/2006/relationships" ref="O48" r:id="rId72"/>
    <hyperlink xmlns:r="http://schemas.openxmlformats.org/officeDocument/2006/relationships" ref="O49" r:id="rId73"/>
    <hyperlink xmlns:r="http://schemas.openxmlformats.org/officeDocument/2006/relationships" ref="P49" r:id="rId74"/>
    <hyperlink xmlns:r="http://schemas.openxmlformats.org/officeDocument/2006/relationships" ref="O50" r:id="rId75"/>
    <hyperlink xmlns:r="http://schemas.openxmlformats.org/officeDocument/2006/relationships" ref="O51" r:id="rId76"/>
    <hyperlink xmlns:r="http://schemas.openxmlformats.org/officeDocument/2006/relationships" ref="P51" r:id="rId77"/>
    <hyperlink xmlns:r="http://schemas.openxmlformats.org/officeDocument/2006/relationships" ref="O52" r:id="rId78"/>
    <hyperlink xmlns:r="http://schemas.openxmlformats.org/officeDocument/2006/relationships" ref="O53" r:id="rId79"/>
    <hyperlink xmlns:r="http://schemas.openxmlformats.org/officeDocument/2006/relationships" ref="O54" r:id="rId80"/>
    <hyperlink xmlns:r="http://schemas.openxmlformats.org/officeDocument/2006/relationships" ref="O55" r:id="rId81"/>
    <hyperlink xmlns:r="http://schemas.openxmlformats.org/officeDocument/2006/relationships" ref="P55" r:id="rId82"/>
    <hyperlink xmlns:r="http://schemas.openxmlformats.org/officeDocument/2006/relationships" ref="O56" r:id="rId83"/>
    <hyperlink xmlns:r="http://schemas.openxmlformats.org/officeDocument/2006/relationships" ref="O57" r:id="rId84"/>
    <hyperlink xmlns:r="http://schemas.openxmlformats.org/officeDocument/2006/relationships" ref="O58" r:id="rId85"/>
    <hyperlink xmlns:r="http://schemas.openxmlformats.org/officeDocument/2006/relationships" ref="O59" r:id="rId86"/>
    <hyperlink xmlns:r="http://schemas.openxmlformats.org/officeDocument/2006/relationships" ref="O60" r:id="rId87"/>
    <hyperlink xmlns:r="http://schemas.openxmlformats.org/officeDocument/2006/relationships" ref="P60" r:id="rId88"/>
    <hyperlink xmlns:r="http://schemas.openxmlformats.org/officeDocument/2006/relationships" ref="O61" r:id="rId89"/>
    <hyperlink xmlns:r="http://schemas.openxmlformats.org/officeDocument/2006/relationships" ref="O62" r:id="rId90"/>
    <hyperlink xmlns:r="http://schemas.openxmlformats.org/officeDocument/2006/relationships" ref="O63" r:id="rId91"/>
    <hyperlink xmlns:r="http://schemas.openxmlformats.org/officeDocument/2006/relationships" ref="O64" r:id="rId92"/>
    <hyperlink xmlns:r="http://schemas.openxmlformats.org/officeDocument/2006/relationships" ref="O65" r:id="rId93"/>
    <hyperlink xmlns:r="http://schemas.openxmlformats.org/officeDocument/2006/relationships" ref="O66" r:id="rId9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16" customWidth="1" style="13" min="1" max="1"/>
    <col width="26" customWidth="1" style="13" min="2" max="2"/>
    <col width="40" customWidth="1" style="13" min="3" max="3"/>
    <col width="60" customWidth="1" style="13" min="4" max="4"/>
    <col width="46" customWidth="1" style="13" min="5" max="5"/>
  </cols>
  <sheetData>
    <row r="1" ht="15" customHeight="1" s="14">
      <c r="A1" s="25" t="inlineStr">
        <is>
          <t>Period</t>
        </is>
      </c>
      <c r="B1" s="25" t="inlineStr">
        <is>
          <t>Theme</t>
        </is>
      </c>
      <c r="C1" s="25" t="inlineStr">
        <is>
          <t>Goal</t>
        </is>
      </c>
      <c r="D1" s="25" t="inlineStr">
        <is>
          <t>Carousel Topics</t>
        </is>
      </c>
      <c r="E1" s="25" t="inlineStr">
        <is>
          <t>Reel / Syndication Focus</t>
        </is>
      </c>
    </row>
    <row r="2" ht="23.85" customHeight="1" s="14">
      <c r="A2" s="30" t="inlineStr">
        <is>
          <t>August 17-31</t>
        </is>
      </c>
      <c r="B2" s="30" t="inlineStr">
        <is>
          <t>Botox, Honestly (Launch)</t>
        </is>
      </c>
      <c r="C2" s="30" t="inlineStr">
        <is>
          <t>Launch the educational brand voice and post the finished Botox myths carousel</t>
        </is>
      </c>
      <c r="D2" s="30" t="inlineStr">
        <is>
          <t>5 Botox Lies (ready) / 5 Red Flags / First Visit / Meet NP Cleo</t>
        </is>
      </c>
      <c r="E2" s="30" t="inlineStr">
        <is>
          <t>Service spotlight cards, BTS prep photo, brand quote cards</t>
        </is>
      </c>
    </row>
    <row r="3" ht="23.85" customHeight="1" s="14">
      <c r="A3" s="30" t="inlineStr">
        <is>
          <t>September</t>
        </is>
      </c>
      <c r="B3" s="30" t="inlineStr">
        <is>
          <t>Botox Education Month</t>
        </is>
      </c>
      <c r="C3" s="30" t="inlineStr">
        <is>
          <t>Own every Botox question a first-timer Googles</t>
        </is>
      </c>
      <c r="D3" s="30" t="inlineStr">
        <is>
          <t>Preventative / 20 Units / Botox vs Dysport / Aftercare / What Botox Can't Do / Natural Promise / Botox or Filler / Ask Cleo / How Long It Lasts / Why We Say No</t>
        </is>
      </c>
      <c r="E3" s="30" t="inlineStr">
        <is>
          <t>Hook image cards: explainers, myth vs truth, FAQ, BTS photos</t>
        </is>
      </c>
    </row>
    <row r="4" ht="23.85" customHeight="1" s="14">
      <c r="A4" s="30" t="inlineStr">
        <is>
          <t>October</t>
        </is>
      </c>
      <c r="B4" s="30" t="inlineStr">
        <is>
          <t>Fillers, Naturally</t>
        </is>
      </c>
      <c r="C4" s="30" t="inlineStr">
        <is>
          <t>Convert filler fear into filler bookings with honesty-first education</t>
        </is>
      </c>
      <c r="D4" s="30" t="inlineStr">
        <is>
          <t>Not Fake / Lips Natural vs Overdone / Cheek Filler / Candidacy Checklist / Dissolve Timeline / Lip Aftercare / 5 Filler Lies / Facial Balancing</t>
        </is>
      </c>
      <c r="E4" s="30" t="inlineStr">
        <is>
          <t>Service spotlight cards, testimonials, FAQ and checklist cards</t>
        </is>
      </c>
    </row>
    <row r="5" ht="23.85" customHeight="1" s="14">
      <c r="A5" s="30" t="inlineStr">
        <is>
          <t>November 1-15</t>
        </is>
      </c>
      <c r="B5" s="30" t="inlineStr">
        <is>
          <t>Rested by the Holidays</t>
        </is>
      </c>
      <c r="C5" s="30" t="inlineStr">
        <is>
          <t>Create urgency: book now to glow for party season + launch gift certificates</t>
        </is>
      </c>
      <c r="D5" s="30" t="inlineStr">
        <is>
          <t>Holiday Timeline / Party Season Prep / Gift of Glow / 3-Month Recap</t>
        </is>
      </c>
      <c r="E5" s="30" t="inlineStr">
        <is>
          <t>Countdown cards, holiday BTS photo, gift reveal, tag-a-friend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0" customWidth="1" style="13" min="1" max="1"/>
    <col width="14" customWidth="1" style="13" min="2" max="2"/>
    <col width="55" customWidth="1" style="13" min="3" max="3"/>
    <col width="45" customWidth="1" style="13" min="4" max="4"/>
    <col width="20" customWidth="1" style="13" min="5" max="5"/>
  </cols>
  <sheetData>
    <row r="1" ht="15" customHeight="1" s="14">
      <c r="A1" s="25" t="inlineStr">
        <is>
          <t>Pillar</t>
        </is>
      </c>
      <c r="B1" s="25" t="inlineStr">
        <is>
          <t>Share of Posts</t>
        </is>
      </c>
      <c r="C1" s="25" t="inlineStr">
        <is>
          <t>What It Is</t>
        </is>
      </c>
      <c r="D1" s="25" t="inlineStr">
        <is>
          <t>Formats</t>
        </is>
      </c>
      <c r="E1" s="25" t="inlineStr">
        <is>
          <t>Success Metric</t>
        </is>
      </c>
    </row>
    <row r="2" ht="15" customHeight="1" s="14">
      <c r="A2" s="30" t="inlineStr">
        <is>
          <t>Education</t>
        </is>
      </c>
      <c r="B2" s="30" t="inlineStr">
        <is>
          <t>40%</t>
        </is>
      </c>
      <c r="C2" s="30" t="inlineStr">
        <is>
          <t>Teach one thing per post: myths, comparisons, timelines, aftercare, candidacy</t>
        </is>
      </c>
      <c r="D2" s="30" t="inlineStr">
        <is>
          <t>Carousels, explainer image cards, FAQ cards</t>
        </is>
      </c>
      <c r="E2" s="30" t="inlineStr">
        <is>
          <t>Saves and shares</t>
        </is>
      </c>
    </row>
    <row r="3" ht="15" customHeight="1" s="14">
      <c r="A3" s="30" t="inlineStr">
        <is>
          <t>Trust &amp; Proof</t>
        </is>
      </c>
      <c r="B3" s="30" t="inlineStr">
        <is>
          <t>25%</t>
        </is>
      </c>
      <c r="C3" s="30" t="inlineStr">
        <is>
          <t>Show honesty and results: testimonials, natural-results promise, why we say no</t>
        </is>
      </c>
      <c r="D3" s="30" t="inlineStr">
        <is>
          <t>Quote cards, testimonial posts, philosophy carousels</t>
        </is>
      </c>
      <c r="E3" s="30" t="inlineStr">
        <is>
          <t>DMs and consults</t>
        </is>
      </c>
    </row>
    <row r="4" ht="15" customHeight="1" s="14">
      <c r="A4" s="30" t="inlineStr">
        <is>
          <t>Personality &amp; BTS</t>
        </is>
      </c>
      <c r="B4" s="30" t="inlineStr">
        <is>
          <t>20%</t>
        </is>
      </c>
      <c r="C4" s="30" t="inlineStr">
        <is>
          <t>Humanize NP Cleo: day in the life, room tours, Q&amp;A, prep clips</t>
        </is>
      </c>
      <c r="D4" s="30" t="inlineStr">
        <is>
          <t>BTS photo posts, Q&amp;A cards, polls</t>
        </is>
      </c>
      <c r="E4" s="30" t="inlineStr">
        <is>
          <t>Comments and follows</t>
        </is>
      </c>
    </row>
    <row r="5" ht="15" customHeight="1" s="14">
      <c r="A5" s="30" t="inlineStr">
        <is>
          <t>Promo &amp; CTA</t>
        </is>
      </c>
      <c r="B5" s="30" t="inlineStr">
        <is>
          <t>15%</t>
        </is>
      </c>
      <c r="C5" s="30" t="inlineStr">
        <is>
          <t>Direct booking pushes: seasonal timelines, gift certificates, offers</t>
        </is>
      </c>
      <c r="D5" s="30" t="inlineStr">
        <is>
          <t>Countdown cards, promo carousels, engagement + tag posts</t>
        </is>
      </c>
      <c r="E5" s="30" t="inlineStr">
        <is>
          <t>Bookings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C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8" customWidth="1" style="13" min="1" max="1"/>
    <col width="20" customWidth="1" style="13" min="2" max="2"/>
    <col width="110" customWidth="1" style="13" min="3" max="3"/>
  </cols>
  <sheetData>
    <row r="1" ht="15" customHeight="1" s="14">
      <c r="A1" s="25" t="inlineStr">
        <is>
          <t>Set</t>
        </is>
      </c>
      <c r="B1" s="25" t="inlineStr">
        <is>
          <t>Name</t>
        </is>
      </c>
      <c r="C1" s="25" t="inlineStr">
        <is>
          <t>Hashtags (copy-paste)</t>
        </is>
      </c>
    </row>
    <row r="2" ht="15" customHeight="1" s="14">
      <c r="A2" s="31" t="inlineStr">
        <is>
          <t>Set A</t>
        </is>
      </c>
      <c r="B2" s="31" t="inlineStr">
        <is>
          <t>Botox / Neuromodulator</t>
        </is>
      </c>
      <c r="C2" s="31" t="inlineStr">
        <is>
          <t>#botoxoakville #oakvillemedspa #burlingtonbotox #miltonmedspa #mississaugainjector #haltonregion #preventativebotox #botoxcanada #nursepractitionerinjector #naturalresults #luxurybeautybycleor #npcleo</t>
        </is>
      </c>
    </row>
    <row r="3" ht="15" customHeight="1" s="14">
      <c r="A3" s="31" t="inlineStr">
        <is>
          <t>Set B</t>
        </is>
      </c>
      <c r="B3" s="31" t="inlineStr">
        <is>
          <t>Filler</t>
        </is>
      </c>
      <c r="C3" s="31" t="inlineStr">
        <is>
          <t>#lipfilleroakville #fillersoakville #oakvillemedspa #burlingtonfiller #miltonlipfiller #mississaugamedspa #dermalfillers #naturallips #facialbalancing #aestheticnurse #luxurybeautybycleor #npcleo</t>
        </is>
      </c>
    </row>
    <row r="4" ht="15" customHeight="1" s="14">
      <c r="A4" s="31" t="inlineStr">
        <is>
          <t>Set C</t>
        </is>
      </c>
      <c r="B4" s="31" t="inlineStr">
        <is>
          <t>Trust &amp; Proof</t>
        </is>
      </c>
      <c r="C4" s="31" t="inlineStr">
        <is>
          <t>#oakvillemedspa #burlingtonmedspa #miltonontario #mississaugabeauty #haltonregion #honestinjector #naturalresults #aestheticnurse #nursepractitioner #medspacanada #luxurybeautybycleor #npcleo</t>
        </is>
      </c>
    </row>
    <row r="5" ht="15" customHeight="1" s="14">
      <c r="A5" s="31" t="inlineStr">
        <is>
          <t>Set D</t>
        </is>
      </c>
      <c r="B5" s="31" t="inlineStr">
        <is>
          <t>Personality &amp; BTS</t>
        </is>
      </c>
      <c r="C5" s="31" t="inlineStr">
        <is>
          <t>#oakville #oakvillebusiness #burlingtonontario #miltonontario #mississauga #haltonregion #womeninbusiness #nursepractitioner #aestheticnurse #medspalife #luxurybeautybycleor #npcleo</t>
        </is>
      </c>
    </row>
    <row r="6" ht="15" customHeight="1" s="14">
      <c r="A6" s="31" t="inlineStr">
        <is>
          <t>Set E</t>
        </is>
      </c>
      <c r="B6" s="31" t="inlineStr">
        <is>
          <t>Promo &amp; CTA</t>
        </is>
      </c>
      <c r="C6" s="31" t="inlineStr">
        <is>
          <t>#oakvillemedspa #burlingtonontario #miltonontario #mississaugabeauty #haltonregion #treatyourself #selfcare #giftcertificate #medspaspecial #bookyourappointment #luxurybeautybycleor #npcleo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outlinePr summaryBelow="1" summaryRight="1"/>
    <pageSetUpPr/>
  </sheetPr>
  <dimension ref="A1:G21"/>
  <sheetViews>
    <sheetView workbookViewId="0">
      <pane ySplit="1" topLeftCell="A2" activePane="bottomLeft" state="frozen"/>
      <selection pane="bottomLeft" activeCell="A1" sqref="A1"/>
    </sheetView>
  </sheetViews>
  <sheetFormatPr baseColWidth="8" defaultRowHeight="15"/>
  <cols>
    <col width="46" customWidth="1" style="14" min="1" max="1"/>
    <col width="8" customWidth="1" style="14" min="2" max="2"/>
    <col width="16" customWidth="1" style="14" min="3" max="3"/>
    <col width="7" customWidth="1" style="14" min="4" max="4"/>
    <col width="12" customWidth="1" style="14" min="5" max="5"/>
    <col width="26" customWidth="1" style="14" min="6" max="6"/>
    <col width="52" customWidth="1" style="14" min="7" max="7"/>
  </cols>
  <sheetData>
    <row r="1">
      <c r="A1" s="26" t="inlineStr">
        <is>
          <t>File</t>
        </is>
      </c>
      <c r="B1" s="26" t="inlineStr">
        <is>
          <t>Client</t>
        </is>
      </c>
      <c r="C1" s="26" t="inlineStr">
        <is>
          <t>Type</t>
        </is>
      </c>
      <c r="D1" s="26" t="inlineStr">
        <is>
          <t>Pair</t>
        </is>
      </c>
      <c r="E1" s="26" t="inlineStr">
        <is>
          <t>Consent</t>
        </is>
      </c>
      <c r="F1" s="26" t="inlineStr">
        <is>
          <t>Used In</t>
        </is>
      </c>
      <c r="G1" s="26" t="inlineStr">
        <is>
          <t>Client Notes</t>
        </is>
      </c>
    </row>
    <row r="2">
      <c r="A2" s="24" t="inlineStr">
        <is>
          <t>img_9908.jpg</t>
        </is>
      </c>
      <c r="B2" s="24" t="inlineStr">
        <is>
          <t>E</t>
        </is>
      </c>
      <c r="C2" s="24" t="inlineStr">
        <is>
          <t>Before</t>
        </is>
      </c>
      <c r="D2" s="24" t="inlineStr">
        <is>
          <t>E</t>
        </is>
      </c>
      <c r="E2" s="24" t="inlineStr">
        <is>
          <t>Not needed</t>
        </is>
      </c>
      <c r="F2" s="24" t="inlineStr">
        <is>
          <t>Oct 8, Oct 15</t>
        </is>
      </c>
      <c r="G2" s="24" t="inlineStr">
        <is>
          <t>Fair skin, lower face only. Cleanest pair in the library</t>
        </is>
      </c>
    </row>
    <row r="3">
      <c r="A3" s="24" t="inlineStr">
        <is>
          <t>img_9912.jpg</t>
        </is>
      </c>
      <c r="B3" s="24" t="inlineStr">
        <is>
          <t>E</t>
        </is>
      </c>
      <c r="C3" s="24" t="inlineStr">
        <is>
          <t>After</t>
        </is>
      </c>
      <c r="D3" s="24" t="inlineStr">
        <is>
          <t>E</t>
        </is>
      </c>
      <c r="E3" s="24" t="inlineStr">
        <is>
          <t>Not needed</t>
        </is>
      </c>
      <c r="F3" s="24" t="inlineStr">
        <is>
          <t>Oct 8, Oct 15</t>
        </is>
      </c>
      <c r="G3" s="24" t="inlineStr">
        <is>
          <t>Fair skin, lower face only. Cleanest pair in the library</t>
        </is>
      </c>
    </row>
    <row r="4">
      <c r="A4" s="24" t="inlineStr">
        <is>
          <t>img_0221.jpg</t>
        </is>
      </c>
      <c r="B4" s="24" t="inlineStr">
        <is>
          <t>A</t>
        </is>
      </c>
      <c r="C4" s="24" t="inlineStr">
        <is>
          <t>Before</t>
        </is>
      </c>
      <c r="D4" s="24" t="inlineStr">
        <is>
          <t>A</t>
        </is>
      </c>
      <c r="E4" s="24" t="inlineStr">
        <is>
          <t>On file</t>
        </is>
      </c>
      <c r="F4" s="24" t="inlineStr">
        <is>
          <t>Oct 15, Oct 30</t>
        </is>
      </c>
      <c r="G4" s="24" t="inlineStr">
        <is>
          <t>Front-on, neck tattoos and nose ring. Crop above the collarbone</t>
        </is>
      </c>
    </row>
    <row r="5">
      <c r="A5" s="24" t="inlineStr">
        <is>
          <t>img_0233.jpg</t>
        </is>
      </c>
      <c r="B5" s="24" t="inlineStr">
        <is>
          <t>A</t>
        </is>
      </c>
      <c r="C5" s="24" t="inlineStr">
        <is>
          <t>After</t>
        </is>
      </c>
      <c r="D5" s="24" t="inlineStr">
        <is>
          <t>A</t>
        </is>
      </c>
      <c r="E5" s="24" t="inlineStr">
        <is>
          <t>On file</t>
        </is>
      </c>
      <c r="F5" s="24" t="inlineStr">
        <is>
          <t>Oct 15, Oct 30</t>
        </is>
      </c>
      <c r="G5" s="24" t="inlineStr">
        <is>
          <t>Front-on, neck tattoos and nose ring. Crop above the collarbone</t>
        </is>
      </c>
    </row>
    <row r="6">
      <c r="A6" s="24" t="inlineStr">
        <is>
          <t>img_0962.jpg</t>
        </is>
      </c>
      <c r="B6" s="24" t="inlineStr">
        <is>
          <t>B</t>
        </is>
      </c>
      <c r="C6" s="24" t="inlineStr">
        <is>
          <t>Before</t>
        </is>
      </c>
      <c r="D6" s="24" t="inlineStr">
        <is>
          <t>B</t>
        </is>
      </c>
      <c r="E6" s="24" t="inlineStr">
        <is>
          <t>Not needed</t>
        </is>
      </c>
      <c r="F6" s="24" t="inlineStr">
        <is>
          <t>Oct 15, Oct 24</t>
        </is>
      </c>
      <c r="G6" s="24" t="inlineStr">
        <is>
          <t>Matched 3/4 profile, lower face only. Colour-match before to after</t>
        </is>
      </c>
    </row>
    <row r="7">
      <c r="A7" s="24" t="inlineStr">
        <is>
          <t>img_0998.jpg</t>
        </is>
      </c>
      <c r="B7" s="24" t="inlineStr">
        <is>
          <t>B</t>
        </is>
      </c>
      <c r="C7" s="24" t="inlineStr">
        <is>
          <t>After</t>
        </is>
      </c>
      <c r="D7" s="24" t="inlineStr">
        <is>
          <t>B</t>
        </is>
      </c>
      <c r="E7" s="24" t="inlineStr">
        <is>
          <t>Not needed</t>
        </is>
      </c>
      <c r="F7" s="24" t="inlineStr">
        <is>
          <t>Oct 15, Oct 24</t>
        </is>
      </c>
      <c r="G7" s="24" t="inlineStr">
        <is>
          <t>Matched 3/4 profile, lower face only. Colour-match before to after</t>
        </is>
      </c>
    </row>
    <row r="8">
      <c r="A8" s="24" t="inlineStr">
        <is>
          <t>img_1119.jpg</t>
        </is>
      </c>
      <c r="B8" s="24" t="inlineStr">
        <is>
          <t>C</t>
        </is>
      </c>
      <c r="C8" s="24" t="inlineStr">
        <is>
          <t>Before</t>
        </is>
      </c>
      <c r="D8" s="24" t="inlineStr">
        <is>
          <t>C</t>
        </is>
      </c>
      <c r="E8" s="24" t="inlineStr">
        <is>
          <t>On file</t>
        </is>
      </c>
      <c r="F8" s="24" t="inlineStr">
        <is>
          <t>Oct 10, Oct 15</t>
        </is>
      </c>
      <c r="G8" s="24" t="inlineStr">
        <is>
          <t>Blonde, reclined in chair. Crop the before to the lower face</t>
        </is>
      </c>
    </row>
    <row r="9">
      <c r="A9" s="24" t="inlineStr">
        <is>
          <t>img_1123.jpg</t>
        </is>
      </c>
      <c r="B9" s="24" t="inlineStr">
        <is>
          <t>C</t>
        </is>
      </c>
      <c r="C9" s="24" t="inlineStr">
        <is>
          <t>After</t>
        </is>
      </c>
      <c r="D9" s="24" t="inlineStr">
        <is>
          <t>C</t>
        </is>
      </c>
      <c r="E9" s="24" t="inlineStr">
        <is>
          <t>On file</t>
        </is>
      </c>
      <c r="F9" s="24" t="inlineStr">
        <is>
          <t>Oct 10, Oct 15</t>
        </is>
      </c>
      <c r="G9" s="24" t="inlineStr">
        <is>
          <t>Blonde, reclined in chair. Crop the before to the lower face</t>
        </is>
      </c>
    </row>
    <row r="10">
      <c r="A10" s="24" t="inlineStr">
        <is>
          <t>img_1444.jpg</t>
        </is>
      </c>
      <c r="B10" s="24" t="inlineStr">
        <is>
          <t>D</t>
        </is>
      </c>
      <c r="C10" s="24" t="inlineStr">
        <is>
          <t>Unconfirmed</t>
        </is>
      </c>
      <c r="D10" s="24" t="inlineStr">
        <is>
          <t>D</t>
        </is>
      </c>
      <c r="E10" s="24" t="inlineStr">
        <is>
          <t>On file</t>
        </is>
      </c>
      <c r="F10" s="24" t="inlineStr">
        <is>
          <t>HOLD: direction unconfirmed</t>
        </is>
      </c>
      <c r="G10" s="24" t="inlineStr">
        <is>
          <t>Blonde, pearl earring, mole on chin. Change is subtle</t>
        </is>
      </c>
    </row>
    <row r="11">
      <c r="A11" s="24" t="inlineStr">
        <is>
          <t>img_1447.jpg</t>
        </is>
      </c>
      <c r="B11" s="24" t="inlineStr">
        <is>
          <t>D</t>
        </is>
      </c>
      <c r="C11" s="24" t="inlineStr">
        <is>
          <t>Unconfirmed</t>
        </is>
      </c>
      <c r="D11" s="24" t="inlineStr">
        <is>
          <t>D</t>
        </is>
      </c>
      <c r="E11" s="24" t="inlineStr">
        <is>
          <t>On file</t>
        </is>
      </c>
      <c r="F11" s="24" t="inlineStr">
        <is>
          <t>HOLD: direction unconfirmed</t>
        </is>
      </c>
      <c r="G11" s="24" t="inlineStr">
        <is>
          <t>Blonde, pearl earring, mole on chin. Change is subtle</t>
        </is>
      </c>
    </row>
    <row r="12">
      <c r="A12" s="24" t="inlineStr">
        <is>
          <t>img_4775.jpg</t>
        </is>
      </c>
      <c r="B12" s="24" t="inlineStr">
        <is>
          <t>G</t>
        </is>
      </c>
      <c r="C12" s="24" t="inlineStr">
        <is>
          <t>Healed result</t>
        </is>
      </c>
      <c r="D12" s="24" t="inlineStr"/>
      <c r="E12" s="24" t="inlineStr">
        <is>
          <t>On file</t>
        </is>
      </c>
      <c r="F12" s="24" t="inlineStr">
        <is>
          <t>Nov 6</t>
        </is>
      </c>
      <c r="G12" s="24" t="inlineStr">
        <is>
          <t>Six angles, healed and settled. Shot full face, needs tight crops</t>
        </is>
      </c>
    </row>
    <row r="13">
      <c r="A13" s="24" t="inlineStr">
        <is>
          <t>img_4777.jpg</t>
        </is>
      </c>
      <c r="B13" s="24" t="inlineStr">
        <is>
          <t>G</t>
        </is>
      </c>
      <c r="C13" s="24" t="inlineStr">
        <is>
          <t>Healed result</t>
        </is>
      </c>
      <c r="D13" s="24" t="inlineStr"/>
      <c r="E13" s="24" t="inlineStr">
        <is>
          <t>On file</t>
        </is>
      </c>
      <c r="F13" s="24" t="inlineStr">
        <is>
          <t>Nov 6</t>
        </is>
      </c>
      <c r="G13" s="24" t="inlineStr">
        <is>
          <t>Six angles, healed and settled. Shot full face, needs tight crops</t>
        </is>
      </c>
    </row>
    <row r="14">
      <c r="A14" s="24" t="inlineStr">
        <is>
          <t>img_4778.jpg</t>
        </is>
      </c>
      <c r="B14" s="24" t="inlineStr">
        <is>
          <t>G</t>
        </is>
      </c>
      <c r="C14" s="24" t="inlineStr">
        <is>
          <t>Healed result</t>
        </is>
      </c>
      <c r="D14" s="24" t="inlineStr"/>
      <c r="E14" s="24" t="inlineStr">
        <is>
          <t>On file</t>
        </is>
      </c>
      <c r="F14" s="24" t="inlineStr">
        <is>
          <t>Nov 6</t>
        </is>
      </c>
      <c r="G14" s="24" t="inlineStr">
        <is>
          <t>Six angles, healed and settled. Shot full face, needs tight crops</t>
        </is>
      </c>
    </row>
    <row r="15">
      <c r="A15" s="24" t="inlineStr">
        <is>
          <t>img_4780.jpg</t>
        </is>
      </c>
      <c r="B15" s="24" t="inlineStr">
        <is>
          <t>G</t>
        </is>
      </c>
      <c r="C15" s="24" t="inlineStr">
        <is>
          <t>Healed result</t>
        </is>
      </c>
      <c r="D15" s="24" t="inlineStr"/>
      <c r="E15" s="24" t="inlineStr">
        <is>
          <t>On file</t>
        </is>
      </c>
      <c r="F15" s="24" t="inlineStr">
        <is>
          <t>Nov 6</t>
        </is>
      </c>
      <c r="G15" s="24" t="inlineStr">
        <is>
          <t>Six angles, healed and settled. Shot full face, needs tight crops</t>
        </is>
      </c>
    </row>
    <row r="16">
      <c r="A16" s="24" t="inlineStr">
        <is>
          <t>img_4781.jpg</t>
        </is>
      </c>
      <c r="B16" s="24" t="inlineStr">
        <is>
          <t>G</t>
        </is>
      </c>
      <c r="C16" s="24" t="inlineStr">
        <is>
          <t>Healed result</t>
        </is>
      </c>
      <c r="D16" s="24" t="inlineStr"/>
      <c r="E16" s="24" t="inlineStr">
        <is>
          <t>On file</t>
        </is>
      </c>
      <c r="F16" s="24" t="inlineStr">
        <is>
          <t>Nov 6</t>
        </is>
      </c>
      <c r="G16" s="24" t="inlineStr">
        <is>
          <t>Six angles, healed and settled. Shot full face, needs tight crops</t>
        </is>
      </c>
    </row>
    <row r="17">
      <c r="A17" s="24" t="inlineStr">
        <is>
          <t>img_4782.jpg</t>
        </is>
      </c>
      <c r="B17" s="24" t="inlineStr">
        <is>
          <t>G</t>
        </is>
      </c>
      <c r="C17" s="24" t="inlineStr">
        <is>
          <t>Healed result</t>
        </is>
      </c>
      <c r="D17" s="24" t="inlineStr"/>
      <c r="E17" s="24" t="inlineStr">
        <is>
          <t>On file</t>
        </is>
      </c>
      <c r="F17" s="24" t="inlineStr">
        <is>
          <t>Nov 6</t>
        </is>
      </c>
      <c r="G17" s="24" t="inlineStr">
        <is>
          <t>Six angles, healed and settled. Shot full face, needs tight crops</t>
        </is>
      </c>
    </row>
    <row r="18">
      <c r="A18" s="24" t="inlineStr">
        <is>
          <t>img_9848.jpg</t>
        </is>
      </c>
      <c r="B18" s="24" t="inlineStr">
        <is>
          <t>F</t>
        </is>
      </c>
      <c r="C18" s="24" t="inlineStr">
        <is>
          <t>Before</t>
        </is>
      </c>
      <c r="D18" s="24" t="inlineStr">
        <is>
          <t>F</t>
        </is>
      </c>
      <c r="E18" s="24" t="inlineStr">
        <is>
          <t>On file</t>
        </is>
      </c>
      <c r="F18" s="24" t="inlineStr">
        <is>
          <t>Oct 15, Oct 22</t>
        </is>
      </c>
      <c r="G18" s="24" t="inlineStr">
        <is>
          <t>Before and after from one appointment, minutes apart. Same camera position, so the best matched pair in the library. The after has visible swelling and pinpoint marks, so label it Right after, never After</t>
        </is>
      </c>
    </row>
    <row r="19">
      <c r="A19" s="24" t="inlineStr">
        <is>
          <t>img_9850.jpg</t>
        </is>
      </c>
      <c r="B19" s="24" t="inlineStr">
        <is>
          <t>F</t>
        </is>
      </c>
      <c r="C19" s="24" t="inlineStr">
        <is>
          <t>After (day 0)</t>
        </is>
      </c>
      <c r="D19" s="24" t="inlineStr">
        <is>
          <t>F</t>
        </is>
      </c>
      <c r="E19" s="24" t="inlineStr">
        <is>
          <t>On file</t>
        </is>
      </c>
      <c r="F19" s="24" t="inlineStr">
        <is>
          <t>Oct 15, Oct 22</t>
        </is>
      </c>
      <c r="G19" s="24" t="inlineStr">
        <is>
          <t>Before and after from one appointment, minutes apart. Same camera position, so the best matched pair in the library. The after has visible swelling and pinpoint marks, so label it Right after, never After</t>
        </is>
      </c>
    </row>
    <row r="20">
      <c r="A20" s="24" t="inlineStr">
        <is>
          <t>whatsapp-image-2026-08-13-at-10.14.36-pm.jpg</t>
        </is>
      </c>
      <c r="B20" s="24" t="inlineStr">
        <is>
          <t>F</t>
        </is>
      </c>
      <c r="C20" s="24" t="inlineStr">
        <is>
          <t>After collage</t>
        </is>
      </c>
      <c r="D20" s="24" t="inlineStr"/>
      <c r="E20" s="24" t="inlineStr">
        <is>
          <t>On file</t>
        </is>
      </c>
      <c r="F20" s="24" t="inlineStr">
        <is>
          <t>Oct 22</t>
        </is>
      </c>
      <c r="G20" s="24" t="inlineStr">
        <is>
          <t>Before and after from one appointment, minutes apart. Same camera position, so the best matched pair in the library. The after has visible swelling and pinpoint marks, so label it Right after, never After</t>
        </is>
      </c>
    </row>
    <row r="21">
      <c r="A21" s="24" t="inlineStr">
        <is>
          <t>img_7715.jpg</t>
        </is>
      </c>
      <c r="B21" s="24" t="inlineStr">
        <is>
          <t>H</t>
        </is>
      </c>
      <c r="C21" s="24" t="inlineStr">
        <is>
          <t>Day 0</t>
        </is>
      </c>
      <c r="D21" s="24" t="inlineStr"/>
      <c r="E21" s="24" t="inlineStr">
        <is>
          <t>On file</t>
        </is>
      </c>
      <c r="F21" s="24" t="inlineStr">
        <is>
          <t>Oct 22</t>
        </is>
      </c>
      <c r="G21" s="24" t="inlineStr">
        <is>
          <t>Reclined, day 0, heavily swollen. No before</t>
        </is>
      </c>
    </row>
  </sheetData>
  <pageMargins left="0.75" right="0.75" top="1" bottom="1" header="0.5" footer="0.5"/>
</worksheet>
</file>

<file path=xl/worksheets/sheet7.xml><?xml version="1.0" encoding="utf-8"?>
<worksheet xmlns="http://schemas.openxmlformats.org/spreadsheetml/2006/main">
  <sheetPr filterMode="0">
    <outlinePr summaryBelow="1" summaryRight="1"/>
    <pageSetUpPr fitToPage="0"/>
  </sheetPr>
  <dimension ref="A1:E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42" customWidth="1" style="13" min="1" max="1"/>
    <col width="16" customWidth="1" style="13" min="2" max="2"/>
    <col width="18" customWidth="1" style="13" min="3" max="3"/>
    <col width="42" customWidth="1" style="13" min="4" max="4"/>
    <col width="45" customWidth="1" style="13" min="5" max="5"/>
  </cols>
  <sheetData>
    <row r="1" ht="15" customHeight="1" s="14">
      <c r="A1" s="25" t="inlineStr">
        <is>
          <t>Idea</t>
        </is>
      </c>
      <c r="B1" s="25" t="inlineStr">
        <is>
          <t>Format</t>
        </is>
      </c>
      <c r="C1" s="25" t="inlineStr">
        <is>
          <t>Pillar</t>
        </is>
      </c>
      <c r="D1" s="25" t="inlineStr">
        <is>
          <t>Hook</t>
        </is>
      </c>
      <c r="E1" s="25" t="inlineStr">
        <is>
          <t>Notes</t>
        </is>
      </c>
    </row>
    <row r="2" ht="15" customHeight="1" s="14">
      <c r="A2" s="31" t="inlineStr">
        <is>
          <t>Price transparency: what it actually costs</t>
        </is>
      </c>
      <c r="B2" s="31" t="inlineStr">
        <is>
          <t>Carousel</t>
        </is>
      </c>
      <c r="C2" s="31" t="inlineStr">
        <is>
          <t>Trust &amp; Proof</t>
        </is>
      </c>
      <c r="D2" s="31" t="inlineStr">
        <is>
          <t>Let's talk prices. For real.</t>
        </is>
      </c>
      <c r="E2" s="31" t="inlineStr">
        <is>
          <t>From playbook. Strong differentiator, almost nobody does it</t>
        </is>
      </c>
    </row>
    <row r="3" ht="15" customHeight="1" s="14">
      <c r="A3" s="31" t="inlineStr">
        <is>
          <t>Progress series: 3 sessions, one client</t>
        </is>
      </c>
      <c r="B3" s="31" t="inlineStr">
        <is>
          <t>Carousel</t>
        </is>
      </c>
      <c r="C3" s="31" t="inlineStr">
        <is>
          <t>Trust &amp; Proof</t>
        </is>
      </c>
      <c r="D3" s="31" t="inlineStr">
        <is>
          <t>3 sessions. Watch what happened.</t>
        </is>
      </c>
      <c r="E3" s="31" t="inlineStr">
        <is>
          <t>Needs client consent and photos over time</t>
        </is>
      </c>
    </row>
    <row r="4" ht="15" customHeight="1" s="14">
      <c r="A4" s="31" t="inlineStr">
        <is>
          <t>Under-eye filler: the honest truth</t>
        </is>
      </c>
      <c r="B4" s="31" t="inlineStr">
        <is>
          <t>Carousel</t>
        </is>
      </c>
      <c r="C4" s="31" t="inlineStr">
        <is>
          <t>Education</t>
        </is>
      </c>
      <c r="D4" s="31" t="inlineStr">
        <is>
          <t>The most requested, most misunderstood treatment.</t>
        </is>
      </c>
      <c r="E4" s="31" t="inlineStr">
        <is>
          <t>High search volume topic</t>
        </is>
      </c>
    </row>
    <row r="5" ht="15" customHeight="1" s="14">
      <c r="A5" s="31" t="inlineStr">
        <is>
          <t>Men and Botox: the fastest growing clients</t>
        </is>
      </c>
      <c r="B5" s="31" t="inlineStr">
        <is>
          <t>Carousel</t>
        </is>
      </c>
      <c r="C5" s="31" t="inlineStr">
        <is>
          <t>Education</t>
        </is>
      </c>
      <c r="D5" s="31" t="inlineStr">
        <is>
          <t>Brotox is not a trend. It is a Tuesday.</t>
        </is>
      </c>
      <c r="E5" s="31" t="inlineStr">
        <is>
          <t>Untapped audience</t>
        </is>
      </c>
    </row>
    <row r="6" ht="15" customHeight="1" s="14">
      <c r="A6" s="31" t="inlineStr">
        <is>
          <t>What filters did to beauty standards</t>
        </is>
      </c>
      <c r="B6" s="31" t="inlineStr">
        <is>
          <t>Carousel</t>
        </is>
      </c>
      <c r="C6" s="31" t="inlineStr">
        <is>
          <t>Trust &amp; Proof</t>
        </is>
      </c>
      <c r="D6" s="31" t="inlineStr">
        <is>
          <t>Your face is not supposed to look like a filter.</t>
        </is>
      </c>
      <c r="E6" s="31" t="inlineStr">
        <is>
          <t>Emotional, highly shareable</t>
        </is>
      </c>
    </row>
    <row r="7" ht="15" customHeight="1" s="14">
      <c r="A7" s="31" t="inlineStr">
        <is>
          <t>Skincare before injectables: the right order</t>
        </is>
      </c>
      <c r="B7" s="31" t="inlineStr">
        <is>
          <t>Carousel</t>
        </is>
      </c>
      <c r="C7" s="31" t="inlineStr">
        <is>
          <t>Education</t>
        </is>
      </c>
      <c r="D7" s="31" t="inlineStr">
        <is>
          <t>Do this before you spend a dollar on filler.</t>
        </is>
      </c>
      <c r="E7" s="31" t="inlineStr">
        <is>
          <t>Positions you as honest advisor</t>
        </is>
      </c>
    </row>
    <row r="8" ht="15" customHeight="1" s="14">
      <c r="A8" s="31" t="inlineStr">
        <is>
          <t>IG Live: Ask Me Anything</t>
        </is>
      </c>
      <c r="B8" s="31" t="inlineStr">
        <is>
          <t>Live + Reel clips</t>
        </is>
      </c>
      <c r="C8" s="31" t="inlineStr">
        <is>
          <t>Personality &amp; BTS</t>
        </is>
      </c>
      <c r="D8" s="31" t="inlineStr">
        <is>
          <t>Monthly live Q&amp;A, clip the best answers into reels</t>
        </is>
      </c>
      <c r="E8" s="31" t="inlineStr">
        <is>
          <t>Each live produces 3-5 reels</t>
        </is>
      </c>
    </row>
    <row r="9" ht="15" customHeight="1" s="14">
      <c r="A9" s="31" t="inlineStr">
        <is>
          <t>Duet or stitch a Botox myth video</t>
        </is>
      </c>
      <c r="B9" s="31" t="inlineStr">
        <is>
          <t>TikTok / Reel</t>
        </is>
      </c>
      <c r="C9" s="31" t="inlineStr">
        <is>
          <t>Education</t>
        </is>
      </c>
      <c r="D9" s="31" t="inlineStr">
        <is>
          <t>React to viral misinformation with facts</t>
        </is>
      </c>
      <c r="E9" s="31" t="inlineStr">
        <is>
          <t>TikTok native format, high reach</t>
        </is>
      </c>
    </row>
    <row r="10" ht="15" customHeight="1" s="14">
      <c r="A10" s="31" t="inlineStr">
        <is>
          <t>Get ready with me: injector edition</t>
        </is>
      </c>
      <c r="B10" s="31" t="inlineStr">
        <is>
          <t>Reel / TikTok</t>
        </is>
      </c>
      <c r="C10" s="31" t="inlineStr">
        <is>
          <t>Personality &amp; BTS</t>
        </is>
      </c>
      <c r="D10" s="31" t="inlineStr">
        <is>
          <t>GRWM for a day of consults</t>
        </is>
      </c>
      <c r="E10" s="31" t="inlineStr">
        <is>
          <t>Trending format</t>
        </is>
      </c>
    </row>
    <row r="11" ht="15" customHeight="1" s="14">
      <c r="A11" s="31" t="inlineStr">
        <is>
          <t>Before your event checklist</t>
        </is>
      </c>
      <c r="B11" s="31" t="inlineStr">
        <is>
          <t>Reel</t>
        </is>
      </c>
      <c r="C11" s="31" t="inlineStr">
        <is>
          <t>Promo &amp; CTA</t>
        </is>
      </c>
      <c r="D11" s="31" t="inlineStr">
        <is>
          <t>Wedding or reunion coming? Watch this first.</t>
        </is>
      </c>
      <c r="E11" s="31" t="inlineStr">
        <is>
          <t>Evergreen, re-post seasonally</t>
        </is>
      </c>
    </row>
    <row r="12">
      <c r="A12" s="24" t="inlineStr">
        <is>
          <t>Is Filler Right for You? An Honest Checklist</t>
        </is>
      </c>
      <c r="B12" s="24" t="inlineStr">
        <is>
          <t>Carousel</t>
        </is>
      </c>
      <c r="C12" s="24" t="inlineStr">
        <is>
          <t>Trust &amp; Proof</t>
        </is>
      </c>
      <c r="D12" s="24" t="inlineStr">
        <is>
          <t>Not everyone is a candidate. Here is how to know.</t>
        </is>
      </c>
      <c r="E12" s="24" t="inlineStr">
        <is>
          <t>Displaced from Oct 15 by the real-results carousel. Strong topic, reschedule</t>
        </is>
      </c>
    </row>
    <row r="13">
      <c r="A13" s="24" t="inlineStr">
        <is>
          <t>Quote: Subtle Is the New Dramatic</t>
        </is>
      </c>
      <c r="B13" s="24" t="inlineStr">
        <is>
          <t>Single Image</t>
        </is>
      </c>
      <c r="C13" s="24" t="inlineStr">
        <is>
          <t>Trust &amp; Proof</t>
        </is>
      </c>
      <c r="D13" s="24" t="inlineStr">
        <is>
          <t>The best work whispers.</t>
        </is>
      </c>
      <c r="E13" s="24" t="inlineStr">
        <is>
          <t>Oct 10 now runs this line over a real result instead of a plain quote card</t>
        </is>
      </c>
    </row>
    <row r="14">
      <c r="A14" s="24" t="inlineStr">
        <is>
          <t>The Clinic Is Holiday Ready</t>
        </is>
      </c>
      <c r="B14" s="24" t="inlineStr">
        <is>
          <t>Single Image</t>
        </is>
      </c>
      <c r="C14" s="24" t="inlineStr">
        <is>
          <t>Personality &amp; BTS</t>
        </is>
      </c>
      <c r="D14" s="24" t="inlineStr">
        <is>
          <t>Glow-up season is officially open.</t>
        </is>
      </c>
      <c r="E14" s="24" t="inlineStr">
        <is>
          <t>Displaced from Nov 6 by the every-angle carousel. Needs a clinic photo anyway</t>
        </is>
      </c>
    </row>
    <row r="15">
      <c r="A15" s="24" t="inlineStr">
        <is>
          <t>Pair D before and after</t>
        </is>
      </c>
      <c r="B15" s="24" t="inlineStr">
        <is>
          <t>Before/After</t>
        </is>
      </c>
      <c r="C15" s="24" t="inlineStr">
        <is>
          <t>Trust &amp; Proof</t>
        </is>
      </c>
      <c r="D15" s="24" t="inlineStr">
        <is>
          <t>Subtle lip border refinement.</t>
        </is>
      </c>
      <c r="E15" s="24" t="inlineStr">
        <is>
          <t>img_1444 / img_1447. HOLD: Cleo to confirm which is the before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2026-08-12T18:22:33Z</dcterms:created>
  <dcterms:modified xsi:type="dcterms:W3CDTF">2026-08-17T09:36:13Z</dcterms:modified>
  <cp:revision>0</cp:revision>
</cp:coreProperties>
</file>