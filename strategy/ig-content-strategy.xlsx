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How to Use" sheetId="1" state="visible" r:id="rId1"/>
    <sheet name="Posting Schedule" sheetId="2" state="visible" r:id="rId2"/>
    <sheet name="Reels &amp; Video Routine" sheetId="3" state="visible" r:id="rId3"/>
    <sheet name="GBP Daily" sheetId="4" state="visible" r:id="rId4"/>
    <sheet name="Monthly Themes" sheetId="5" state="visible" r:id="rId5"/>
    <sheet name="Hashtag Sets" sheetId="6" state="visible" r:id="rId6"/>
    <sheet name="Content Pillars" sheetId="7" state="visible" r:id="rId7"/>
    <sheet name="Photo Library" sheetId="8" state="visible" r:id="rId8"/>
    <sheet name="Ideas Backlog" sheetId="9" state="visible" r:id="rId9"/>
  </sheets>
  <definedNames>
    <definedName name="_xlnm._FilterDatabase" localSheetId="1" hidden="1">'Posting Schedule'!$A$1:$AD$67</definedName>
    <definedName name="_xlnm._FilterDatabase" localSheetId="2" hidden="1">'Reels &amp; Video Routine'!$A$1:$AA$1000</definedName>
    <definedName name="_xlnm._FilterDatabase" localSheetId="3" hidden="1">'GBP Daily'!$A$1:$Q$80</definedName>
    <definedName name="_xlnm._FilterDatabase" localSheetId="4" hidden="1">'Monthly Themes'!$A$1:$Z$1001</definedName>
    <definedName name="_xlnm._FilterDatabase" localSheetId="5" hidden="1">'Hashtag Sets'!$A$1:$Z$1001</definedName>
    <definedName name="_xlnm._FilterDatabase" localSheetId="6" hidden="1">'Content Pillars'!$A$1:$Z$1000</definedName>
    <definedName name="_xlnm._FilterDatabase" localSheetId="7" hidden="1">'Photo Library'!$A$1:$Z$1000</definedName>
    <definedName name="_xlnm._FilterDatabase" localSheetId="8" hidden="1">'Ideas Backlog'!$A$1:$Z$1004</definedName>
  </definedNames>
  <calcPr calcId="124519" fullCalcOnLoad="1"/>
</workbook>
</file>

<file path=xl/styles.xml><?xml version="1.0" encoding="utf-8"?>
<styleSheet xmlns="http://schemas.openxmlformats.org/spreadsheetml/2006/main">
  <numFmts count="2">
    <numFmt numFmtId="164" formatCode="mmm\ d&quot;, &quot;yyyy"/>
    <numFmt numFmtId="165" formatCode="yyyy-mm-dd"/>
  </numFmts>
  <fonts count="19">
    <font>
      <name val="Calibri"/>
      <color theme="1"/>
      <sz val="11"/>
      <scheme val="minor"/>
    </font>
    <font>
      <name val="Calibri"/>
      <color theme="1"/>
      <sz val="11"/>
    </font>
    <font>
      <name val="Arial"/>
      <b val="1"/>
      <color rgb="FF2E2A23"/>
      <sz val="15"/>
    </font>
    <font>
      <name val="Calibri"/>
      <b val="1"/>
      <color rgb="FFFFFFFF"/>
      <sz val="11"/>
    </font>
    <font>
      <name val="Arial"/>
      <i val="1"/>
      <color rgb="FF6E6557"/>
      <sz val="10"/>
    </font>
    <font>
      <name val="Arial"/>
      <b val="1"/>
      <color rgb="FFFFFFFF"/>
      <sz val="10"/>
    </font>
    <font>
      <name val="Arial"/>
      <color theme="1"/>
      <sz val="10"/>
    </font>
    <font>
      <name val="Arial"/>
      <b val="1"/>
      <color theme="1"/>
      <sz val="10"/>
    </font>
    <font>
      <name val="Arial"/>
      <color rgb="FF0000FF"/>
      <sz val="10"/>
      <u val="single"/>
    </font>
    <font>
      <name val="Calibri"/>
      <color rgb="FF0000FF"/>
      <sz val="11"/>
      <u val="single"/>
    </font>
    <font>
      <name val="Arial"/>
      <color rgb="FF0563C1"/>
      <sz val="10"/>
      <u val="single"/>
    </font>
    <font>
      <name val="Arial"/>
      <color rgb="FF0563C1"/>
      <sz val="10"/>
      <u val="single"/>
    </font>
    <font>
      <name val="Calibri"/>
      <color rgb="FF0000FF"/>
      <sz val="11"/>
      <u val="single"/>
    </font>
    <font>
      <name val="Arial"/>
      <color rgb="FF0563C1"/>
      <sz val="10"/>
      <u val="single"/>
    </font>
    <font>
      <name val="Calibri"/>
      <b val="1"/>
      <color theme="1"/>
    </font>
    <font>
      <b val="1"/>
      <color rgb="00FFFFFF"/>
    </font>
    <font>
      <name val="Calibri"/>
      <family val="2"/>
      <color theme="10"/>
      <sz val="12"/>
      <scheme val="minor"/>
    </font>
    <font>
      <name val="Calibri"/>
      <sz val="11"/>
    </font>
    <font>
      <name val="Calibri"/>
      <b val="1"/>
      <color rgb="00FFFFFF"/>
      <sz val="11"/>
    </font>
  </fonts>
  <fills count="9">
    <fill>
      <patternFill/>
    </fill>
    <fill>
      <patternFill patternType="lightGray"/>
    </fill>
    <fill>
      <patternFill patternType="solid">
        <fgColor rgb="FF2E2A23"/>
        <bgColor rgb="FF2E2A23"/>
      </patternFill>
    </fill>
    <fill>
      <patternFill patternType="solid">
        <fgColor rgb="FFF3EEE5"/>
        <bgColor rgb="FFF3EEE5"/>
      </patternFill>
    </fill>
    <fill>
      <patternFill patternType="solid">
        <fgColor rgb="FFFFF6DF"/>
        <bgColor rgb="FFFFF6DF"/>
      </patternFill>
    </fill>
    <fill>
      <patternFill patternType="solid">
        <fgColor rgb="FFFFFFFF"/>
        <bgColor rgb="FFFFFFFF"/>
      </patternFill>
    </fill>
    <fill>
      <patternFill patternType="solid">
        <fgColor rgb="002E2A23"/>
      </patternFill>
    </fill>
    <fill>
      <patternFill patternType="solid">
        <fgColor rgb="00F3EEE5"/>
      </patternFill>
    </fill>
    <fill>
      <patternFill patternType="solid">
        <fgColor rgb="00FFF6DF"/>
      </patternFill>
    </fill>
  </fills>
  <borders count="4">
    <border/>
    <border>
      <left style="thin">
        <color rgb="FFD8D0C0"/>
      </left>
      <right style="thin">
        <color rgb="FFD8D0C0"/>
      </right>
      <top style="thin">
        <color rgb="FFD8D0C0"/>
      </top>
      <bottom style="thin">
        <color rgb="FFD8D0C0"/>
      </bottom>
    </border>
    <border>
      <left/>
      <right/>
      <top/>
      <bottom/>
    </border>
    <border>
      <left/>
      <right/>
      <top/>
      <bottom/>
      <diagonal/>
    </border>
  </borders>
  <cellStyleXfs count="2">
    <xf numFmtId="0" fontId="0" fillId="0" borderId="0"/>
    <xf numFmtId="0" fontId="16" fillId="0" borderId="3"/>
  </cellStyleXfs>
  <cellXfs count="62">
    <xf numFmtId="0" fontId="0" fillId="0" borderId="0" applyAlignment="1" pivotButton="0" quotePrefix="0" xfId="0">
      <alignment vertical="bottom"/>
    </xf>
    <xf numFmtId="0" fontId="1" fillId="0" borderId="0" applyAlignment="1" pivotButton="0" quotePrefix="0" xfId="0">
      <alignment vertical="center" wrapText="1"/>
    </xf>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0" fontId="3" fillId="2" borderId="2" applyAlignment="1" pivotButton="0" quotePrefix="0" xfId="0">
      <alignment vertical="center" wrapText="1"/>
    </xf>
    <xf numFmtId="0" fontId="5" fillId="2" borderId="2" pivotButton="0" quotePrefix="0" xfId="0"/>
    <xf numFmtId="0" fontId="1" fillId="2" borderId="2" pivotButton="0" quotePrefix="0" xfId="0"/>
    <xf numFmtId="164" fontId="6" fillId="3" borderId="1" applyAlignment="1" pivotButton="0" quotePrefix="0" xfId="0">
      <alignment vertical="top" wrapText="1"/>
    </xf>
    <xf numFmtId="0" fontId="6" fillId="3" borderId="1"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3" fillId="2" borderId="1" applyAlignment="1" pivotButton="0" quotePrefix="0" xfId="0">
      <alignment horizontal="center" vertical="center" wrapText="1"/>
    </xf>
    <xf numFmtId="165" fontId="1" fillId="0" borderId="0" pivotButton="0" quotePrefix="0" xfId="0"/>
    <xf numFmtId="0" fontId="1" fillId="0" borderId="0" applyAlignment="1" pivotButton="0" quotePrefix="0" xfId="0">
      <alignment vertical="top" wrapText="1"/>
    </xf>
    <xf numFmtId="0" fontId="6" fillId="3" borderId="1" applyAlignment="1" pivotButton="0" quotePrefix="0" xfId="0">
      <alignment horizontal="center" vertical="top" wrapText="1"/>
    </xf>
    <xf numFmtId="0" fontId="8" fillId="0" borderId="0" applyAlignment="1" pivotButton="0" quotePrefix="0" xfId="0">
      <alignment vertical="top" wrapText="1"/>
    </xf>
    <xf numFmtId="0" fontId="9" fillId="0" borderId="0" pivotButton="0" quotePrefix="0" xfId="0"/>
    <xf numFmtId="0" fontId="1" fillId="3" borderId="2" pivotButton="0" quotePrefix="0" xfId="0"/>
    <xf numFmtId="0" fontId="1" fillId="4" borderId="2" applyAlignment="1" pivotButton="0" quotePrefix="0" xfId="0">
      <alignment vertical="top" wrapText="1"/>
    </xf>
    <xf numFmtId="0" fontId="10" fillId="3" borderId="1" applyAlignment="1" pivotButton="0" quotePrefix="0" xfId="0">
      <alignment vertical="top" wrapText="1"/>
    </xf>
    <xf numFmtId="0" fontId="11" fillId="0" borderId="0" applyAlignment="1" pivotButton="0" quotePrefix="0" xfId="0">
      <alignment vertical="top" wrapText="1"/>
    </xf>
    <xf numFmtId="165" fontId="1" fillId="3" borderId="2" pivotButton="0" quotePrefix="0" xfId="0"/>
    <xf numFmtId="0" fontId="1" fillId="3" borderId="2" applyAlignment="1" pivotButton="0" quotePrefix="0" xfId="0">
      <alignment vertical="top" wrapText="1"/>
    </xf>
    <xf numFmtId="0" fontId="12" fillId="3" borderId="2" pivotButton="0" quotePrefix="0" xfId="0"/>
    <xf numFmtId="0" fontId="6" fillId="0" borderId="1" applyAlignment="1" pivotButton="0" quotePrefix="0" xfId="0">
      <alignment horizontal="center" vertical="top" wrapText="1"/>
    </xf>
    <xf numFmtId="164" fontId="6" fillId="0" borderId="1" applyAlignment="1" pivotButton="0" quotePrefix="0" xfId="0">
      <alignment vertical="top" wrapText="1"/>
    </xf>
    <xf numFmtId="0" fontId="6" fillId="4" borderId="1" applyAlignment="1" pivotButton="0" quotePrefix="0" xfId="0">
      <alignment vertical="top" wrapText="1"/>
    </xf>
    <xf numFmtId="0" fontId="6" fillId="0" borderId="1" applyAlignment="1" pivotButton="0" quotePrefix="0" xfId="0">
      <alignment vertical="top" wrapText="1"/>
    </xf>
    <xf numFmtId="0" fontId="7" fillId="5" borderId="0" pivotButton="0" quotePrefix="0" xfId="0"/>
    <xf numFmtId="0" fontId="6" fillId="5" borderId="0" applyAlignment="1" pivotButton="0" quotePrefix="0" xfId="0">
      <alignment vertical="top" wrapText="1"/>
    </xf>
    <xf numFmtId="0" fontId="13" fillId="0" borderId="1" applyAlignment="1" pivotButton="0" quotePrefix="0" xfId="0">
      <alignment vertical="top" wrapText="1"/>
    </xf>
    <xf numFmtId="0" fontId="5" fillId="2" borderId="0" pivotButton="0" quotePrefix="0" xfId="0"/>
    <xf numFmtId="0" fontId="7" fillId="5" borderId="2" pivotButton="0" quotePrefix="0" xfId="0"/>
    <xf numFmtId="0" fontId="6" fillId="5" borderId="2" applyAlignment="1" pivotButton="0" quotePrefix="0" xfId="0">
      <alignment vertical="top" wrapText="1"/>
    </xf>
    <xf numFmtId="0" fontId="1" fillId="5" borderId="0" pivotButton="0" quotePrefix="0" xfId="0"/>
    <xf numFmtId="0" fontId="5" fillId="5" borderId="2" pivotButton="0" quotePrefix="0" xfId="0"/>
    <xf numFmtId="0" fontId="1" fillId="5" borderId="2" pivotButton="0" quotePrefix="0" xfId="0"/>
    <xf numFmtId="0" fontId="14" fillId="5" borderId="0" pivotButton="0" quotePrefix="0" xfId="0"/>
    <xf numFmtId="0" fontId="1" fillId="5" borderId="0" applyAlignment="1" pivotButton="0" quotePrefix="0" xfId="0">
      <alignment vertical="top" wrapText="1"/>
    </xf>
    <xf numFmtId="0" fontId="1" fillId="0" borderId="0" applyAlignment="1" pivotButton="0" quotePrefix="0" xfId="0">
      <alignment vertical="bottom"/>
    </xf>
    <xf numFmtId="0" fontId="0" fillId="0" borderId="0" pivotButton="0" quotePrefix="0" xfId="0"/>
    <xf numFmtId="0" fontId="15" fillId="6" borderId="0" applyAlignment="1" pivotButton="0" quotePrefix="0" xfId="0">
      <alignment vertical="center"/>
    </xf>
    <xf numFmtId="165" fontId="17" fillId="0" borderId="0" pivotButton="0" quotePrefix="0" xfId="0"/>
    <xf numFmtId="0" fontId="17" fillId="0" borderId="0" pivotButton="0" quotePrefix="0" xfId="0"/>
    <xf numFmtId="0" fontId="17" fillId="0" borderId="0" applyAlignment="1" pivotButton="0" quotePrefix="0" xfId="0">
      <alignment vertical="top" wrapText="1"/>
    </xf>
    <xf numFmtId="0" fontId="17" fillId="0" borderId="3" pivotButton="0" quotePrefix="0" xfId="1"/>
    <xf numFmtId="165" fontId="17" fillId="7" borderId="0" pivotButton="0" quotePrefix="0" xfId="0"/>
    <xf numFmtId="0" fontId="17" fillId="7" borderId="0" pivotButton="0" quotePrefix="0" xfId="0"/>
    <xf numFmtId="0" fontId="17" fillId="7" borderId="0" applyAlignment="1" pivotButton="0" quotePrefix="0" xfId="0">
      <alignment vertical="top" wrapText="1"/>
    </xf>
    <xf numFmtId="0" fontId="17" fillId="7" borderId="3" pivotButton="0" quotePrefix="0" xfId="1"/>
    <xf numFmtId="0" fontId="18" fillId="6" borderId="1" applyAlignment="1" pivotButton="0" quotePrefix="0" xfId="0">
      <alignment vertical="center" wrapText="1"/>
    </xf>
    <xf numFmtId="0" fontId="18" fillId="6" borderId="2" applyAlignment="1" pivotButton="0" quotePrefix="0" xfId="0">
      <alignment vertical="center" wrapText="1"/>
    </xf>
    <xf numFmtId="0" fontId="6" fillId="8" borderId="1" applyAlignment="1" pivotButton="0" quotePrefix="0" xfId="0">
      <alignment vertical="top" wrapText="1"/>
    </xf>
    <xf numFmtId="0" fontId="1" fillId="8" borderId="0" applyAlignment="1" pivotButton="0" quotePrefix="0" xfId="0">
      <alignment vertical="bottom"/>
    </xf>
    <xf numFmtId="0" fontId="1" fillId="8" borderId="0" pivotButton="0" quotePrefix="0" xfId="0"/>
    <xf numFmtId="0" fontId="6" fillId="8" borderId="1" applyAlignment="1" pivotButton="0" quotePrefix="0" xfId="0">
      <alignment horizontal="center" vertical="top" wrapText="1"/>
    </xf>
    <xf numFmtId="0" fontId="18" fillId="6" borderId="0" applyAlignment="1" pivotButton="0" quotePrefix="0" xfId="0">
      <alignment vertical="center" wrapText="1"/>
    </xf>
    <xf numFmtId="0" fontId="17" fillId="8" borderId="0" applyAlignment="1" pivotButton="0" quotePrefix="0" xfId="0">
      <alignment vertical="top" wrapText="1"/>
    </xf>
    <xf numFmtId="0" fontId="5" fillId="0" borderId="0" pivotButton="0" quotePrefix="0" xfId="0"/>
    <xf numFmtId="0" fontId="0" fillId="0" borderId="0" applyAlignment="1" pivotButton="0" quotePrefix="0" xfId="0">
      <alignment vertical="top" wrapText="1"/>
    </xf>
  </cellXfs>
  <cellStyles count="2">
    <cellStyle name="Normal" xfId="0" builtinId="0"/>
    <cellStyle name="Hyperlink" xfId="1" builtinId="8" hidden="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blog-copy-sept-images-ct1od6/content/2026-08-17-5-botox-lies-you-still" TargetMode="External" Id="rId1" /><Relationship Type="http://schemas.openxmlformats.org/officeDocument/2006/relationships/hyperlink" Target="https://github.com/RepoKing23/InstagramCarousel/tree/claude/blog-copy-sept-images-ct1od6/content/2026-08-17-5-botox-lies-you-still/images" TargetMode="External" Id="rId2" /><Relationship Type="http://schemas.openxmlformats.org/officeDocument/2006/relationships/hyperlink" Target="https://github.com/RepoKing23/InstagramCarousel/tree/claude/blog-copy-sept-images-ct1od6/content/2026-08-17-5-botox-lies-you-still/images" TargetMode="External" Id="rId3" /><Relationship Type="http://schemas.openxmlformats.org/officeDocument/2006/relationships/hyperlink" Target="https://github.com/RepoKing23/InstagramCarousel/blob/claude/blog-copy-sept-images-ct1od6/content/2026-08-17-5-botox-lies-you-still/images/gbp.jpg?raw=1" TargetMode="External" Id="rId4" /><Relationship Type="http://schemas.openxmlformats.org/officeDocument/2006/relationships/hyperlink" Target="https://github.com/RepoKing23/InstagramCarousel/blob/claude/blog-copy-sept-images-ct1od6/content/2026-08-17-5-botox-lies-you-still/images/gbp.jpg?raw=1" TargetMode="External" Id="rId5" /><Relationship Type="http://schemas.openxmlformats.org/officeDocument/2006/relationships/hyperlink" Target="https://github.com/RepoKing23/InstagramCarousel/tree/claude/blog-copy-sept-images-ct1od6/content/2026-08-18-service-spotlight-botox" TargetMode="External" Id="rId6" /><Relationship Type="http://schemas.openxmlformats.org/officeDocument/2006/relationships/hyperlink" Target="https://github.com/RepoKing23/InstagramCarousel/blob/claude/blog-copy-sept-images-ct1od6/content/2026-08-18-service-spotlight-botox/images/post.jpg?raw=1" TargetMode="External" Id="rId7" /><Relationship Type="http://schemas.openxmlformats.org/officeDocument/2006/relationships/hyperlink" Target="https://github.com/RepoKing23/InstagramCarousel/blob/claude/blog-copy-sept-images-ct1od6/content/2026-08-18-service-spotlight-botox/images/post.jpg?raw=1" TargetMode="External" Id="rId8" /><Relationship Type="http://schemas.openxmlformats.org/officeDocument/2006/relationships/hyperlink" Target="https://github.com/RepoKing23/InstagramCarousel/blob/claude/blog-copy-sept-images-ct1od6/content/2026-08-18-service-spotlight-botox/images/gbp.jpg?raw=1" TargetMode="External" Id="rId9" /><Relationship Type="http://schemas.openxmlformats.org/officeDocument/2006/relationships/hyperlink" Target="https://github.com/RepoKing23/InstagramCarousel/blob/claude/blog-copy-sept-images-ct1od6/content/2026-08-18-service-spotlight-botox/images/gbp.jpg?raw=1" TargetMode="External" Id="rId10" /><Relationship Type="http://schemas.openxmlformats.org/officeDocument/2006/relationships/hyperlink" Target="https://github.com/RepoKing23/InstagramCarousel/tree/claude/blog-copy-sept-images-ct1od6/content/2026-08-20-5-red-flags-at-a" TargetMode="External" Id="rId11" /><Relationship Type="http://schemas.openxmlformats.org/officeDocument/2006/relationships/hyperlink" Target="https://github.com/RepoKing23/InstagramCarousel/tree/claude/blog-copy-sept-images-ct1od6/content/2026-08-20-5-red-flags-at-a/images" TargetMode="External" Id="rId12" /><Relationship Type="http://schemas.openxmlformats.org/officeDocument/2006/relationships/hyperlink" Target="https://github.com/RepoKing23/InstagramCarousel/tree/claude/blog-copy-sept-images-ct1od6/content/2026-08-20-5-red-flags-at-a/images" TargetMode="External" Id="rId13" /><Relationship Type="http://schemas.openxmlformats.org/officeDocument/2006/relationships/hyperlink" Target="https://github.com/RepoKing23/InstagramCarousel/blob/claude/blog-copy-sept-images-ct1od6/content/2026-08-20-5-red-flags-at-a/images/gbp.jpg?raw=1" TargetMode="External" Id="rId14" /><Relationship Type="http://schemas.openxmlformats.org/officeDocument/2006/relationships/hyperlink" Target="https://github.com/RepoKing23/InstagramCarousel/blob/claude/blog-copy-sept-images-ct1od6/content/2026-08-20-5-red-flags-at-a/images/gbp.jpg?raw=1" TargetMode="External" Id="rId15" /><Relationship Type="http://schemas.openxmlformats.org/officeDocument/2006/relationships/hyperlink" Target="https://github.com/RepoKing23/InstagramCarousel/tree/claude/blog-copy-sept-images-ct1od6/content/2026-08-21-behind-the-scenes-the-prep" TargetMode="External" Id="rId16" /><Relationship Type="http://schemas.openxmlformats.org/officeDocument/2006/relationships/hyperlink" Target="https://github.com/RepoKing23/InstagramCarousel/blob/claude/blog-copy-sept-images-ct1od6/content/2026-08-21-behind-the-scenes-the-prep/images/post.jpg?raw=1" TargetMode="External" Id="rId17" /><Relationship Type="http://schemas.openxmlformats.org/officeDocument/2006/relationships/hyperlink" Target="https://github.com/RepoKing23/InstagramCarousel/blob/claude/blog-copy-sept-images-ct1od6/content/2026-08-21-behind-the-scenes-the-prep/images/post.jpg?raw=1" TargetMode="External" Id="rId18" /><Relationship Type="http://schemas.openxmlformats.org/officeDocument/2006/relationships/hyperlink" Target="https://github.com/RepoKing23/InstagramCarousel/blob/claude/blog-copy-sept-images-ct1od6/content/2026-08-21-behind-the-scenes-the-prep/images/gbp.jpg?raw=1" TargetMode="External" Id="rId19" /><Relationship Type="http://schemas.openxmlformats.org/officeDocument/2006/relationships/hyperlink" Target="https://github.com/RepoKing23/InstagramCarousel/blob/claude/blog-copy-sept-images-ct1od6/content/2026-08-21-behind-the-scenes-the-prep/images/gbp.jpg?raw=1" TargetMode="External" Id="rId20" /><Relationship Type="http://schemas.openxmlformats.org/officeDocument/2006/relationships/hyperlink" Target="https://github.com/RepoKing23/InstagramCarousel/tree/claude/blog-copy-sept-images-ct1od6/content/2026-08-22-great-work-is-invisible" TargetMode="External" Id="rId21" /><Relationship Type="http://schemas.openxmlformats.org/officeDocument/2006/relationships/hyperlink" Target="https://github.com/RepoKing23/InstagramCarousel/blob/claude/blog-copy-sept-images-ct1od6/content/2026-08-22-great-work-is-invisible/images/before-after-result.jpg?raw=1" TargetMode="External" Id="rId22" /><Relationship Type="http://schemas.openxmlformats.org/officeDocument/2006/relationships/hyperlink" Target="https://github.com/RepoKing23/InstagramCarousel/blob/claude/blog-copy-sept-images-ct1od6/content/2026-08-22-great-work-is-invisible/images/before-after-result.jpg?raw=1" TargetMode="External" Id="rId23" /><Relationship Type="http://schemas.openxmlformats.org/officeDocument/2006/relationships/hyperlink" Target="https://github.com/RepoKing23/InstagramCarousel/blob/claude/blog-copy-sept-images-ct1od6/content/2026-08-22-great-work-is-invisible/images/gbp.jpg?raw=1" TargetMode="External" Id="rId24" /><Relationship Type="http://schemas.openxmlformats.org/officeDocument/2006/relationships/hyperlink" Target="https://github.com/RepoKing23/InstagramCarousel/blob/claude/blog-copy-sept-images-ct1od6/content/2026-08-22-great-work-is-invisible/images/gbp.jpg?raw=1" TargetMode="External" Id="rId25" /><Relationship Type="http://schemas.openxmlformats.org/officeDocument/2006/relationships/hyperlink" Target="https://github.com/RepoKing23/InstagramCarousel/tree/claude/blog-copy-sept-images-ct1od6/content/2026-08-24-your-first-visit-step-by" TargetMode="External" Id="rId26" /><Relationship Type="http://schemas.openxmlformats.org/officeDocument/2006/relationships/hyperlink" Target="https://github.com/RepoKing23/InstagramCarousel/tree/claude/blog-copy-sept-images-ct1od6/content/2026-08-24-your-first-visit-step-by/images" TargetMode="External" Id="rId27" /><Relationship Type="http://schemas.openxmlformats.org/officeDocument/2006/relationships/hyperlink" Target="https://github.com/RepoKing23/InstagramCarousel/tree/claude/blog-copy-sept-images-ct1od6/content/2026-08-24-your-first-visit-step-by/images" TargetMode="External" Id="rId28" /><Relationship Type="http://schemas.openxmlformats.org/officeDocument/2006/relationships/hyperlink" Target="https://github.com/RepoKing23/InstagramCarousel/blob/claude/blog-copy-sept-images-ct1od6/content/2026-08-24-your-first-visit-step-by/images/gbp.jpg?raw=1" TargetMode="External" Id="rId29" /><Relationship Type="http://schemas.openxmlformats.org/officeDocument/2006/relationships/hyperlink" Target="https://github.com/RepoKing23/InstagramCarousel/blob/claude/blog-copy-sept-images-ct1od6/content/2026-08-24-your-first-visit-step-by/images/gbp.jpg?raw=1" TargetMode="External" Id="rId30" /><Relationship Type="http://schemas.openxmlformats.org/officeDocument/2006/relationships/hyperlink" Target="https://github.com/RepoKing23/InstagramCarousel/tree/claude/blog-copy-sept-images-ct1od6/content/2026-08-25-why-i-do-not-post" TargetMode="External" Id="rId31" /><Relationship Type="http://schemas.openxmlformats.org/officeDocument/2006/relationships/hyperlink" Target="https://github.com/RepoKing23/InstagramCarousel/blob/claude/blog-copy-sept-images-ct1od6/content/2026-08-25-why-i-do-not-post/images/post.jpg?raw=1" TargetMode="External" Id="rId32" /><Relationship Type="http://schemas.openxmlformats.org/officeDocument/2006/relationships/hyperlink" Target="https://github.com/RepoKing23/InstagramCarousel/blob/claude/blog-copy-sept-images-ct1od6/content/2026-08-25-why-i-do-not-post/images/post.jpg?raw=1" TargetMode="External" Id="rId33" /><Relationship Type="http://schemas.openxmlformats.org/officeDocument/2006/relationships/hyperlink" Target="https://github.com/RepoKing23/InstagramCarousel/blob/claude/blog-copy-sept-images-ct1od6/content/2026-08-25-why-i-do-not-post/images/gbp.jpg?raw=1" TargetMode="External" Id="rId34" /><Relationship Type="http://schemas.openxmlformats.org/officeDocument/2006/relationships/hyperlink" Target="https://github.com/RepoKing23/InstagramCarousel/blob/claude/blog-copy-sept-images-ct1od6/content/2026-08-25-why-i-do-not-post/images/gbp.jpg?raw=1" TargetMode="External" Id="rId35" /><Relationship Type="http://schemas.openxmlformats.org/officeDocument/2006/relationships/hyperlink" Target="https://github.com/RepoKing23/InstagramCarousel/tree/claude/blog-copy-sept-images-ct1od6/content/2026-08-27-meet-np-cleo-the-face" TargetMode="External" Id="rId36" /><Relationship Type="http://schemas.openxmlformats.org/officeDocument/2006/relationships/hyperlink" Target="https://github.com/RepoKing23/InstagramCarousel/tree/claude/blog-copy-sept-images-ct1od6/content/2026-08-27-meet-np-cleo-the-face/images" TargetMode="External" Id="rId37" /><Relationship Type="http://schemas.openxmlformats.org/officeDocument/2006/relationships/hyperlink" Target="https://github.com/RepoKing23/InstagramCarousel/tree/claude/blog-copy-sept-images-ct1od6/content/2026-08-27-meet-np-cleo-the-face/images" TargetMode="External" Id="rId38" /><Relationship Type="http://schemas.openxmlformats.org/officeDocument/2006/relationships/hyperlink" Target="https://github.com/RepoKing23/InstagramCarousel/blob/claude/blog-copy-sept-images-ct1od6/content/2026-08-27-meet-np-cleo-the-face/images/gbp.jpg?raw=1" TargetMode="External" Id="rId39" /><Relationship Type="http://schemas.openxmlformats.org/officeDocument/2006/relationships/hyperlink" Target="https://github.com/RepoKing23/InstagramCarousel/blob/claude/blog-copy-sept-images-ct1od6/content/2026-08-27-meet-np-cleo-the-face/images/gbp.jpg?raw=1" TargetMode="External" Id="rId40" /><Relationship Type="http://schemas.openxmlformats.org/officeDocument/2006/relationships/hyperlink" Target="https://github.com/RepoKing23/InstagramCarousel/tree/claude/blog-copy-sept-images-ct1od6/content/2026-08-28-welcome-to-the-treatment-room" TargetMode="External" Id="rId41" /><Relationship Type="http://schemas.openxmlformats.org/officeDocument/2006/relationships/hyperlink" Target="https://github.com/RepoKing23/InstagramCarousel/blob/claude/blog-copy-sept-images-ct1od6/content/2026-08-28-welcome-to-the-treatment-room/images/post.jpg?raw=1" TargetMode="External" Id="rId42" /><Relationship Type="http://schemas.openxmlformats.org/officeDocument/2006/relationships/hyperlink" Target="https://github.com/RepoKing23/InstagramCarousel/blob/claude/blog-copy-sept-images-ct1od6/content/2026-08-28-welcome-to-the-treatment-room/images/post.jpg?raw=1" TargetMode="External" Id="rId43" /><Relationship Type="http://schemas.openxmlformats.org/officeDocument/2006/relationships/hyperlink" Target="https://github.com/RepoKing23/InstagramCarousel/blob/claude/blog-copy-sept-images-ct1od6/content/2026-08-28-welcome-to-the-treatment-room/images/gbp.jpg?raw=1" TargetMode="External" Id="rId44" /><Relationship Type="http://schemas.openxmlformats.org/officeDocument/2006/relationships/hyperlink" Target="https://github.com/RepoKing23/InstagramCarousel/blob/claude/blog-copy-sept-images-ct1od6/content/2026-08-28-welcome-to-the-treatment-room/images/gbp.jpg?raw=1" TargetMode="External" Id="rId45" /><Relationship Type="http://schemas.openxmlformats.org/officeDocument/2006/relationships/hyperlink" Target="https://github.com/RepoKing23/InstagramCarousel/tree/claude/blog-copy-sept-images-ct1od6/content/2026-08-29-this-or-that-rested-vs" TargetMode="External" Id="rId46" /><Relationship Type="http://schemas.openxmlformats.org/officeDocument/2006/relationships/hyperlink" Target="https://github.com/RepoKing23/InstagramCarousel/blob/claude/blog-copy-sept-images-ct1od6/content/2026-08-29-this-or-that-rested-vs/images/post.jpg?raw=1" TargetMode="External" Id="rId47" /><Relationship Type="http://schemas.openxmlformats.org/officeDocument/2006/relationships/hyperlink" Target="https://github.com/RepoKing23/InstagramCarousel/blob/claude/blog-copy-sept-images-ct1od6/content/2026-08-29-this-or-that-rested-vs/images/post.jpg?raw=1" TargetMode="External" Id="rId48" /><Relationship Type="http://schemas.openxmlformats.org/officeDocument/2006/relationships/hyperlink" Target="https://github.com/RepoKing23/InstagramCarousel/blob/claude/blog-copy-sept-images-ct1od6/content/2026-08-29-this-or-that-rested-vs/images/gbp.jpg?raw=1" TargetMode="External" Id="rId49" /><Relationship Type="http://schemas.openxmlformats.org/officeDocument/2006/relationships/hyperlink" Target="https://github.com/RepoKing23/InstagramCarousel/blob/claude/blog-copy-sept-images-ct1od6/content/2026-08-29-this-or-that-rested-vs/images/gbp.jpg?raw=1" TargetMode="External" Id="rId50" /><Relationship Type="http://schemas.openxmlformats.org/officeDocument/2006/relationships/hyperlink" Target="https://github.com/RepoKing23/InstagramCarousel/tree/claude/blog-copy-sept-images-ct1od6/content/2026-08-31-preventative-botox-when-to-actually" TargetMode="External" Id="rId51" /><Relationship Type="http://schemas.openxmlformats.org/officeDocument/2006/relationships/hyperlink" Target="https://github.com/RepoKing23/InstagramCarousel/tree/claude/blog-copy-sept-images-ct1od6/content/2026-08-31-preventative-botox-when-to-actually/images" TargetMode="External" Id="rId52" /><Relationship Type="http://schemas.openxmlformats.org/officeDocument/2006/relationships/hyperlink" Target="https://github.com/RepoKing23/InstagramCarousel/tree/claude/blog-copy-sept-images-ct1od6/content/2026-08-31-preventative-botox-when-to-actually/images" TargetMode="External" Id="rId53" /><Relationship Type="http://schemas.openxmlformats.org/officeDocument/2006/relationships/hyperlink" Target="https://github.com/RepoKing23/InstagramCarousel/blob/claude/blog-copy-sept-images-ct1od6/content/2026-08-31-preventative-botox-when-to-actually/images/gbp.jpg?raw=1" TargetMode="External" Id="rId54" /><Relationship Type="http://schemas.openxmlformats.org/officeDocument/2006/relationships/hyperlink" Target="https://github.com/RepoKing23/InstagramCarousel/blob/claude/blog-copy-sept-images-ct1od6/content/2026-08-31-preventative-botox-when-to-actually/images/gbp.jpg?raw=1" TargetMode="External" Id="rId55" /><Relationship Type="http://schemas.openxmlformats.org/officeDocument/2006/relationships/hyperlink" Target="https://github.com/RepoKing23/InstagramCarousel/tree/claude/blog-copy-sept-images-ct1od6/content/2026-09-01-service-spotlight-preventative-botox" TargetMode="External" Id="rId56" /><Relationship Type="http://schemas.openxmlformats.org/officeDocument/2006/relationships/hyperlink" Target="https://github.com/RepoKing23/InstagramCarousel/tree/claude/blog-copy-sept-images-ct1od6/content/2026-09-03-what-20-units-actually-looks" TargetMode="External" Id="rId57" /><Relationship Type="http://schemas.openxmlformats.org/officeDocument/2006/relationships/hyperlink" Target="https://github.com/RepoKing23/InstagramCarousel/tree/claude/blog-copy-sept-images-ct1od6/content/2026-09-04-meet-your-injector" TargetMode="External" Id="rId58" /><Relationship Type="http://schemas.openxmlformats.org/officeDocument/2006/relationships/hyperlink" Target="https://github.com/RepoKing23/InstagramCarousel/tree/claude/blog-copy-sept-images-ct1od6/content/2026-09-05-quote-prevention-beats-erasing" TargetMode="External" Id="rId59" /><Relationship Type="http://schemas.openxmlformats.org/officeDocument/2006/relationships/hyperlink" Target="https://github.com/RepoKing23/InstagramCarousel/tree/claude/blog-copy-sept-images-ct1od6/content/2026-09-07-botox-vs-dysport-the-real" TargetMode="External" Id="rId60" /><Relationship Type="http://schemas.openxmlformats.org/officeDocument/2006/relationships/hyperlink" Target="https://github.com/RepoKing23/InstagramCarousel/tree/claude/blog-copy-sept-images-ct1od6/content/2026-09-08-botox-vs-dysport-at-a" TargetMode="External" Id="rId61" /><Relationship Type="http://schemas.openxmlformats.org/officeDocument/2006/relationships/hyperlink" Target="https://github.com/RepoKing23/InstagramCarousel/tree/claude/blog-copy-sept-images-ct1od6/content/2026-09-10-botox-aftercare-the-first-48" TargetMode="External" Id="rId62" /><Relationship Type="http://schemas.openxmlformats.org/officeDocument/2006/relationships/hyperlink" Target="https://github.com/RepoKing23/InstagramCarousel/tree/claude/blog-copy-sept-images-ct1od6/content/2026-09-11-the-face-map" TargetMode="External" Id="rId63" /><Relationship Type="http://schemas.openxmlformats.org/officeDocument/2006/relationships/hyperlink" Target="https://github.com/RepoKing23/InstagramCarousel/tree/claude/blog-copy-sept-images-ct1od6/content/2026-09-12-faq-does-botox-hurt" TargetMode="External" Id="rId64" /><Relationship Type="http://schemas.openxmlformats.org/officeDocument/2006/relationships/hyperlink" Target="https://github.com/RepoKing23/InstagramCarousel/tree/claude/blog-copy-sept-images-ct1od6/content/2026-09-14-5-things-botox-can-t" TargetMode="External" Id="rId65" /><Relationship Type="http://schemas.openxmlformats.org/officeDocument/2006/relationships/hyperlink" Target="https://github.com/RepoKing23/InstagramCarousel/tree/claude/blog-copy-sept-images-ct1od6/content/2026-09-15-what-botox-can-t-fix" TargetMode="External" Id="rId66" /><Relationship Type="http://schemas.openxmlformats.org/officeDocument/2006/relationships/hyperlink" Target="https://github.com/RepoKing23/InstagramCarousel/tree/claude/blog-copy-sept-images-ct1od6/content/2026-09-17-still-you-just-refreshed" TargetMode="External" Id="rId67" /><Relationship Type="http://schemas.openxmlformats.org/officeDocument/2006/relationships/hyperlink" Target="https://github.com/RepoKing23/InstagramCarousel/tree/claude/blog-copy-sept-images-ct1od6/content/2026-09-18-myth-vs-truth-the-frozen" TargetMode="External" Id="rId68" /><Relationship Type="http://schemas.openxmlformats.org/officeDocument/2006/relationships/hyperlink" Target="https://github.com/RepoKing23/InstagramCarousel/tree/claude/blog-copy-sept-images-ct1od6/content/2026-09-19-client-words-natural-results" TargetMode="External" Id="rId69" /><Relationship Type="http://schemas.openxmlformats.org/officeDocument/2006/relationships/hyperlink" Target="https://github.com/RepoKing23/InstagramCarousel/tree/claude/blog-copy-sept-images-ct1od6/content/2026-09-21-botox-or-filler-you-might" TargetMode="External" Id="rId70" /><Relationship Type="http://schemas.openxmlformats.org/officeDocument/2006/relationships/hyperlink" Target="https://github.com/RepoKing23/InstagramCarousel/tree/claude/blog-copy-sept-images-ct1od6/content/2026-09-22-lines-vs-volume" TargetMode="External" Id="rId71" /><Relationship Type="http://schemas.openxmlformats.org/officeDocument/2006/relationships/hyperlink" Target="https://github.com/RepoKing23/InstagramCarousel/tree/claude/blog-copy-sept-images-ct1od6/content/2026-09-24-ask-np-cleo-your-questions" TargetMode="External" Id="rId72" /><Relationship Type="http://schemas.openxmlformats.org/officeDocument/2006/relationships/hyperlink" Target="https://github.com/RepoKing23/InstagramCarousel/tree/claude/blog-copy-sept-images-ct1od6/content/2026-09-25-your-dms-answered" TargetMode="External" Id="rId73" /><Relationship Type="http://schemas.openxmlformats.org/officeDocument/2006/relationships/hyperlink" Target="https://github.com/RepoKing23/InstagramCarousel/tree/claude/blog-copy-sept-images-ct1od6/content/2026-09-26-poll-what-should-np-cleo" TargetMode="External" Id="rId74" /><Relationship Type="http://schemas.openxmlformats.org/officeDocument/2006/relationships/hyperlink" Target="https://github.com/RepoKing23/InstagramCarousel/tree/claude/blog-copy-sept-images-ct1od6/content/2026-09-28-how-long-does-botox-really" TargetMode="External" Id="rId75" /><Relationship Type="http://schemas.openxmlformats.org/officeDocument/2006/relationships/hyperlink" Target="https://github.com/RepoKing23/InstagramCarousel/tree/claude/blog-copy-sept-images-ct1od6/content/2026-09-29-the-3-month-botox-timeline" TargetMode="External" Id="rId76" /><Relationship Type="http://schemas.openxmlformats.org/officeDocument/2006/relationships/hyperlink" Target="https://github.com/RepoKing23/InstagramCarousel/tree/claude/serene-curie-xunco2/content/2026-10-01-botox-in-oakville-first-appointment" TargetMode="External" Id="rId77" /><Relationship Type="http://schemas.openxmlformats.org/officeDocument/2006/relationships/hyperlink" Target="https://github.com/RepoKing23/InstagramCarousel/tree/claude/serene-curie-xunco2/content/2026-10-01-botox-in-oakville-first-appointment/images" TargetMode="External" Id="rId78" /><Relationship Type="http://schemas.openxmlformats.org/officeDocument/2006/relationships/hyperlink" Target="https://github.com/RepoKing23/InstagramCarousel/tree/claude/serene-curie-xunco2/content/2026-10-01-botox-in-oakville-first-appointment/images" TargetMode="External" Id="rId79" /><Relationship Type="http://schemas.openxmlformats.org/officeDocument/2006/relationships/hyperlink" Target="https://github.com/RepoKing23/InstagramCarousel/blob/claude/serene-curie-xunco2/content/gbp/2026-10-01-botox-in-oakville-first-appointment.jpg?raw=1" TargetMode="External" Id="rId80" /><Relationship Type="http://schemas.openxmlformats.org/officeDocument/2006/relationships/hyperlink" Target="https://github.com/RepoKing23/InstagramCarousel/blob/claude/serene-curie-xunco2/content/gbp/2026-10-01-botox-in-oakville-first-appointment.jpg?raw=1" TargetMode="External" Id="rId81" /><Relationship Type="http://schemas.openxmlformats.org/officeDocument/2006/relationships/hyperlink" Target="https://github.com/RepoKing23/InstagramCarousel/tree/claude/serene-curie-xunco2/content/2026-10-05-dermal-fillers-wont-make-you-look-fake" TargetMode="External" Id="rId82" /><Relationship Type="http://schemas.openxmlformats.org/officeDocument/2006/relationships/hyperlink" Target="https://github.com/RepoKing23/InstagramCarousel/tree/claude/serene-curie-xunco2/content/2026-10-05-dermal-fillers-wont-make-you-look-fake/images" TargetMode="External" Id="rId83" /><Relationship Type="http://schemas.openxmlformats.org/officeDocument/2006/relationships/hyperlink" Target="https://github.com/RepoKing23/InstagramCarousel/tree/claude/serene-curie-xunco2/content/2026-10-05-dermal-fillers-wont-make-you-look-fake/images" TargetMode="External" Id="rId84" /><Relationship Type="http://schemas.openxmlformats.org/officeDocument/2006/relationships/hyperlink" Target="https://github.com/RepoKing23/InstagramCarousel/blob/claude/serene-curie-xunco2/content/gbp/2026-10-05-dermal-fillers-wont-make-you-look-fake.jpg?raw=1" TargetMode="External" Id="rId85" /><Relationship Type="http://schemas.openxmlformats.org/officeDocument/2006/relationships/hyperlink" Target="https://github.com/RepoKing23/InstagramCarousel/blob/claude/serene-curie-xunco2/content/gbp/2026-10-05-dermal-fillers-wont-make-you-look-fake.jpg?raw=1" TargetMode="External" Id="rId86" /><Relationship Type="http://schemas.openxmlformats.org/officeDocument/2006/relationships/hyperlink" Target="https://github.com/RepoKing23/InstagramCarousel/tree/claude/serene-curie-xunco2/content/2026-10-06-what-is-electrolysis" TargetMode="External" Id="rId87" /><Relationship Type="http://schemas.openxmlformats.org/officeDocument/2006/relationships/hyperlink" Target="https://github.com/RepoKing23/InstagramCarousel/blob/claude/serene-curie-xunco2/content/2026-10-06-what-is-electrolysis/images/post.jpg?raw=1" TargetMode="External" Id="rId88" /><Relationship Type="http://schemas.openxmlformats.org/officeDocument/2006/relationships/hyperlink" Target="https://github.com/RepoKing23/InstagramCarousel/blob/claude/serene-curie-xunco2/content/2026-10-06-what-is-electrolysis/images/post.jpg?raw=1" TargetMode="External" Id="rId89" /><Relationship Type="http://schemas.openxmlformats.org/officeDocument/2006/relationships/hyperlink" Target="https://github.com/RepoKing23/InstagramCarousel/blob/claude/serene-curie-xunco2/content/gbp/2026-10-06-what-is-electrolysis.jpg?raw=1" TargetMode="External" Id="rId90" /><Relationship Type="http://schemas.openxmlformats.org/officeDocument/2006/relationships/hyperlink" Target="https://github.com/RepoKing23/InstagramCarousel/blob/claude/serene-curie-xunco2/content/gbp/2026-10-06-what-is-electrolysis.jpg?raw=1" TargetMode="External" Id="rId91" /><Relationship Type="http://schemas.openxmlformats.org/officeDocument/2006/relationships/hyperlink" Target="https://github.com/RepoKing23/InstagramCarousel/tree/claude/serene-curie-xunco2/content/2026-10-07-meet-cleo-oakville" TargetMode="External" Id="rId92" /><Relationship Type="http://schemas.openxmlformats.org/officeDocument/2006/relationships/hyperlink" Target="https://github.com/RepoKing23/InstagramCarousel/blob/claude/serene-curie-xunco2/content/2026-10-07-meet-cleo-oakville/images/post.jpg?raw=1" TargetMode="External" Id="rId93" /><Relationship Type="http://schemas.openxmlformats.org/officeDocument/2006/relationships/hyperlink" Target="https://github.com/RepoKing23/InstagramCarousel/blob/claude/serene-curie-xunco2/content/2026-10-07-meet-cleo-oakville/images/post.jpg?raw=1" TargetMode="External" Id="rId94" /><Relationship Type="http://schemas.openxmlformats.org/officeDocument/2006/relationships/hyperlink" Target="https://github.com/RepoKing23/InstagramCarousel/blob/claude/serene-curie-xunco2/content/gbp/2026-10-07-meet-cleo-oakville.jpg?raw=1" TargetMode="External" Id="rId95" /><Relationship Type="http://schemas.openxmlformats.org/officeDocument/2006/relationships/hyperlink" Target="https://github.com/RepoKing23/InstagramCarousel/blob/claude/serene-curie-xunco2/content/gbp/2026-10-07-meet-cleo-oakville.jpg?raw=1" TargetMode="External" Id="rId96" /><Relationship Type="http://schemas.openxmlformats.org/officeDocument/2006/relationships/hyperlink" Target="https://github.com/RepoKing23/InstagramCarousel/tree/claude/serene-curie-xunco2/content/2026-10-08-lip-filler-natural-vs-overdone" TargetMode="External" Id="rId97" /><Relationship Type="http://schemas.openxmlformats.org/officeDocument/2006/relationships/hyperlink" Target="https://github.com/RepoKing23/InstagramCarousel/blob/claude/serene-curie-xunco2/content/2026-10-08-lip-filler-natural-vs-overdone/images/before-after-result.jpg?raw=1" TargetMode="External" Id="rId98" /><Relationship Type="http://schemas.openxmlformats.org/officeDocument/2006/relationships/hyperlink" Target="https://github.com/RepoKing23/InstagramCarousel/blob/claude/serene-curie-xunco2/content/2026-10-08-lip-filler-natural-vs-overdone/images/before-after-result.jpg?raw=1" TargetMode="External" Id="rId99" /><Relationship Type="http://schemas.openxmlformats.org/officeDocument/2006/relationships/hyperlink" Target="https://github.com/RepoKing23/InstagramCarousel/blob/claude/serene-curie-xunco2/content/gbp/2026-10-08-lip-filler-natural-vs-overdone.jpg?raw=1" TargetMode="External" Id="rId100" /><Relationship Type="http://schemas.openxmlformats.org/officeDocument/2006/relationships/hyperlink" Target="https://github.com/RepoKing23/InstagramCarousel/blob/claude/serene-curie-xunco2/content/gbp/2026-10-08-lip-filler-natural-vs-overdone.jpg?raw=1" TargetMode="External" Id="rId101" /><Relationship Type="http://schemas.openxmlformats.org/officeDocument/2006/relationships/hyperlink" Target="https://github.com/RepoKing23/InstagramCarousel/tree/claude/serene-curie-xunco2/content/2026-10-12-botox-treatment-step-by-step" TargetMode="External" Id="rId102" /><Relationship Type="http://schemas.openxmlformats.org/officeDocument/2006/relationships/hyperlink" Target="https://github.com/RepoKing23/InstagramCarousel/tree/claude/serene-curie-xunco2/content/2026-10-12-botox-treatment-step-by-step/images" TargetMode="External" Id="rId103" /><Relationship Type="http://schemas.openxmlformats.org/officeDocument/2006/relationships/hyperlink" Target="https://github.com/RepoKing23/InstagramCarousel/tree/claude/serene-curie-xunco2/content/2026-10-12-botox-treatment-step-by-step/images" TargetMode="External" Id="rId104" /><Relationship Type="http://schemas.openxmlformats.org/officeDocument/2006/relationships/hyperlink" Target="https://github.com/RepoKing23/InstagramCarousel/blob/claude/serene-curie-xunco2/content/gbp/2026-10-12-botox-treatment-step-by-step.jpg?raw=1" TargetMode="External" Id="rId105" /><Relationship Type="http://schemas.openxmlformats.org/officeDocument/2006/relationships/hyperlink" Target="https://github.com/RepoKing23/InstagramCarousel/blob/claude/serene-curie-xunco2/content/gbp/2026-10-12-botox-treatment-step-by-step.jpg?raw=1" TargetMode="External" Id="rId106" /><Relationship Type="http://schemas.openxmlformats.org/officeDocument/2006/relationships/hyperlink" Target="https://github.com/RepoKing23/InstagramCarousel/tree/claude/serene-curie-xunco2/content/2026-10-13-facial-electrolysis-chin-upper-lip" TargetMode="External" Id="rId107" /><Relationship Type="http://schemas.openxmlformats.org/officeDocument/2006/relationships/hyperlink" Target="https://github.com/RepoKing23/InstagramCarousel/blob/claude/serene-curie-xunco2/content/2026-10-13-facial-electrolysis-chin-upper-lip/images/post.jpg?raw=1" TargetMode="External" Id="rId108" /><Relationship Type="http://schemas.openxmlformats.org/officeDocument/2006/relationships/hyperlink" Target="https://github.com/RepoKing23/InstagramCarousel/blob/claude/serene-curie-xunco2/content/2026-10-13-facial-electrolysis-chin-upper-lip/images/post.jpg?raw=1" TargetMode="External" Id="rId109" /><Relationship Type="http://schemas.openxmlformats.org/officeDocument/2006/relationships/hyperlink" Target="https://github.com/RepoKing23/InstagramCarousel/blob/claude/serene-curie-xunco2/content/gbp/2026-10-13-facial-electrolysis-chin-upper-lip.jpg?raw=1" TargetMode="External" Id="rId110" /><Relationship Type="http://schemas.openxmlformats.org/officeDocument/2006/relationships/hyperlink" Target="https://github.com/RepoKing23/InstagramCarousel/blob/claude/serene-curie-xunco2/content/gbp/2026-10-13-facial-electrolysis-chin-upper-lip.jpg?raw=1" TargetMode="External" Id="rId111" /><Relationship Type="http://schemas.openxmlformats.org/officeDocument/2006/relationships/hyperlink" Target="https://github.com/RepoKing23/InstagramCarousel/tree/claude/serene-curie-xunco2/content/2026-10-14-subtle-is-the-new-dramatic" TargetMode="External" Id="rId112" /><Relationship Type="http://schemas.openxmlformats.org/officeDocument/2006/relationships/hyperlink" Target="https://github.com/RepoKing23/InstagramCarousel/blob/claude/serene-curie-xunco2/content/2026-10-14-subtle-is-the-new-dramatic/images/before-after-result.jpg?raw=1" TargetMode="External" Id="rId113" /><Relationship Type="http://schemas.openxmlformats.org/officeDocument/2006/relationships/hyperlink" Target="https://github.com/RepoKing23/InstagramCarousel/blob/claude/serene-curie-xunco2/content/2026-10-14-subtle-is-the-new-dramatic/images/before-after-result.jpg?raw=1" TargetMode="External" Id="rId114" /><Relationship Type="http://schemas.openxmlformats.org/officeDocument/2006/relationships/hyperlink" Target="https://github.com/RepoKing23/InstagramCarousel/blob/claude/serene-curie-xunco2/content/gbp/2026-10-14-subtle-is-the-new-dramatic.jpg?raw=1" TargetMode="External" Id="rId115" /><Relationship Type="http://schemas.openxmlformats.org/officeDocument/2006/relationships/hyperlink" Target="https://github.com/RepoKing23/InstagramCarousel/blob/claude/serene-curie-xunco2/content/gbp/2026-10-14-subtle-is-the-new-dramatic.jpg?raw=1" TargetMode="External" Id="rId116" /><Relationship Type="http://schemas.openxmlformats.org/officeDocument/2006/relationships/hyperlink" Target="https://github.com/RepoKing23/InstagramCarousel/tree/claude/serene-curie-xunco2/content/2026-10-15-real-lips-real-results" TargetMode="External" Id="rId117" /><Relationship Type="http://schemas.openxmlformats.org/officeDocument/2006/relationships/hyperlink" Target="https://github.com/RepoKing23/InstagramCarousel/tree/claude/serene-curie-xunco2/content/2026-10-15-real-lips-real-results/images" TargetMode="External" Id="rId118" /><Relationship Type="http://schemas.openxmlformats.org/officeDocument/2006/relationships/hyperlink" Target="https://github.com/RepoKing23/InstagramCarousel/tree/claude/serene-curie-xunco2/content/2026-10-15-real-lips-real-results/images" TargetMode="External" Id="rId119" /><Relationship Type="http://schemas.openxmlformats.org/officeDocument/2006/relationships/hyperlink" Target="https://github.com/RepoKing23/InstagramCarousel/blob/claude/serene-curie-xunco2/content/gbp/2026-10-15-real-lips-real-results.jpg?raw=1" TargetMode="External" Id="rId120" /><Relationship Type="http://schemas.openxmlformats.org/officeDocument/2006/relationships/hyperlink" Target="https://github.com/RepoKing23/InstagramCarousel/blob/claude/serene-curie-xunco2/content/gbp/2026-10-15-real-lips-real-results.jpg?raw=1" TargetMode="External" Id="rId121" /><Relationship Type="http://schemas.openxmlformats.org/officeDocument/2006/relationships/hyperlink" Target="https://github.com/RepoKing23/InstagramCarousel/tree/claude/serene-curie-xunco2/content/2026-10-19-electrolysis-vs-laser-hair-removal" TargetMode="External" Id="rId122" /><Relationship Type="http://schemas.openxmlformats.org/officeDocument/2006/relationships/hyperlink" Target="https://github.com/RepoKing23/InstagramCarousel/tree/claude/serene-curie-xunco2/content/2026-10-19-electrolysis-vs-laser-hair-removal/images" TargetMode="External" Id="rId123" /><Relationship Type="http://schemas.openxmlformats.org/officeDocument/2006/relationships/hyperlink" Target="https://github.com/RepoKing23/InstagramCarousel/tree/claude/serene-curie-xunco2/content/2026-10-19-electrolysis-vs-laser-hair-removal/images" TargetMode="External" Id="rId124" /><Relationship Type="http://schemas.openxmlformats.org/officeDocument/2006/relationships/hyperlink" Target="https://github.com/RepoKing23/InstagramCarousel/blob/claude/serene-curie-xunco2/content/gbp/2026-10-19-electrolysis-vs-laser-hair-removal.jpg?raw=1" TargetMode="External" Id="rId125" /><Relationship Type="http://schemas.openxmlformats.org/officeDocument/2006/relationships/hyperlink" Target="https://github.com/RepoKing23/InstagramCarousel/blob/claude/serene-curie-xunco2/content/gbp/2026-10-19-electrolysis-vs-laser-hair-removal.jpg?raw=1" TargetMode="External" Id="rId126" /><Relationship Type="http://schemas.openxmlformats.org/officeDocument/2006/relationships/hyperlink" Target="https://github.com/RepoKing23/InstagramCarousel/tree/claude/serene-curie-xunco2/content/2026-10-20-how-long-does-dermal-filler-last" TargetMode="External" Id="rId127" /><Relationship Type="http://schemas.openxmlformats.org/officeDocument/2006/relationships/hyperlink" Target="https://github.com/RepoKing23/InstagramCarousel/blob/claude/serene-curie-xunco2/content/2026-10-20-how-long-does-dermal-filler-last/images/post.jpg?raw=1" TargetMode="External" Id="rId128" /><Relationship Type="http://schemas.openxmlformats.org/officeDocument/2006/relationships/hyperlink" Target="https://github.com/RepoKing23/InstagramCarousel/blob/claude/serene-curie-xunco2/content/2026-10-20-how-long-does-dermal-filler-last/images/post.jpg?raw=1" TargetMode="External" Id="rId129" /><Relationship Type="http://schemas.openxmlformats.org/officeDocument/2006/relationships/hyperlink" Target="https://github.com/RepoKing23/InstagramCarousel/blob/claude/serene-curie-xunco2/content/gbp/2026-10-20-how-long-does-dermal-filler-last.jpg?raw=1" TargetMode="External" Id="rId130" /><Relationship Type="http://schemas.openxmlformats.org/officeDocument/2006/relationships/hyperlink" Target="https://github.com/RepoKing23/InstagramCarousel/blob/claude/serene-curie-xunco2/content/gbp/2026-10-20-how-long-does-dermal-filler-last.jpg?raw=1" TargetMode="External" Id="rId131" /><Relationship Type="http://schemas.openxmlformats.org/officeDocument/2006/relationships/hyperlink" Target="https://github.com/RepoKing23/InstagramCarousel/tree/claude/serene-curie-xunco2/content/2026-10-21-luxury-med-spa-oakville" TargetMode="External" Id="rId132" /><Relationship Type="http://schemas.openxmlformats.org/officeDocument/2006/relationships/hyperlink" Target="https://github.com/RepoKing23/InstagramCarousel/blob/claude/serene-curie-xunco2/content/2026-10-21-luxury-med-spa-oakville/images/post.jpg?raw=1" TargetMode="External" Id="rId133" /><Relationship Type="http://schemas.openxmlformats.org/officeDocument/2006/relationships/hyperlink" Target="https://github.com/RepoKing23/InstagramCarousel/blob/claude/serene-curie-xunco2/content/2026-10-21-luxury-med-spa-oakville/images/post.jpg?raw=1" TargetMode="External" Id="rId134" /><Relationship Type="http://schemas.openxmlformats.org/officeDocument/2006/relationships/hyperlink" Target="https://github.com/RepoKing23/InstagramCarousel/blob/claude/serene-curie-xunco2/content/gbp/2026-10-21-luxury-med-spa-oakville.jpg?raw=1" TargetMode="External" Id="rId135" /><Relationship Type="http://schemas.openxmlformats.org/officeDocument/2006/relationships/hyperlink" Target="https://github.com/RepoKing23/InstagramCarousel/blob/claude/serene-curie-xunco2/content/gbp/2026-10-21-luxury-med-spa-oakville.jpg?raw=1" TargetMode="External" Id="rId136" /><Relationship Type="http://schemas.openxmlformats.org/officeDocument/2006/relationships/hyperlink" Target="https://github.com/RepoKing23/InstagramCarousel/tree/claude/serene-curie-xunco2/content/2026-10-22-lip-filler-aftercare-your-first-week" TargetMode="External" Id="rId137" /><Relationship Type="http://schemas.openxmlformats.org/officeDocument/2006/relationships/hyperlink" Target="https://github.com/RepoKing23/InstagramCarousel/tree/claude/serene-curie-xunco2/content/2026-10-22-lip-filler-aftercare-your-first-week/images" TargetMode="External" Id="rId138" /><Relationship Type="http://schemas.openxmlformats.org/officeDocument/2006/relationships/hyperlink" Target="https://github.com/RepoKing23/InstagramCarousel/tree/claude/serene-curie-xunco2/content/2026-10-22-lip-filler-aftercare-your-first-week/images" TargetMode="External" Id="rId139" /><Relationship Type="http://schemas.openxmlformats.org/officeDocument/2006/relationships/hyperlink" Target="https://github.com/RepoKing23/InstagramCarousel/blob/claude/serene-curie-xunco2/content/gbp/2026-10-22-lip-filler-aftercare-your-first-week.jpg?raw=1" TargetMode="External" Id="rId140" /><Relationship Type="http://schemas.openxmlformats.org/officeDocument/2006/relationships/hyperlink" Target="https://github.com/RepoKing23/InstagramCarousel/blob/claude/serene-curie-xunco2/content/gbp/2026-10-22-lip-filler-aftercare-your-first-week.jpg?raw=1" TargetMode="External" Id="rId141" /><Relationship Type="http://schemas.openxmlformats.org/officeDocument/2006/relationships/hyperlink" Target="https://github.com/RepoKing23/InstagramCarousel/tree/claude/serene-curie-xunco2/content/2026-10-26-botox-for-men-oakville" TargetMode="External" Id="rId142" /><Relationship Type="http://schemas.openxmlformats.org/officeDocument/2006/relationships/hyperlink" Target="https://github.com/RepoKing23/InstagramCarousel/tree/claude/serene-curie-xunco2/content/2026-10-26-botox-for-men-oakville/images" TargetMode="External" Id="rId143" /><Relationship Type="http://schemas.openxmlformats.org/officeDocument/2006/relationships/hyperlink" Target="https://github.com/RepoKing23/InstagramCarousel/tree/claude/serene-curie-xunco2/content/2026-10-26-botox-for-men-oakville/images" TargetMode="External" Id="rId144" /><Relationship Type="http://schemas.openxmlformats.org/officeDocument/2006/relationships/hyperlink" Target="https://github.com/RepoKing23/InstagramCarousel/blob/claude/serene-curie-xunco2/content/gbp/2026-10-26-botox-for-men-oakville.jpg?raw=1" TargetMode="External" Id="rId145" /><Relationship Type="http://schemas.openxmlformats.org/officeDocument/2006/relationships/hyperlink" Target="https://github.com/RepoKing23/InstagramCarousel/blob/claude/serene-curie-xunco2/content/gbp/2026-10-26-botox-for-men-oakville.jpg?raw=1" TargetMode="External" Id="rId146" /><Relationship Type="http://schemas.openxmlformats.org/officeDocument/2006/relationships/hyperlink" Target="https://github.com/RepoKing23/InstagramCarousel/tree/claude/serene-curie-xunco2/content/2026-10-27-how-many-electrolysis-sessions" TargetMode="External" Id="rId147" /><Relationship Type="http://schemas.openxmlformats.org/officeDocument/2006/relationships/hyperlink" Target="https://github.com/RepoKing23/InstagramCarousel/blob/claude/serene-curie-xunco2/content/2026-10-27-how-many-electrolysis-sessions/images/post.jpg?raw=1" TargetMode="External" Id="rId148" /><Relationship Type="http://schemas.openxmlformats.org/officeDocument/2006/relationships/hyperlink" Target="https://github.com/RepoKing23/InstagramCarousel/blob/claude/serene-curie-xunco2/content/2026-10-27-how-many-electrolysis-sessions/images/post.jpg?raw=1" TargetMode="External" Id="rId149" /><Relationship Type="http://schemas.openxmlformats.org/officeDocument/2006/relationships/hyperlink" Target="https://github.com/RepoKing23/InstagramCarousel/blob/claude/serene-curie-xunco2/content/gbp/2026-10-27-how-many-electrolysis-sessions.jpg?raw=1" TargetMode="External" Id="rId150" /><Relationship Type="http://schemas.openxmlformats.org/officeDocument/2006/relationships/hyperlink" Target="https://github.com/RepoKing23/InstagramCarousel/blob/claude/serene-curie-xunco2/content/gbp/2026-10-27-how-many-electrolysis-sessions.jpg?raw=1" TargetMode="External" Id="rId151" /><Relationship Type="http://schemas.openxmlformats.org/officeDocument/2006/relationships/hyperlink" Target="https://github.com/RepoKing23/InstagramCarousel/tree/claude/serene-curie-xunco2/content/2026-10-28-client-words-the-lip-glow-up" TargetMode="External" Id="rId152" /><Relationship Type="http://schemas.openxmlformats.org/officeDocument/2006/relationships/hyperlink" Target="https://github.com/RepoKing23/InstagramCarousel/blob/claude/serene-curie-xunco2/content/2026-10-28-client-words-the-lip-glow-up/images/before-after-result.jpg?raw=1" TargetMode="External" Id="rId153" /><Relationship Type="http://schemas.openxmlformats.org/officeDocument/2006/relationships/hyperlink" Target="https://github.com/RepoKing23/InstagramCarousel/blob/claude/serene-curie-xunco2/content/2026-10-28-client-words-the-lip-glow-up/images/before-after-result.jpg?raw=1" TargetMode="External" Id="rId154" /><Relationship Type="http://schemas.openxmlformats.org/officeDocument/2006/relationships/hyperlink" Target="https://github.com/RepoKing23/InstagramCarousel/blob/claude/serene-curie-xunco2/content/gbp/2026-10-28-client-words-the-lip-glow-up.jpg?raw=1" TargetMode="External" Id="rId155" /><Relationship Type="http://schemas.openxmlformats.org/officeDocument/2006/relationships/hyperlink" Target="https://github.com/RepoKing23/InstagramCarousel/blob/claude/serene-curie-xunco2/content/gbp/2026-10-28-client-words-the-lip-glow-up.jpg?raw=1" TargetMode="External" Id="rId156" /><Relationship Type="http://schemas.openxmlformats.org/officeDocument/2006/relationships/hyperlink" Target="https://github.com/RepoKing23/InstagramCarousel/tree/claude/serene-curie-xunco2/content/2026-10-29-facial-balancing-dermal-fillers" TargetMode="External" Id="rId157" /><Relationship Type="http://schemas.openxmlformats.org/officeDocument/2006/relationships/hyperlink" Target="https://github.com/RepoKing23/InstagramCarousel/tree/claude/serene-curie-xunco2/content/2026-10-29-facial-balancing-dermal-fillers/images" TargetMode="External" Id="rId158" /><Relationship Type="http://schemas.openxmlformats.org/officeDocument/2006/relationships/hyperlink" Target="https://github.com/RepoKing23/InstagramCarousel/tree/claude/serene-curie-xunco2/content/2026-10-29-facial-balancing-dermal-fillers/images" TargetMode="External" Id="rId159" /><Relationship Type="http://schemas.openxmlformats.org/officeDocument/2006/relationships/hyperlink" Target="https://github.com/RepoKing23/InstagramCarousel/blob/claude/serene-curie-xunco2/content/gbp/2026-10-29-facial-balancing-dermal-fillers.jpg?raw=1" TargetMode="External" Id="rId160" /><Relationship Type="http://schemas.openxmlformats.org/officeDocument/2006/relationships/hyperlink" Target="https://github.com/RepoKing23/InstagramCarousel/blob/claude/serene-curie-xunco2/content/gbp/2026-10-29-facial-balancing-dermal-fillers.jpg?raw=1" TargetMode="External" Id="rId161" /><Relationship Type="http://schemas.openxmlformats.org/officeDocument/2006/relationships/hyperlink" Target="https://github.com/RepoKing23/InstagramCarousel/tree/claude/serene-curie-xunco2/content/2026-11-02-botox-before-the-holidays-timeline" TargetMode="External" Id="rId162" /><Relationship Type="http://schemas.openxmlformats.org/officeDocument/2006/relationships/hyperlink" Target="https://github.com/RepoKing23/InstagramCarousel/tree/claude/serene-curie-xunco2/content/2026-11-02-botox-before-the-holidays-timeline/images" TargetMode="External" Id="rId163" /><Relationship Type="http://schemas.openxmlformats.org/officeDocument/2006/relationships/hyperlink" Target="https://github.com/RepoKing23/InstagramCarousel/tree/claude/serene-curie-xunco2/content/2026-11-02-botox-before-the-holidays-timeline/images" TargetMode="External" Id="rId164" /><Relationship Type="http://schemas.openxmlformats.org/officeDocument/2006/relationships/hyperlink" Target="https://github.com/RepoKing23/InstagramCarousel/blob/claude/serene-curie-xunco2/content/gbp/2026-11-02-botox-before-the-holidays-timeline.jpg?raw=1" TargetMode="External" Id="rId165" /><Relationship Type="http://schemas.openxmlformats.org/officeDocument/2006/relationships/hyperlink" Target="https://github.com/RepoKing23/InstagramCarousel/blob/claude/serene-curie-xunco2/content/gbp/2026-11-02-botox-before-the-holidays-timeline.jpg?raw=1" TargetMode="External" Id="rId166" /><Relationship Type="http://schemas.openxmlformats.org/officeDocument/2006/relationships/hyperlink" Target="https://github.com/RepoKing23/InstagramCarousel/tree/claude/serene-curie-xunco2/content/2026-11-03-electrolysis-aftercare" TargetMode="External" Id="rId167" /><Relationship Type="http://schemas.openxmlformats.org/officeDocument/2006/relationships/hyperlink" Target="https://github.com/RepoKing23/InstagramCarousel/blob/claude/serene-curie-xunco2/content/2026-11-03-electrolysis-aftercare/images/post.jpg?raw=1" TargetMode="External" Id="rId168" /><Relationship Type="http://schemas.openxmlformats.org/officeDocument/2006/relationships/hyperlink" Target="https://github.com/RepoKing23/InstagramCarousel/blob/claude/serene-curie-xunco2/content/2026-11-03-electrolysis-aftercare/images/post.jpg?raw=1" TargetMode="External" Id="rId169" /><Relationship Type="http://schemas.openxmlformats.org/officeDocument/2006/relationships/hyperlink" Target="https://github.com/RepoKing23/InstagramCarousel/blob/claude/serene-curie-xunco2/content/gbp/2026-11-03-electrolysis-aftercare.jpg?raw=1" TargetMode="External" Id="rId170" /><Relationship Type="http://schemas.openxmlformats.org/officeDocument/2006/relationships/hyperlink" Target="https://github.com/RepoKing23/InstagramCarousel/blob/claude/serene-curie-xunco2/content/gbp/2026-11-03-electrolysis-aftercare.jpg?raw=1" TargetMode="External" Id="rId171" /><Relationship Type="http://schemas.openxmlformats.org/officeDocument/2006/relationships/hyperlink" Target="https://github.com/RepoKing23/InstagramCarousel/tree/claude/serene-curie-xunco2/content/2026-11-04-one-syringe-balanced-lips" TargetMode="External" Id="rId172" /><Relationship Type="http://schemas.openxmlformats.org/officeDocument/2006/relationships/hyperlink" Target="https://github.com/RepoKing23/InstagramCarousel/blob/claude/serene-curie-xunco2/content/2026-11-04-one-syringe-balanced-lips/images/before-after-result.jpg?raw=1" TargetMode="External" Id="rId173" /><Relationship Type="http://schemas.openxmlformats.org/officeDocument/2006/relationships/hyperlink" Target="https://github.com/RepoKing23/InstagramCarousel/blob/claude/serene-curie-xunco2/content/2026-11-04-one-syringe-balanced-lips/images/before-after-result.jpg?raw=1" TargetMode="External" Id="rId174" /><Relationship Type="http://schemas.openxmlformats.org/officeDocument/2006/relationships/hyperlink" Target="https://github.com/RepoKing23/InstagramCarousel/blob/claude/serene-curie-xunco2/content/gbp/2026-11-04-one-syringe-balanced-lips.jpg?raw=1" TargetMode="External" Id="rId175" /><Relationship Type="http://schemas.openxmlformats.org/officeDocument/2006/relationships/hyperlink" Target="https://github.com/RepoKing23/InstagramCarousel/blob/claude/serene-curie-xunco2/content/gbp/2026-11-04-one-syringe-balanced-lips.jpg?raw=1" TargetMode="External" Id="rId176" /><Relationship Type="http://schemas.openxmlformats.org/officeDocument/2006/relationships/hyperlink" Target="https://github.com/RepoKing23/InstagramCarousel/tree/claude/serene-curie-xunco2/content/2026-11-05-party-season-prep-plan" TargetMode="External" Id="rId177" /><Relationship Type="http://schemas.openxmlformats.org/officeDocument/2006/relationships/hyperlink" Target="https://github.com/RepoKing23/InstagramCarousel/tree/claude/serene-curie-xunco2/content/2026-11-05-party-season-prep-plan/images" TargetMode="External" Id="rId178" /><Relationship Type="http://schemas.openxmlformats.org/officeDocument/2006/relationships/hyperlink" Target="https://github.com/RepoKing23/InstagramCarousel/tree/claude/serene-curie-xunco2/content/2026-11-05-party-season-prep-plan/images" TargetMode="External" Id="rId179" /><Relationship Type="http://schemas.openxmlformats.org/officeDocument/2006/relationships/hyperlink" Target="https://github.com/RepoKing23/InstagramCarousel/blob/claude/serene-curie-xunco2/content/gbp/2026-11-05-party-season-prep-plan.jpg?raw=1" TargetMode="External" Id="rId180" /><Relationship Type="http://schemas.openxmlformats.org/officeDocument/2006/relationships/hyperlink" Target="https://github.com/RepoKing23/InstagramCarousel/blob/claude/serene-curie-xunco2/content/gbp/2026-11-05-party-season-prep-plan.jpg?raw=1" TargetMode="External" Id="rId181" /><Relationship Type="http://schemas.openxmlformats.org/officeDocument/2006/relationships/hyperlink" Target="https://github.com/RepoKing23/InstagramCarousel/tree/claude/serene-curie-xunco2/content/2026-11-09-under-eye-filler-honest-truth" TargetMode="External" Id="rId182" /><Relationship Type="http://schemas.openxmlformats.org/officeDocument/2006/relationships/hyperlink" Target="https://github.com/RepoKing23/InstagramCarousel/tree/claude/serene-curie-xunco2/content/2026-11-09-under-eye-filler-honest-truth/images" TargetMode="External" Id="rId183" /><Relationship Type="http://schemas.openxmlformats.org/officeDocument/2006/relationships/hyperlink" Target="https://github.com/RepoKing23/InstagramCarousel/tree/claude/serene-curie-xunco2/content/2026-11-09-under-eye-filler-honest-truth/images" TargetMode="External" Id="rId184" /><Relationship Type="http://schemas.openxmlformats.org/officeDocument/2006/relationships/hyperlink" Target="https://github.com/RepoKing23/InstagramCarousel/blob/claude/serene-curie-xunco2/content/gbp/2026-11-09-under-eye-filler-honest-truth.jpg?raw=1" TargetMode="External" Id="rId185" /><Relationship Type="http://schemas.openxmlformats.org/officeDocument/2006/relationships/hyperlink" Target="https://github.com/RepoKing23/InstagramCarousel/blob/claude/serene-curie-xunco2/content/gbp/2026-11-09-under-eye-filler-honest-truth.jpg?raw=1" TargetMode="External" Id="rId186" /><Relationship Type="http://schemas.openxmlformats.org/officeDocument/2006/relationships/hyperlink" Target="https://github.com/RepoKing23/InstagramCarousel/tree/claude/serene-curie-xunco2/content/2026-11-10-gift-certificates-oakville-med-spa" TargetMode="External" Id="rId187" /><Relationship Type="http://schemas.openxmlformats.org/officeDocument/2006/relationships/hyperlink" Target="https://github.com/RepoKing23/InstagramCarousel/blob/claude/serene-curie-xunco2/content/2026-11-10-gift-certificates-oakville-med-spa/images/post.jpg?raw=1" TargetMode="External" Id="rId188" /><Relationship Type="http://schemas.openxmlformats.org/officeDocument/2006/relationships/hyperlink" Target="https://github.com/RepoKing23/InstagramCarousel/blob/claude/serene-curie-xunco2/content/2026-11-10-gift-certificates-oakville-med-spa/images/post.jpg?raw=1" TargetMode="External" Id="rId189" /><Relationship Type="http://schemas.openxmlformats.org/officeDocument/2006/relationships/hyperlink" Target="https://github.com/RepoKing23/InstagramCarousel/blob/claude/serene-curie-xunco2/content/gbp/2026-11-10-gift-certificates-oakville-med-spa.jpg?raw=1" TargetMode="External" Id="rId190" /><Relationship Type="http://schemas.openxmlformats.org/officeDocument/2006/relationships/hyperlink" Target="https://github.com/RepoKing23/InstagramCarousel/blob/claude/serene-curie-xunco2/content/gbp/2026-11-10-gift-certificates-oakville-med-spa.jpg?raw=1" TargetMode="External" Id="rId191" /><Relationship Type="http://schemas.openxmlformats.org/officeDocument/2006/relationships/hyperlink" Target="https://github.com/RepoKing23/InstagramCarousel/tree/claude/serene-curie-xunco2/content/2026-11-11-why-cleo-says-no" TargetMode="External" Id="rId192" /><Relationship Type="http://schemas.openxmlformats.org/officeDocument/2006/relationships/hyperlink" Target="https://github.com/RepoKing23/InstagramCarousel/blob/claude/serene-curie-xunco2/content/2026-11-11-why-cleo-says-no/images/post.jpg?raw=1" TargetMode="External" Id="rId193" /><Relationship Type="http://schemas.openxmlformats.org/officeDocument/2006/relationships/hyperlink" Target="https://github.com/RepoKing23/InstagramCarousel/blob/claude/serene-curie-xunco2/content/2026-11-11-why-cleo-says-no/images/post.jpg?raw=1" TargetMode="External" Id="rId194" /><Relationship Type="http://schemas.openxmlformats.org/officeDocument/2006/relationships/hyperlink" Target="https://github.com/RepoKing23/InstagramCarousel/blob/claude/serene-curie-xunco2/content/gbp/2026-11-11-why-cleo-says-no.jpg?raw=1" TargetMode="External" Id="rId195" /><Relationship Type="http://schemas.openxmlformats.org/officeDocument/2006/relationships/hyperlink" Target="https://github.com/RepoKing23/InstagramCarousel/blob/claude/serene-curie-xunco2/content/gbp/2026-11-11-why-cleo-says-no.jpg?raw=1" TargetMode="External" Id="rId196" /><Relationship Type="http://schemas.openxmlformats.org/officeDocument/2006/relationships/hyperlink" Target="https://github.com/RepoKing23/InstagramCarousel/tree/claude/serene-curie-xunco2/content/2026-11-12-one-result-every-angle" TargetMode="External" Id="rId197" /><Relationship Type="http://schemas.openxmlformats.org/officeDocument/2006/relationships/hyperlink" Target="https://github.com/RepoKing23/InstagramCarousel/tree/claude/serene-curie-xunco2/content/2026-11-12-one-result-every-angle/images" TargetMode="External" Id="rId198" /><Relationship Type="http://schemas.openxmlformats.org/officeDocument/2006/relationships/hyperlink" Target="https://github.com/RepoKing23/InstagramCarousel/tree/claude/serene-curie-xunco2/content/2026-11-12-one-result-every-angle/images" TargetMode="External" Id="rId199" /><Relationship Type="http://schemas.openxmlformats.org/officeDocument/2006/relationships/hyperlink" Target="https://github.com/RepoKing23/InstagramCarousel/blob/claude/serene-curie-xunco2/content/gbp/2026-11-12-one-result-every-angle.jpg?raw=1" TargetMode="External" Id="rId200" /><Relationship Type="http://schemas.openxmlformats.org/officeDocument/2006/relationships/hyperlink" Target="https://github.com/RepoKing23/InstagramCarousel/blob/claude/serene-curie-xunco2/content/gbp/2026-11-12-one-result-every-angle.jpg?raw=1" TargetMode="External" Id="rId201" /><Relationship Type="http://schemas.openxmlformats.org/officeDocument/2006/relationships/hyperlink" Target="https://github.com/RepoKing23/InstagramCarousel/tree/claude/serene-curie-xunco2/content/2026-11-16-electrolysis-for-hormonal-facial-hair" TargetMode="External" Id="rId202" /><Relationship Type="http://schemas.openxmlformats.org/officeDocument/2006/relationships/hyperlink" Target="https://github.com/RepoKing23/InstagramCarousel/tree/claude/serene-curie-xunco2/content/2026-11-16-electrolysis-for-hormonal-facial-hair/images" TargetMode="External" Id="rId203" /><Relationship Type="http://schemas.openxmlformats.org/officeDocument/2006/relationships/hyperlink" Target="https://github.com/RepoKing23/InstagramCarousel/tree/claude/serene-curie-xunco2/content/2026-11-16-electrolysis-for-hormonal-facial-hair/images" TargetMode="External" Id="rId204" /><Relationship Type="http://schemas.openxmlformats.org/officeDocument/2006/relationships/hyperlink" Target="https://github.com/RepoKing23/InstagramCarousel/blob/claude/serene-curie-xunco2/content/gbp/2026-11-16-electrolysis-for-hormonal-facial-hair.jpg?raw=1" TargetMode="External" Id="rId205" /><Relationship Type="http://schemas.openxmlformats.org/officeDocument/2006/relationships/hyperlink" Target="https://github.com/RepoKing23/InstagramCarousel/blob/claude/serene-curie-xunco2/content/gbp/2026-11-16-electrolysis-for-hormonal-facial-hair.jpg?raw=1" TargetMode="External" Id="rId206" /><Relationship Type="http://schemas.openxmlformats.org/officeDocument/2006/relationships/hyperlink" Target="https://github.com/RepoKing23/InstagramCarousel/tree/claude/serene-curie-xunco2/content/2026-11-17-frown-lines-forehead-crows-feet" TargetMode="External" Id="rId207" /><Relationship Type="http://schemas.openxmlformats.org/officeDocument/2006/relationships/hyperlink" Target="https://github.com/RepoKing23/InstagramCarousel/blob/claude/serene-curie-xunco2/content/2026-11-17-frown-lines-forehead-crows-feet/images/post.jpg?raw=1" TargetMode="External" Id="rId208" /><Relationship Type="http://schemas.openxmlformats.org/officeDocument/2006/relationships/hyperlink" Target="https://github.com/RepoKing23/InstagramCarousel/blob/claude/serene-curie-xunco2/content/2026-11-17-frown-lines-forehead-crows-feet/images/post.jpg?raw=1" TargetMode="External" Id="rId209" /><Relationship Type="http://schemas.openxmlformats.org/officeDocument/2006/relationships/hyperlink" Target="https://github.com/RepoKing23/InstagramCarousel/blob/claude/serene-curie-xunco2/content/gbp/2026-11-17-frown-lines-forehead-crows-feet.jpg?raw=1" TargetMode="External" Id="rId210" /><Relationship Type="http://schemas.openxmlformats.org/officeDocument/2006/relationships/hyperlink" Target="https://github.com/RepoKing23/InstagramCarousel/blob/claude/serene-curie-xunco2/content/gbp/2026-11-17-frown-lines-forehead-crows-feet.jpg?raw=1" TargetMode="External" Id="rId211" /><Relationship Type="http://schemas.openxmlformats.org/officeDocument/2006/relationships/hyperlink" Target="https://github.com/RepoKing23/InstagramCarousel/tree/claude/serene-curie-xunco2/content/2026-11-18-lip-filler-vs-lip-flip" TargetMode="External" Id="rId212" /><Relationship Type="http://schemas.openxmlformats.org/officeDocument/2006/relationships/hyperlink" Target="https://github.com/RepoKing23/InstagramCarousel/blob/claude/serene-curie-xunco2/content/2026-11-18-lip-filler-vs-lip-flip/images/post.jpg?raw=1" TargetMode="External" Id="rId213" /><Relationship Type="http://schemas.openxmlformats.org/officeDocument/2006/relationships/hyperlink" Target="https://github.com/RepoKing23/InstagramCarousel/blob/claude/serene-curie-xunco2/content/2026-11-18-lip-filler-vs-lip-flip/images/post.jpg?raw=1" TargetMode="External" Id="rId214" /><Relationship Type="http://schemas.openxmlformats.org/officeDocument/2006/relationships/hyperlink" Target="https://github.com/RepoKing23/InstagramCarousel/blob/claude/serene-curie-xunco2/content/gbp/2026-11-18-lip-filler-vs-lip-flip.jpg?raw=1" TargetMode="External" Id="rId215" /><Relationship Type="http://schemas.openxmlformats.org/officeDocument/2006/relationships/hyperlink" Target="https://github.com/RepoKing23/InstagramCarousel/blob/claude/serene-curie-xunco2/content/gbp/2026-11-18-lip-filler-vs-lip-flip.jpg?raw=1" TargetMode="External" Id="rId216" /><Relationship Type="http://schemas.openxmlformats.org/officeDocument/2006/relationships/hyperlink" Target="https://github.com/RepoKing23/InstagramCarousel/tree/claude/serene-curie-xunco2/content/2026-11-19-choosing-a-luxury-med-spa-oakville" TargetMode="External" Id="rId217" /><Relationship Type="http://schemas.openxmlformats.org/officeDocument/2006/relationships/hyperlink" Target="https://github.com/RepoKing23/InstagramCarousel/tree/claude/serene-curie-xunco2/content/2026-11-19-choosing-a-luxury-med-spa-oakville/images" TargetMode="External" Id="rId218" /><Relationship Type="http://schemas.openxmlformats.org/officeDocument/2006/relationships/hyperlink" Target="https://github.com/RepoKing23/InstagramCarousel/tree/claude/serene-curie-xunco2/content/2026-11-19-choosing-a-luxury-med-spa-oakville/images" TargetMode="External" Id="rId219" /><Relationship Type="http://schemas.openxmlformats.org/officeDocument/2006/relationships/hyperlink" Target="https://github.com/RepoKing23/InstagramCarousel/blob/claude/serene-curie-xunco2/content/gbp/2026-11-19-choosing-a-luxury-med-spa-oakville.jpg?raw=1" TargetMode="External" Id="rId220" /><Relationship Type="http://schemas.openxmlformats.org/officeDocument/2006/relationships/hyperlink" Target="https://github.com/RepoKing23/InstagramCarousel/blob/claude/serene-curie-xunco2/content/gbp/2026-11-19-choosing-a-luxury-med-spa-oakville.jpg?raw=1" TargetMode="External" Id="rId221" /><Relationship Type="http://schemas.openxmlformats.org/officeDocument/2006/relationships/hyperlink" Target="https://github.com/RepoKing23/InstagramCarousel/tree/claude/serene-curie-xunco2/content/2026-11-23-skincare-botox-filler-right-order" TargetMode="External" Id="rId222" /><Relationship Type="http://schemas.openxmlformats.org/officeDocument/2006/relationships/hyperlink" Target="https://github.com/RepoKing23/InstagramCarousel/tree/claude/serene-curie-xunco2/content/2026-11-23-skincare-botox-filler-right-order/images" TargetMode="External" Id="rId223" /><Relationship Type="http://schemas.openxmlformats.org/officeDocument/2006/relationships/hyperlink" Target="https://github.com/RepoKing23/InstagramCarousel/tree/claude/serene-curie-xunco2/content/2026-11-23-skincare-botox-filler-right-order/images" TargetMode="External" Id="rId224" /><Relationship Type="http://schemas.openxmlformats.org/officeDocument/2006/relationships/hyperlink" Target="https://github.com/RepoKing23/InstagramCarousel/blob/claude/serene-curie-xunco2/content/gbp/2026-11-23-skincare-botox-filler-right-order.jpg?raw=1" TargetMode="External" Id="rId225" /><Relationship Type="http://schemas.openxmlformats.org/officeDocument/2006/relationships/hyperlink" Target="https://github.com/RepoKing23/InstagramCarousel/blob/claude/serene-curie-xunco2/content/gbp/2026-11-23-skincare-botox-filler-right-order.jpg?raw=1" TargetMode="External" Id="rId226" /><Relationship Type="http://schemas.openxmlformats.org/officeDocument/2006/relationships/hyperlink" Target="https://github.com/RepoKing23/InstagramCarousel/tree/claude/serene-curie-xunco2/content/2026-11-24-black-friday-done-honestly" TargetMode="External" Id="rId227" /><Relationship Type="http://schemas.openxmlformats.org/officeDocument/2006/relationships/hyperlink" Target="https://github.com/RepoKing23/InstagramCarousel/blob/claude/serene-curie-xunco2/content/2026-11-24-black-friday-done-honestly/images/post.jpg?raw=1" TargetMode="External" Id="rId228" /><Relationship Type="http://schemas.openxmlformats.org/officeDocument/2006/relationships/hyperlink" Target="https://github.com/RepoKing23/InstagramCarousel/blob/claude/serene-curie-xunco2/content/2026-11-24-black-friday-done-honestly/images/post.jpg?raw=1" TargetMode="External" Id="rId229" /><Relationship Type="http://schemas.openxmlformats.org/officeDocument/2006/relationships/hyperlink" Target="https://github.com/RepoKing23/InstagramCarousel/blob/claude/serene-curie-xunco2/content/gbp/2026-11-24-black-friday-done-honestly.jpg?raw=1" TargetMode="External" Id="rId230" /><Relationship Type="http://schemas.openxmlformats.org/officeDocument/2006/relationships/hyperlink" Target="https://github.com/RepoKing23/InstagramCarousel/blob/claude/serene-curie-xunco2/content/gbp/2026-11-24-black-friday-done-honestly.jpg?raw=1" TargetMode="External" Id="rId231" /><Relationship Type="http://schemas.openxmlformats.org/officeDocument/2006/relationships/hyperlink" Target="https://github.com/RepoKing23/InstagramCarousel/tree/claude/serene-curie-xunco2/content/2026-11-25-does-electrolysis-hurt" TargetMode="External" Id="rId232" /><Relationship Type="http://schemas.openxmlformats.org/officeDocument/2006/relationships/hyperlink" Target="https://github.com/RepoKing23/InstagramCarousel/blob/claude/serene-curie-xunco2/content/2026-11-25-does-electrolysis-hurt/images/post.jpg?raw=1" TargetMode="External" Id="rId233" /><Relationship Type="http://schemas.openxmlformats.org/officeDocument/2006/relationships/hyperlink" Target="https://github.com/RepoKing23/InstagramCarousel/blob/claude/serene-curie-xunco2/content/2026-11-25-does-electrolysis-hurt/images/post.jpg?raw=1" TargetMode="External" Id="rId234" /><Relationship Type="http://schemas.openxmlformats.org/officeDocument/2006/relationships/hyperlink" Target="https://github.com/RepoKing23/InstagramCarousel/blob/claude/serene-curie-xunco2/content/gbp/2026-11-25-does-electrolysis-hurt.jpg?raw=1" TargetMode="External" Id="rId235" /><Relationship Type="http://schemas.openxmlformats.org/officeDocument/2006/relationships/hyperlink" Target="https://github.com/RepoKing23/InstagramCarousel/blob/claude/serene-curie-xunco2/content/gbp/2026-11-25-does-electrolysis-hurt.jpg?raw=1" TargetMode="External" Id="rId236" /><Relationship Type="http://schemas.openxmlformats.org/officeDocument/2006/relationships/hyperlink" Target="https://github.com/RepoKing23/InstagramCarousel/tree/claude/serene-curie-xunco2/content/2026-11-26-gift-of-glow-holiday-gift-certificates" TargetMode="External" Id="rId237" /><Relationship Type="http://schemas.openxmlformats.org/officeDocument/2006/relationships/hyperlink" Target="https://github.com/RepoKing23/InstagramCarousel/tree/claude/serene-curie-xunco2/content/2026-11-26-gift-of-glow-holiday-gift-certificates/images" TargetMode="External" Id="rId238" /><Relationship Type="http://schemas.openxmlformats.org/officeDocument/2006/relationships/hyperlink" Target="https://github.com/RepoKing23/InstagramCarousel/tree/claude/serene-curie-xunco2/content/2026-11-26-gift-of-glow-holiday-gift-certificates/images" TargetMode="External" Id="rId239" /><Relationship Type="http://schemas.openxmlformats.org/officeDocument/2006/relationships/hyperlink" Target="https://github.com/RepoKing23/InstagramCarousel/blob/claude/serene-curie-xunco2/content/gbp/2026-11-26-gift-of-glow-holiday-gift-certificates.jpg?raw=1" TargetMode="External" Id="rId240" /><Relationship Type="http://schemas.openxmlformats.org/officeDocument/2006/relationships/hyperlink" Target="https://github.com/RepoKing23/InstagramCarousel/blob/claude/serene-curie-xunco2/content/gbp/2026-11-26-gift-of-glow-holiday-gift-certificates.jpg?raw=1" TargetMode="External" Id="rId241" /><Relationship Type="http://schemas.openxmlformats.org/officeDocument/2006/relationships/hyperlink" Target="https://github.com/RepoKing23/InstagramCarousel/tree/claude/serene-curie-xunco2/content/2026-11-30-december-botox-last-call" TargetMode="External" Id="rId242" /><Relationship Type="http://schemas.openxmlformats.org/officeDocument/2006/relationships/hyperlink" Target="https://github.com/RepoKing23/InstagramCarousel/tree/claude/serene-curie-xunco2/content/2026-11-30-december-botox-last-call/images" TargetMode="External" Id="rId243" /><Relationship Type="http://schemas.openxmlformats.org/officeDocument/2006/relationships/hyperlink" Target="https://github.com/RepoKing23/InstagramCarousel/tree/claude/serene-curie-xunco2/content/2026-11-30-december-botox-last-call/images" TargetMode="External" Id="rId244" /><Relationship Type="http://schemas.openxmlformats.org/officeDocument/2006/relationships/hyperlink" Target="https://github.com/RepoKing23/InstagramCarousel/blob/claude/serene-curie-xunco2/content/gbp/2026-11-30-december-botox-last-call.jpg?raw=1" TargetMode="External" Id="rId245" /><Relationship Type="http://schemas.openxmlformats.org/officeDocument/2006/relationships/hyperlink" Target="https://github.com/RepoKing23/InstagramCarousel/blob/claude/serene-curie-xunco2/content/gbp/2026-11-30-december-botox-last-call.jpg?raw=1" TargetMode="External" Id="rId246" /></Relationships>
</file>

<file path=xl/worksheets/_rels/sheet4.xml.rels><Relationships xmlns="http://schemas.openxmlformats.org/package/2006/relationships"><Relationship Type="http://schemas.openxmlformats.org/officeDocument/2006/relationships/hyperlink" Target="https://www.instagram.com/luxury_beauty_aestheticz/" TargetMode="External" Id="rId1" /><Relationship Type="http://schemas.openxmlformats.org/officeDocument/2006/relationships/hyperlink" Target="https://www.instagram.com/luxury_beauty_aestheticz/" TargetMode="External" Id="rId2" /><Relationship Type="http://schemas.openxmlformats.org/officeDocument/2006/relationships/hyperlink" Target="https://www.instagram.com/luxury_beauty_aestheticz/" TargetMode="External" Id="rId3" /><Relationship Type="http://schemas.openxmlformats.org/officeDocument/2006/relationships/hyperlink" Target="https://github.com/RepoKing23/InstagramCarousel/tree/claude/serene-curie-xunco2/content/gbp" TargetMode="External" Id="rId4" /><Relationship Type="http://schemas.openxmlformats.org/officeDocument/2006/relationships/hyperlink" Target="https://raw.githubusercontent.com/RepoKing23/InstagramCarousel/claude/serene-curie-xunco2/content/gbp/2026-08-19-one-client-at-a-time.jpg" TargetMode="External" Id="rId5" /><Relationship Type="http://schemas.openxmlformats.org/officeDocument/2006/relationships/hyperlink" Target="https://unsplash.com/photos/SlpmIhUd860" TargetMode="External" Id="rId6" /><Relationship Type="http://schemas.openxmlformats.org/officeDocument/2006/relationships/hyperlink" Target="https://www.instagram.com/luxury_beauty_aestheticz/" TargetMode="External" Id="rId7" /><Relationship Type="http://schemas.openxmlformats.org/officeDocument/2006/relationships/hyperlink" Target="https://github.com/RepoKing23/InstagramCarousel/tree/claude/serene-curie-xunco2/content/gbp" TargetMode="External" Id="rId8" /><Relationship Type="http://schemas.openxmlformats.org/officeDocument/2006/relationships/hyperlink" Target="https://raw.githubusercontent.com/RepoKing23/InstagramCarousel/claude/serene-curie-xunco2/content/gbp/2026-08-20-5-red-flags.jpg" TargetMode="External" Id="rId9" /><Relationship Type="http://schemas.openxmlformats.org/officeDocument/2006/relationships/hyperlink" Target="https://unsplash.com/photos/HtXyytr9304" TargetMode="External" Id="rId10" /><Relationship Type="http://schemas.openxmlformats.org/officeDocument/2006/relationships/hyperlink" Target="https://www.instagram.com/luxury_beauty_aestheticz/" TargetMode="External" Id="rId11" /><Relationship Type="http://schemas.openxmlformats.org/officeDocument/2006/relationships/hyperlink" Target="https://github.com/RepoKing23/InstagramCarousel/tree/claude/serene-curie-xunco2/content/gbp" TargetMode="External" Id="rId12" /><Relationship Type="http://schemas.openxmlformats.org/officeDocument/2006/relationships/hyperlink" Target="https://raw.githubusercontent.com/RepoKing23/InstagramCarousel/claude/serene-curie-xunco2/content/gbp/2026-08-21-before-the-needle.jpg" TargetMode="External" Id="rId13" /><Relationship Type="http://schemas.openxmlformats.org/officeDocument/2006/relationships/hyperlink" Target="https://unsplash.com/photos/q2csrSPGM_k" TargetMode="External" Id="rId14" /><Relationship Type="http://schemas.openxmlformats.org/officeDocument/2006/relationships/hyperlink" Target="https://www.instagram.com/luxury_beauty_aestheticz/" TargetMode="External" Id="rId15" /><Relationship Type="http://schemas.openxmlformats.org/officeDocument/2006/relationships/hyperlink" Target="https://github.com/RepoKing23/InstagramCarousel/tree/claude/serene-curie-xunco2/content/gbp" TargetMode="External" Id="rId16" /><Relationship Type="http://schemas.openxmlformats.org/officeDocument/2006/relationships/hyperlink" Target="https://raw.githubusercontent.com/RepoKing23/InstagramCarousel/claude/serene-curie-xunco2/content/gbp/2026-08-22-great-work-is-invisible.jpg" TargetMode="External" Id="rId17" /><Relationship Type="http://schemas.openxmlformats.org/officeDocument/2006/relationships/hyperlink" Target="https://unsplash.com/photos/-FT1IVUnUd8" TargetMode="External" Id="rId18" /><Relationship Type="http://schemas.openxmlformats.org/officeDocument/2006/relationships/hyperlink" Target="https://www.instagram.com/luxury_beauty_aestheticz/" TargetMode="External" Id="rId19" /><Relationship Type="http://schemas.openxmlformats.org/officeDocument/2006/relationships/hyperlink" Target="https://github.com/RepoKing23/InstagramCarousel/tree/claude/serene-curie-xunco2/content/gbp" TargetMode="External" Id="rId20" /><Relationship Type="http://schemas.openxmlformats.org/officeDocument/2006/relationships/hyperlink" Target="https://raw.githubusercontent.com/RepoKing23/InstagramCarousel/claude/serene-curie-xunco2/content/gbp/2026-08-23-how-long-does-it-take.jpg" TargetMode="External" Id="rId21" /><Relationship Type="http://schemas.openxmlformats.org/officeDocument/2006/relationships/hyperlink" Target="https://unsplash.com/photos/16mHHrY3PUk" TargetMode="External" Id="rId22" /><Relationship Type="http://schemas.openxmlformats.org/officeDocument/2006/relationships/hyperlink" Target="https://www.instagram.com/luxury_beauty_aestheticz/" TargetMode="External" Id="rId23" /><Relationship Type="http://schemas.openxmlformats.org/officeDocument/2006/relationships/hyperlink" Target="https://github.com/RepoKing23/InstagramCarousel/tree/claude/serene-curie-xunco2/content/gbp" TargetMode="External" Id="rId24" /><Relationship Type="http://schemas.openxmlformats.org/officeDocument/2006/relationships/hyperlink" Target="https://raw.githubusercontent.com/RepoKing23/InstagramCarousel/claude/serene-curie-xunco2/content/gbp/2026-08-24-what-actually-happens.jpg" TargetMode="External" Id="rId25" /><Relationship Type="http://schemas.openxmlformats.org/officeDocument/2006/relationships/hyperlink" Target="https://unsplash.com/photos/PqyzuzFiQfY" TargetMode="External" Id="rId26" /><Relationship Type="http://schemas.openxmlformats.org/officeDocument/2006/relationships/hyperlink" Target="https://www.instagram.com/luxury_beauty_aestheticz/" TargetMode="External" Id="rId27" /><Relationship Type="http://schemas.openxmlformats.org/officeDocument/2006/relationships/hyperlink" Target="https://github.com/RepoKing23/InstagramCarousel/tree/claude/serene-curie-xunco2/content/gbp" TargetMode="External" Id="rId28" /><Relationship Type="http://schemas.openxmlformats.org/officeDocument/2006/relationships/hyperlink" Target="https://raw.githubusercontent.com/RepoKing23/InstagramCarousel/claude/serene-curie-xunco2/content/gbp/2026-08-25-why-no-prices.jpg" TargetMode="External" Id="rId29" /><Relationship Type="http://schemas.openxmlformats.org/officeDocument/2006/relationships/hyperlink" Target="https://unsplash.com/photos/w6zVwAYoqWM" TargetMode="External" Id="rId30" /><Relationship Type="http://schemas.openxmlformats.org/officeDocument/2006/relationships/hyperlink" Target="https://www.instagram.com/luxury_beauty_aestheticz/" TargetMode="External" Id="rId31" /><Relationship Type="http://schemas.openxmlformats.org/officeDocument/2006/relationships/hyperlink" Target="https://github.com/RepoKing23/InstagramCarousel/tree/claude/serene-curie-xunco2/content/gbp" TargetMode="External" Id="rId32" /><Relationship Type="http://schemas.openxmlformats.org/officeDocument/2006/relationships/hyperlink" Target="https://raw.githubusercontent.com/RepoKing23/InstagramCarousel/claude/serene-curie-xunco2/content/gbp/2026-08-26-who-injects-you.jpg" TargetMode="External" Id="rId33" /><Relationship Type="http://schemas.openxmlformats.org/officeDocument/2006/relationships/hyperlink" Target="https://unsplash.com/photos/6Cz6R3El3p0" TargetMode="External" Id="rId34" /><Relationship Type="http://schemas.openxmlformats.org/officeDocument/2006/relationships/hyperlink" Target="https://www.instagram.com/luxury_beauty_aestheticz/" TargetMode="External" Id="rId35" /><Relationship Type="http://schemas.openxmlformats.org/officeDocument/2006/relationships/hyperlink" Target="https://github.com/RepoKing23/InstagramCarousel/tree/claude/serene-curie-xunco2/content/gbp" TargetMode="External" Id="rId36" /><Relationship Type="http://schemas.openxmlformats.org/officeDocument/2006/relationships/hyperlink" Target="https://raw.githubusercontent.com/RepoKing23/InstagramCarousel/claude/serene-curie-xunco2/content/gbp/2026-08-27-meet-np-cleo.jpg" TargetMode="External" Id="rId37" /><Relationship Type="http://schemas.openxmlformats.org/officeDocument/2006/relationships/hyperlink" Target="https://unsplash.com/photos/TQSPgNqeCo8" TargetMode="External" Id="rId38" /><Relationship Type="http://schemas.openxmlformats.org/officeDocument/2006/relationships/hyperlink" Target="https://www.instagram.com/luxury_beauty_aestheticz/" TargetMode="External" Id="rId39" /><Relationship Type="http://schemas.openxmlformats.org/officeDocument/2006/relationships/hyperlink" Target="https://github.com/RepoKing23/InstagramCarousel/tree/claude/serene-curie-xunco2/content/gbp" TargetMode="External" Id="rId40" /><Relationship Type="http://schemas.openxmlformats.org/officeDocument/2006/relationships/hyperlink" Target="https://raw.githubusercontent.com/RepoKing23/InstagramCarousel/claude/serene-curie-xunco2/content/gbp/2026-08-28-where-calm-meets-careful.jpg" TargetMode="External" Id="rId41" /><Relationship Type="http://schemas.openxmlformats.org/officeDocument/2006/relationships/hyperlink" Target="https://unsplash.com/photos/MGKzomg0Dts" TargetMode="External" Id="rId42" /><Relationship Type="http://schemas.openxmlformats.org/officeDocument/2006/relationships/hyperlink" Target="https://www.instagram.com/luxury_beauty_aestheticz/" TargetMode="External" Id="rId43" /><Relationship Type="http://schemas.openxmlformats.org/officeDocument/2006/relationships/hyperlink" Target="https://github.com/RepoKing23/InstagramCarousel/tree/claude/serene-curie-xunco2/content/gbp" TargetMode="External" Id="rId44" /><Relationship Type="http://schemas.openxmlformats.org/officeDocument/2006/relationships/hyperlink" Target="https://raw.githubusercontent.com/RepoKing23/InstagramCarousel/claude/serene-curie-xunco2/content/gbp/2026-08-29-rested-or-frozen.jpg" TargetMode="External" Id="rId45" /><Relationship Type="http://schemas.openxmlformats.org/officeDocument/2006/relationships/hyperlink" Target="https://unsplash.com/photos/n5RNynnttF8" TargetMode="External" Id="rId46" /><Relationship Type="http://schemas.openxmlformats.org/officeDocument/2006/relationships/hyperlink" Target="https://www.instagram.com/luxury_beauty_aestheticz/" TargetMode="External" Id="rId47" /><Relationship Type="http://schemas.openxmlformats.org/officeDocument/2006/relationships/hyperlink" Target="https://github.com/RepoKing23/InstagramCarousel/tree/claude/serene-curie-xunco2/content/gbp" TargetMode="External" Id="rId48" /><Relationship Type="http://schemas.openxmlformats.org/officeDocument/2006/relationships/hyperlink" Target="https://raw.githubusercontent.com/RepoKing23/InstagramCarousel/claude/serene-curie-xunco2/content/gbp/2026-08-30-what-a-consult-includes.jpg" TargetMode="External" Id="rId49" /><Relationship Type="http://schemas.openxmlformats.org/officeDocument/2006/relationships/hyperlink" Target="https://unsplash.com/photos/XGv1wuuNvYU" TargetMode="External" Id="rId50" /><Relationship Type="http://schemas.openxmlformats.org/officeDocument/2006/relationships/hyperlink" Target="https://www.instagram.com/luxury_beauty_aestheticz/" TargetMode="External" Id="rId51" /><Relationship Type="http://schemas.openxmlformats.org/officeDocument/2006/relationships/hyperlink" Target="https://github.com/RepoKing23/InstagramCarousel/tree/claude/serene-curie-xunco2/content/gbp" TargetMode="External" Id="rId52" /><Relationship Type="http://schemas.openxmlformats.org/officeDocument/2006/relationships/hyperlink" Target="https://raw.githubusercontent.com/RepoKing23/InstagramCarousel/claude/serene-curie-xunco2/content/gbp/2026-08-31-when-to-start.jpg" TargetMode="External" Id="rId53" /><Relationship Type="http://schemas.openxmlformats.org/officeDocument/2006/relationships/hyperlink" Target="https://unsplash.com/photos/w4Dj3MshHQ0" TargetMode="External" Id="rId54" /><Relationship Type="http://schemas.openxmlformats.org/officeDocument/2006/relationships/hyperlink" Target="https://www.instagram.com/luxury_beauty_aestheticz/" TargetMode="External" Id="rId55" /><Relationship Type="http://schemas.openxmlformats.org/officeDocument/2006/relationships/hyperlink" Target="https://github.com/RepoKing23/InstagramCarousel/tree/claude/serene-curie-xunco2/content/gbp" TargetMode="External" Id="rId56" /><Relationship Type="http://schemas.openxmlformats.org/officeDocument/2006/relationships/hyperlink" Target="https://raw.githubusercontent.com/RepoKing23/InstagramCarousel/claude/serene-curie-xunco2/content/gbp/2026-09-01-spotlight-preventative.jpg" TargetMode="External" Id="rId57" /><Relationship Type="http://schemas.openxmlformats.org/officeDocument/2006/relationships/hyperlink" Target="https://unsplash.com/photos/GG8i22DQTHw" TargetMode="External" Id="rId58" /><Relationship Type="http://schemas.openxmlformats.org/officeDocument/2006/relationships/hyperlink" Target="https://www.instagram.com/luxury_beauty_aestheticz/" TargetMode="External" Id="rId59" /><Relationship Type="http://schemas.openxmlformats.org/officeDocument/2006/relationships/hyperlink" Target="https://github.com/RepoKing23/InstagramCarousel/tree/claude/serene-curie-xunco2/content/gbp" TargetMode="External" Id="rId60" /><Relationship Type="http://schemas.openxmlformats.org/officeDocument/2006/relationships/hyperlink" Target="https://raw.githubusercontent.com/RepoKing23/InstagramCarousel/claude/serene-curie-xunco2/content/gbp/2026-09-02-is-it-safe.jpg" TargetMode="External" Id="rId61" /><Relationship Type="http://schemas.openxmlformats.org/officeDocument/2006/relationships/hyperlink" Target="https://unsplash.com/photos/HtXyytr9304" TargetMode="External" Id="rId62" /><Relationship Type="http://schemas.openxmlformats.org/officeDocument/2006/relationships/hyperlink" Target="https://www.instagram.com/luxury_beauty_aestheticz/" TargetMode="External" Id="rId63" /><Relationship Type="http://schemas.openxmlformats.org/officeDocument/2006/relationships/hyperlink" Target="https://github.com/RepoKing23/InstagramCarousel/tree/claude/serene-curie-xunco2/content/gbp" TargetMode="External" Id="rId64" /><Relationship Type="http://schemas.openxmlformats.org/officeDocument/2006/relationships/hyperlink" Target="https://raw.githubusercontent.com/RepoKing23/InstagramCarousel/claude/serene-curie-xunco2/content/gbp/2026-09-03-20-units.jpg" TargetMode="External" Id="rId65" /><Relationship Type="http://schemas.openxmlformats.org/officeDocument/2006/relationships/hyperlink" Target="https://unsplash.com/photos/qJ1mYraktLg" TargetMode="External" Id="rId66" /><Relationship Type="http://schemas.openxmlformats.org/officeDocument/2006/relationships/hyperlink" Target="https://www.instagram.com/luxury_beauty_aestheticz/" TargetMode="External" Id="rId67" /><Relationship Type="http://schemas.openxmlformats.org/officeDocument/2006/relationships/hyperlink" Target="https://github.com/RepoKing23/InstagramCarousel/tree/claude/serene-curie-xunco2/content/gbp" TargetMode="External" Id="rId68" /><Relationship Type="http://schemas.openxmlformats.org/officeDocument/2006/relationships/hyperlink" Target="https://raw.githubusercontent.com/RepoKing23/InstagramCarousel/claude/serene-curie-xunco2/content/gbp/2026-09-04-meet-your-injector.jpg" TargetMode="External" Id="rId69" /><Relationship Type="http://schemas.openxmlformats.org/officeDocument/2006/relationships/hyperlink" Target="https://unsplash.com/photos/q2csrSPGM_k" TargetMode="External" Id="rId70" /><Relationship Type="http://schemas.openxmlformats.org/officeDocument/2006/relationships/hyperlink" Target="https://www.instagram.com/luxury_beauty_aestheticz/" TargetMode="External" Id="rId71" /><Relationship Type="http://schemas.openxmlformats.org/officeDocument/2006/relationships/hyperlink" Target="https://github.com/RepoKing23/InstagramCarousel/tree/claude/serene-curie-xunco2/content/gbp" TargetMode="External" Id="rId72" /><Relationship Type="http://schemas.openxmlformats.org/officeDocument/2006/relationships/hyperlink" Target="https://raw.githubusercontent.com/RepoKing23/InstagramCarousel/claude/serene-curie-xunco2/content/gbp/2026-09-05-prevention-beats-erasing.jpg" TargetMode="External" Id="rId73" /><Relationship Type="http://schemas.openxmlformats.org/officeDocument/2006/relationships/hyperlink" Target="https://unsplash.com/photos/0YT1p3lEPTg" TargetMode="External" Id="rId74" /><Relationship Type="http://schemas.openxmlformats.org/officeDocument/2006/relationships/hyperlink" Target="https://www.instagram.com/luxury_beauty_aestheticz/" TargetMode="External" Id="rId75" /><Relationship Type="http://schemas.openxmlformats.org/officeDocument/2006/relationships/hyperlink" Target="https://github.com/RepoKing23/InstagramCarousel/tree/claude/serene-curie-xunco2/content/gbp" TargetMode="External" Id="rId76" /><Relationship Type="http://schemas.openxmlformats.org/officeDocument/2006/relationships/hyperlink" Target="https://raw.githubusercontent.com/RepoKing23/InstagramCarousel/claude/serene-curie-xunco2/content/gbp/2026-09-06-first-timer.jpg" TargetMode="External" Id="rId77" /><Relationship Type="http://schemas.openxmlformats.org/officeDocument/2006/relationships/hyperlink" Target="https://unsplash.com/photos/16mHHrY3PUk" TargetMode="External" Id="rId78" /><Relationship Type="http://schemas.openxmlformats.org/officeDocument/2006/relationships/hyperlink" Target="https://www.instagram.com/luxury_beauty_aestheticz/" TargetMode="External" Id="rId79" /><Relationship Type="http://schemas.openxmlformats.org/officeDocument/2006/relationships/hyperlink" Target="https://github.com/RepoKing23/InstagramCarousel/tree/claude/serene-curie-xunco2/content/gbp" TargetMode="External" Id="rId80" /><Relationship Type="http://schemas.openxmlformats.org/officeDocument/2006/relationships/hyperlink" Target="https://raw.githubusercontent.com/RepoKing23/InstagramCarousel/claude/serene-curie-xunco2/content/gbp/2026-09-07-botox-vs-dysport.jpg" TargetMode="External" Id="rId81" /><Relationship Type="http://schemas.openxmlformats.org/officeDocument/2006/relationships/hyperlink" Target="https://unsplash.com/photos/N6N-DcYcDZ8" TargetMode="External" Id="rId82" /><Relationship Type="http://schemas.openxmlformats.org/officeDocument/2006/relationships/hyperlink" Target="https://www.instagram.com/luxury_beauty_aestheticz/" TargetMode="External" Id="rId83" /><Relationship Type="http://schemas.openxmlformats.org/officeDocument/2006/relationships/hyperlink" Target="https://github.com/RepoKing23/InstagramCarousel/tree/claude/serene-curie-xunco2/content/gbp" TargetMode="External" Id="rId84" /><Relationship Type="http://schemas.openxmlformats.org/officeDocument/2006/relationships/hyperlink" Target="https://raw.githubusercontent.com/RepoKing23/InstagramCarousel/claude/serene-curie-xunco2/content/gbp/2026-09-08-at-a-glance.jpg" TargetMode="External" Id="rId85" /><Relationship Type="http://schemas.openxmlformats.org/officeDocument/2006/relationships/hyperlink" Target="https://unsplash.com/photos/w6zVwAYoqWM" TargetMode="External" Id="rId86" /><Relationship Type="http://schemas.openxmlformats.org/officeDocument/2006/relationships/hyperlink" Target="https://www.instagram.com/luxury_beauty_aestheticz/" TargetMode="External" Id="rId87" /><Relationship Type="http://schemas.openxmlformats.org/officeDocument/2006/relationships/hyperlink" Target="https://github.com/RepoKing23/InstagramCarousel/tree/claude/serene-curie-xunco2/content/gbp" TargetMode="External" Id="rId88" /><Relationship Type="http://schemas.openxmlformats.org/officeDocument/2006/relationships/hyperlink" Target="https://raw.githubusercontent.com/RepoKing23/InstagramCarousel/claude/serene-curie-xunco2/content/gbp/2026-09-09-aftercare-rules.jpg" TargetMode="External" Id="rId89" /><Relationship Type="http://schemas.openxmlformats.org/officeDocument/2006/relationships/hyperlink" Target="https://unsplash.com/photos/qJ1mYraktLg" TargetMode="External" Id="rId90" /><Relationship Type="http://schemas.openxmlformats.org/officeDocument/2006/relationships/hyperlink" Target="https://www.instagram.com/luxury_beauty_aestheticz/" TargetMode="External" Id="rId91" /><Relationship Type="http://schemas.openxmlformats.org/officeDocument/2006/relationships/hyperlink" Target="https://github.com/RepoKing23/InstagramCarousel/tree/claude/serene-curie-xunco2/content/gbp" TargetMode="External" Id="rId92" /><Relationship Type="http://schemas.openxmlformats.org/officeDocument/2006/relationships/hyperlink" Target="https://raw.githubusercontent.com/RepoKing23/InstagramCarousel/claude/serene-curie-xunco2/content/gbp/2026-09-10-first-48-hours.jpg" TargetMode="External" Id="rId93" /><Relationship Type="http://schemas.openxmlformats.org/officeDocument/2006/relationships/hyperlink" Target="https://unsplash.com/photos/MGKzomg0Dts" TargetMode="External" Id="rId94" /><Relationship Type="http://schemas.openxmlformats.org/officeDocument/2006/relationships/hyperlink" Target="https://www.instagram.com/luxury_beauty_aestheticz/" TargetMode="External" Id="rId95" /><Relationship Type="http://schemas.openxmlformats.org/officeDocument/2006/relationships/hyperlink" Target="https://github.com/RepoKing23/InstagramCarousel/tree/claude/serene-curie-xunco2/content/gbp" TargetMode="External" Id="rId96" /><Relationship Type="http://schemas.openxmlformats.org/officeDocument/2006/relationships/hyperlink" Target="https://raw.githubusercontent.com/RepoKing23/InstagramCarousel/claude/serene-curie-xunco2/content/gbp/2026-09-11-the-face-map.jpg" TargetMode="External" Id="rId97" /><Relationship Type="http://schemas.openxmlformats.org/officeDocument/2006/relationships/hyperlink" Target="https://unsplash.com/photos/4mCQh80Jzyo" TargetMode="External" Id="rId98" /><Relationship Type="http://schemas.openxmlformats.org/officeDocument/2006/relationships/hyperlink" Target="https://www.instagram.com/luxury_beauty_aestheticz/" TargetMode="External" Id="rId99" /><Relationship Type="http://schemas.openxmlformats.org/officeDocument/2006/relationships/hyperlink" Target="https://github.com/RepoKing23/InstagramCarousel/tree/claude/serene-curie-xunco2/content/gbp" TargetMode="External" Id="rId100" /><Relationship Type="http://schemas.openxmlformats.org/officeDocument/2006/relationships/hyperlink" Target="https://raw.githubusercontent.com/RepoKing23/InstagramCarousel/claude/serene-curie-xunco2/content/gbp/2026-09-12-does-it-hurt.jpg" TargetMode="External" Id="rId101" /><Relationship Type="http://schemas.openxmlformats.org/officeDocument/2006/relationships/hyperlink" Target="https://unsplash.com/photos/hX9V80PDxrQ" TargetMode="External" Id="rId102" /><Relationship Type="http://schemas.openxmlformats.org/officeDocument/2006/relationships/hyperlink" Target="https://www.instagram.com/luxury_beauty_aestheticz/" TargetMode="External" Id="rId103" /><Relationship Type="http://schemas.openxmlformats.org/officeDocument/2006/relationships/hyperlink" Target="https://github.com/RepoKing23/InstagramCarousel/tree/claude/serene-curie-xunco2/content/gbp" TargetMode="External" Id="rId104" /><Relationship Type="http://schemas.openxmlformats.org/officeDocument/2006/relationships/hyperlink" Target="https://raw.githubusercontent.com/RepoKing23/InstagramCarousel/claude/serene-curie-xunco2/content/gbp/2026-09-13-still-look-like-you.jpg" TargetMode="External" Id="rId105" /><Relationship Type="http://schemas.openxmlformats.org/officeDocument/2006/relationships/hyperlink" Target="https://unsplash.com/photos/H9YAbOsqDt8" TargetMode="External" Id="rId106" /><Relationship Type="http://schemas.openxmlformats.org/officeDocument/2006/relationships/hyperlink" Target="https://www.instagram.com/luxury_beauty_aestheticz/" TargetMode="External" Id="rId107" /><Relationship Type="http://schemas.openxmlformats.org/officeDocument/2006/relationships/hyperlink" Target="https://github.com/RepoKing23/InstagramCarousel/tree/claude/serene-curie-xunco2/content/gbp" TargetMode="External" Id="rId108" /><Relationship Type="http://schemas.openxmlformats.org/officeDocument/2006/relationships/hyperlink" Target="https://raw.githubusercontent.com/RepoKing23/InstagramCarousel/claude/serene-curie-xunco2/content/gbp/2026-09-14-5-things-botox-cannot-do.jpg" TargetMode="External" Id="rId109" /><Relationship Type="http://schemas.openxmlformats.org/officeDocument/2006/relationships/hyperlink" Target="https://unsplash.com/photos/w4Dj3MshHQ0" TargetMode="External" Id="rId110" /><Relationship Type="http://schemas.openxmlformats.org/officeDocument/2006/relationships/hyperlink" Target="https://www.instagram.com/luxury_beauty_aestheticz/" TargetMode="External" Id="rId111" /><Relationship Type="http://schemas.openxmlformats.org/officeDocument/2006/relationships/hyperlink" Target="https://github.com/RepoKing23/InstagramCarousel/tree/claude/serene-curie-xunco2/content/gbp" TargetMode="External" Id="rId112" /><Relationship Type="http://schemas.openxmlformats.org/officeDocument/2006/relationships/hyperlink" Target="https://raw.githubusercontent.com/RepoKing23/InstagramCarousel/claude/serene-curie-xunco2/content/gbp/2026-09-15-what-it-cannot-fix.jpg" TargetMode="External" Id="rId113" /><Relationship Type="http://schemas.openxmlformats.org/officeDocument/2006/relationships/hyperlink" Target="https://unsplash.com/photos/GG8i22DQTHw" TargetMode="External" Id="rId114" /><Relationship Type="http://schemas.openxmlformats.org/officeDocument/2006/relationships/hyperlink" Target="https://www.instagram.com/luxury_beauty_aestheticz/" TargetMode="External" Id="rId115" /><Relationship Type="http://schemas.openxmlformats.org/officeDocument/2006/relationships/hyperlink" Target="https://github.com/RepoKing23/InstagramCarousel/tree/claude/serene-curie-xunco2/content/gbp" TargetMode="External" Id="rId116" /><Relationship Type="http://schemas.openxmlformats.org/officeDocument/2006/relationships/hyperlink" Target="https://raw.githubusercontent.com/RepoKing23/InstagramCarousel/claude/serene-curie-xunco2/content/gbp/2026-09-16-how-to-book.jpg" TargetMode="External" Id="rId117" /><Relationship Type="http://schemas.openxmlformats.org/officeDocument/2006/relationships/hyperlink" Target="https://unsplash.com/photos/SlpmIhUd860" TargetMode="External" Id="rId118" /><Relationship Type="http://schemas.openxmlformats.org/officeDocument/2006/relationships/hyperlink" Target="https://www.instagram.com/luxury_beauty_aestheticz/" TargetMode="External" Id="rId119" /><Relationship Type="http://schemas.openxmlformats.org/officeDocument/2006/relationships/hyperlink" Target="https://github.com/RepoKing23/InstagramCarousel/tree/claude/serene-curie-xunco2/content/gbp" TargetMode="External" Id="rId120" /><Relationship Type="http://schemas.openxmlformats.org/officeDocument/2006/relationships/hyperlink" Target="https://raw.githubusercontent.com/RepoKing23/InstagramCarousel/claude/serene-curie-xunco2/content/gbp/2026-09-17-still-you-just-refreshed.jpg" TargetMode="External" Id="rId121" /><Relationship Type="http://schemas.openxmlformats.org/officeDocument/2006/relationships/hyperlink" Target="https://unsplash.com/photos/k6vhjQF720E" TargetMode="External" Id="rId122" /><Relationship Type="http://schemas.openxmlformats.org/officeDocument/2006/relationships/hyperlink" Target="https://www.instagram.com/luxury_beauty_aestheticz/" TargetMode="External" Id="rId123" /><Relationship Type="http://schemas.openxmlformats.org/officeDocument/2006/relationships/hyperlink" Target="https://github.com/RepoKing23/InstagramCarousel/tree/claude/serene-curie-xunco2/content/gbp" TargetMode="External" Id="rId124" /><Relationship Type="http://schemas.openxmlformats.org/officeDocument/2006/relationships/hyperlink" Target="https://raw.githubusercontent.com/RepoKing23/InstagramCarousel/claude/serene-curie-xunco2/content/gbp/2026-09-18-frozen-face-myth.jpg" TargetMode="External" Id="rId125" /><Relationship Type="http://schemas.openxmlformats.org/officeDocument/2006/relationships/hyperlink" Target="https://unsplash.com/photos/N6N-DcYcDZ8" TargetMode="External" Id="rId126" /><Relationship Type="http://schemas.openxmlformats.org/officeDocument/2006/relationships/hyperlink" Target="https://www.instagram.com/luxury_beauty_aestheticz/" TargetMode="External" Id="rId127" /><Relationship Type="http://schemas.openxmlformats.org/officeDocument/2006/relationships/hyperlink" Target="https://github.com/RepoKing23/InstagramCarousel/tree/claude/serene-curie-xunco2/content/gbp" TargetMode="External" Id="rId128" /><Relationship Type="http://schemas.openxmlformats.org/officeDocument/2006/relationships/hyperlink" Target="https://raw.githubusercontent.com/RepoKing23/InstagramCarousel/claude/serene-curie-xunco2/content/gbp/2026-09-19-nobody-guessed.jpg" TargetMode="External" Id="rId129" /><Relationship Type="http://schemas.openxmlformats.org/officeDocument/2006/relationships/hyperlink" Target="https://unsplash.com/photos/w6zVwAYoqWM" TargetMode="External" Id="rId130" /><Relationship Type="http://schemas.openxmlformats.org/officeDocument/2006/relationships/hyperlink" Target="https://www.instagram.com/luxury_beauty_aestheticz/" TargetMode="External" Id="rId131" /><Relationship Type="http://schemas.openxmlformats.org/officeDocument/2006/relationships/hyperlink" Target="https://github.com/RepoKing23/InstagramCarousel/tree/claude/serene-curie-xunco2/content/gbp" TargetMode="External" Id="rId132" /><Relationship Type="http://schemas.openxmlformats.org/officeDocument/2006/relationships/hyperlink" Target="https://raw.githubusercontent.com/RepoKing23/InstagramCarousel/claude/serene-curie-xunco2/content/gbp/2026-09-20-service-area.jpg" TargetMode="External" Id="rId133" /><Relationship Type="http://schemas.openxmlformats.org/officeDocument/2006/relationships/hyperlink" Target="https://unsplash.com/photos/XGv1wuuNvYU" TargetMode="External" Id="rId134" /><Relationship Type="http://schemas.openxmlformats.org/officeDocument/2006/relationships/hyperlink" Target="https://www.instagram.com/luxury_beauty_aestheticz/" TargetMode="External" Id="rId135" /><Relationship Type="http://schemas.openxmlformats.org/officeDocument/2006/relationships/hyperlink" Target="https://github.com/RepoKing23/InstagramCarousel/tree/claude/serene-curie-xunco2/content/gbp" TargetMode="External" Id="rId136" /><Relationship Type="http://schemas.openxmlformats.org/officeDocument/2006/relationships/hyperlink" Target="https://raw.githubusercontent.com/RepoKing23/InstagramCarousel/claude/serene-curie-xunco2/content/gbp/2026-09-21-botox-or-filler.jpg" TargetMode="External" Id="rId137" /><Relationship Type="http://schemas.openxmlformats.org/officeDocument/2006/relationships/hyperlink" Target="https://unsplash.com/photos/-FT1IVUnUd8" TargetMode="External" Id="rId138" /><Relationship Type="http://schemas.openxmlformats.org/officeDocument/2006/relationships/hyperlink" Target="https://www.instagram.com/luxury_beauty_aestheticz/" TargetMode="External" Id="rId139" /><Relationship Type="http://schemas.openxmlformats.org/officeDocument/2006/relationships/hyperlink" Target="https://github.com/RepoKing23/InstagramCarousel/tree/claude/serene-curie-xunco2/content/gbp" TargetMode="External" Id="rId140" /><Relationship Type="http://schemas.openxmlformats.org/officeDocument/2006/relationships/hyperlink" Target="https://raw.githubusercontent.com/RepoKing23/InstagramCarousel/claude/serene-curie-xunco2/content/gbp/2026-09-22-lines-vs-volume.jpg" TargetMode="External" Id="rId141" /><Relationship Type="http://schemas.openxmlformats.org/officeDocument/2006/relationships/hyperlink" Target="https://unsplash.com/photos/Pe9IXUuC6QU" TargetMode="External" Id="rId142" /><Relationship Type="http://schemas.openxmlformats.org/officeDocument/2006/relationships/hyperlink" Target="https://www.instagram.com/luxury_beauty_aestheticz/" TargetMode="External" Id="rId143" /><Relationship Type="http://schemas.openxmlformats.org/officeDocument/2006/relationships/hyperlink" Target="https://github.com/RepoKing23/InstagramCarousel/tree/claude/serene-curie-xunco2/content/gbp" TargetMode="External" Id="rId144" /><Relationship Type="http://schemas.openxmlformats.org/officeDocument/2006/relationships/hyperlink" Target="https://raw.githubusercontent.com/RepoKing23/InstagramCarousel/claude/serene-curie-xunco2/content/gbp/2026-09-23-what-to-ask.jpg" TargetMode="External" Id="rId145" /><Relationship Type="http://schemas.openxmlformats.org/officeDocument/2006/relationships/hyperlink" Target="https://unsplash.com/photos/qJ1mYraktLg" TargetMode="External" Id="rId146" /><Relationship Type="http://schemas.openxmlformats.org/officeDocument/2006/relationships/hyperlink" Target="https://www.instagram.com/luxury_beauty_aestheticz/" TargetMode="External" Id="rId147" /><Relationship Type="http://schemas.openxmlformats.org/officeDocument/2006/relationships/hyperlink" Target="https://github.com/RepoKing23/InstagramCarousel/tree/claude/serene-curie-xunco2/content/gbp" TargetMode="External" Id="rId148" /><Relationship Type="http://schemas.openxmlformats.org/officeDocument/2006/relationships/hyperlink" Target="https://raw.githubusercontent.com/RepoKing23/InstagramCarousel/claude/serene-curie-xunco2/content/gbp/2026-09-24-ask-np-cleo.jpg" TargetMode="External" Id="rId149" /><Relationship Type="http://schemas.openxmlformats.org/officeDocument/2006/relationships/hyperlink" Target="https://unsplash.com/photos/TQSPgNqeCo8" TargetMode="External" Id="rId150" /><Relationship Type="http://schemas.openxmlformats.org/officeDocument/2006/relationships/hyperlink" Target="https://www.instagram.com/luxury_beauty_aestheticz/" TargetMode="External" Id="rId151" /><Relationship Type="http://schemas.openxmlformats.org/officeDocument/2006/relationships/hyperlink" Target="https://github.com/RepoKing23/InstagramCarousel/tree/claude/serene-curie-xunco2/content/gbp" TargetMode="External" Id="rId152" /><Relationship Type="http://schemas.openxmlformats.org/officeDocument/2006/relationships/hyperlink" Target="https://raw.githubusercontent.com/RepoKing23/InstagramCarousel/claude/serene-curie-xunco2/content/gbp/2026-09-25-your-dms-answered.jpg" TargetMode="External" Id="rId153" /><Relationship Type="http://schemas.openxmlformats.org/officeDocument/2006/relationships/hyperlink" Target="https://unsplash.com/photos/MGKzomg0Dts" TargetMode="External" Id="rId154" /><Relationship Type="http://schemas.openxmlformats.org/officeDocument/2006/relationships/hyperlink" Target="https://www.instagram.com/luxury_beauty_aestheticz/" TargetMode="External" Id="rId155" /><Relationship Type="http://schemas.openxmlformats.org/officeDocument/2006/relationships/hyperlink" Target="https://github.com/RepoKing23/InstagramCarousel/tree/claude/serene-curie-xunco2/content/gbp" TargetMode="External" Id="rId156" /><Relationship Type="http://schemas.openxmlformats.org/officeDocument/2006/relationships/hyperlink" Target="https://raw.githubusercontent.com/RepoKing23/InstagramCarousel/claude/serene-curie-xunco2/content/gbp/2026-09-26-what-next.jpg" TargetMode="External" Id="rId157" /><Relationship Type="http://schemas.openxmlformats.org/officeDocument/2006/relationships/hyperlink" Target="https://unsplash.com/photos/0YT1p3lEPTg" TargetMode="External" Id="rId158" /><Relationship Type="http://schemas.openxmlformats.org/officeDocument/2006/relationships/hyperlink" Target="https://www.instagram.com/luxury_beauty_aestheticz/" TargetMode="External" Id="rId159" /><Relationship Type="http://schemas.openxmlformats.org/officeDocument/2006/relationships/hyperlink" Target="https://github.com/RepoKing23/InstagramCarousel/tree/claude/serene-curie-xunco2/content/gbp" TargetMode="External" Id="rId160" /><Relationship Type="http://schemas.openxmlformats.org/officeDocument/2006/relationships/hyperlink" Target="https://raw.githubusercontent.com/RepoKing23/InstagramCarousel/claude/serene-curie-xunco2/content/gbp/2026-09-27-two-week-review.jpg" TargetMode="External" Id="rId161" /><Relationship Type="http://schemas.openxmlformats.org/officeDocument/2006/relationships/hyperlink" Target="https://unsplash.com/photos/16mHHrY3PUk" TargetMode="External" Id="rId162" /><Relationship Type="http://schemas.openxmlformats.org/officeDocument/2006/relationships/hyperlink" Target="https://www.instagram.com/luxury_beauty_aestheticz/" TargetMode="External" Id="rId163" /><Relationship Type="http://schemas.openxmlformats.org/officeDocument/2006/relationships/hyperlink" Target="https://github.com/RepoKing23/InstagramCarousel/tree/claude/serene-curie-xunco2/content/gbp" TargetMode="External" Id="rId164" /><Relationship Type="http://schemas.openxmlformats.org/officeDocument/2006/relationships/hyperlink" Target="https://raw.githubusercontent.com/RepoKing23/InstagramCarousel/claude/serene-curie-xunco2/content/gbp/2026-09-28-how-long-does-it-last.jpg" TargetMode="External" Id="rId165" /><Relationship Type="http://schemas.openxmlformats.org/officeDocument/2006/relationships/hyperlink" Target="https://unsplash.com/photos/H9YAbOsqDt8" TargetMode="External" Id="rId166" /><Relationship Type="http://schemas.openxmlformats.org/officeDocument/2006/relationships/hyperlink" Target="https://www.instagram.com/luxury_beauty_aestheticz/" TargetMode="External" Id="rId167" /><Relationship Type="http://schemas.openxmlformats.org/officeDocument/2006/relationships/hyperlink" Target="https://github.com/RepoKing23/InstagramCarousel/tree/claude/serene-curie-xunco2/content/gbp" TargetMode="External" Id="rId168" /><Relationship Type="http://schemas.openxmlformats.org/officeDocument/2006/relationships/hyperlink" Target="https://raw.githubusercontent.com/RepoKing23/InstagramCarousel/claude/serene-curie-xunco2/content/gbp/2026-09-29-three-month-timeline.jpg" TargetMode="External" Id="rId169" /><Relationship Type="http://schemas.openxmlformats.org/officeDocument/2006/relationships/hyperlink" Target="https://unsplash.com/photos/k6vhjQF720E" TargetMode="External" Id="rId170" /><Relationship Type="http://schemas.openxmlformats.org/officeDocument/2006/relationships/hyperlink" Target="https://www.instagram.com/luxury_beauty_aestheticz/" TargetMode="External" Id="rId171" /><Relationship Type="http://schemas.openxmlformats.org/officeDocument/2006/relationships/hyperlink" Target="https://github.com/RepoKing23/InstagramCarousel/tree/claude/serene-curie-xunco2/content/gbp" TargetMode="External" Id="rId172" /><Relationship Type="http://schemas.openxmlformats.org/officeDocument/2006/relationships/hyperlink" Target="https://raw.githubusercontent.com/RepoKing23/InstagramCarousel/claude/serene-curie-xunco2/content/gbp/2026-09-30-october-preview.jpg" TargetMode="External" Id="rId173" /><Relationship Type="http://schemas.openxmlformats.org/officeDocument/2006/relationships/hyperlink" Target="https://unsplash.com/photos/Bsg_9a2PDX0" TargetMode="External" Id="rId174" /><Relationship Type="http://schemas.openxmlformats.org/officeDocument/2006/relationships/hyperlink" Target="https://www.instagram.com/luxury_beauty_aestheticz/" TargetMode="External" Id="rId175" /><Relationship Type="http://schemas.openxmlformats.org/officeDocument/2006/relationships/hyperlink" Target="https://github.com/RepoKing23/InstagramCarousel/tree/claude/serene-curie-xunco2/content/gbp" TargetMode="External" Id="rId176" /><Relationship Type="http://schemas.openxmlformats.org/officeDocument/2006/relationships/hyperlink" Target="https://raw.githubusercontent.com/RepoKing23/InstagramCarousel/claude/serene-curie-xunco2/content/gbp/2026-10-01-botox-in-oakville-first-appointment.jpg" TargetMode="External" Id="rId177" /><Relationship Type="http://schemas.openxmlformats.org/officeDocument/2006/relationships/hyperlink" Target="https://www.instagram.com/luxury_beauty_aestheticz/" TargetMode="External" Id="rId178" /><Relationship Type="http://schemas.openxmlformats.org/officeDocument/2006/relationships/hyperlink" Target="https://github.com/RepoKing23/InstagramCarousel/tree/claude/serene-curie-xunco2/content/gbp" TargetMode="External" Id="rId179" /><Relationship Type="http://schemas.openxmlformats.org/officeDocument/2006/relationships/hyperlink" Target="https://raw.githubusercontent.com/RepoKing23/InstagramCarousel/claude/serene-curie-xunco2/content/gbp/2026-10-05-dermal-fillers-wont-make-you-look-fake.jpg" TargetMode="External" Id="rId180" /><Relationship Type="http://schemas.openxmlformats.org/officeDocument/2006/relationships/hyperlink" Target="https://www.instagram.com/luxury_beauty_aestheticz/" TargetMode="External" Id="rId181" /><Relationship Type="http://schemas.openxmlformats.org/officeDocument/2006/relationships/hyperlink" Target="https://github.com/RepoKing23/InstagramCarousel/tree/claude/serene-curie-xunco2/content/gbp" TargetMode="External" Id="rId182" /><Relationship Type="http://schemas.openxmlformats.org/officeDocument/2006/relationships/hyperlink" Target="https://raw.githubusercontent.com/RepoKing23/InstagramCarousel/claude/serene-curie-xunco2/content/gbp/2026-10-06-what-is-electrolysis.jpg" TargetMode="External" Id="rId183" /><Relationship Type="http://schemas.openxmlformats.org/officeDocument/2006/relationships/hyperlink" Target="https://www.instagram.com/luxury_beauty_aestheticz/" TargetMode="External" Id="rId184" /><Relationship Type="http://schemas.openxmlformats.org/officeDocument/2006/relationships/hyperlink" Target="https://github.com/RepoKing23/InstagramCarousel/tree/claude/serene-curie-xunco2/content/gbp" TargetMode="External" Id="rId185" /><Relationship Type="http://schemas.openxmlformats.org/officeDocument/2006/relationships/hyperlink" Target="https://raw.githubusercontent.com/RepoKing23/InstagramCarousel/claude/serene-curie-xunco2/content/gbp/2026-10-07-meet-cleo-oakville.jpg" TargetMode="External" Id="rId186" /><Relationship Type="http://schemas.openxmlformats.org/officeDocument/2006/relationships/hyperlink" Target="https://www.instagram.com/luxury_beauty_aestheticz/" TargetMode="External" Id="rId187" /><Relationship Type="http://schemas.openxmlformats.org/officeDocument/2006/relationships/hyperlink" Target="https://github.com/RepoKing23/InstagramCarousel/tree/claude/serene-curie-xunco2/content/gbp" TargetMode="External" Id="rId188" /><Relationship Type="http://schemas.openxmlformats.org/officeDocument/2006/relationships/hyperlink" Target="https://raw.githubusercontent.com/RepoKing23/InstagramCarousel/claude/serene-curie-xunco2/content/gbp/2026-10-08-lip-filler-natural-vs-overdone.jpg" TargetMode="External" Id="rId189" /><Relationship Type="http://schemas.openxmlformats.org/officeDocument/2006/relationships/hyperlink" Target="https://www.instagram.com/luxury_beauty_aestheticz/" TargetMode="External" Id="rId190" /><Relationship Type="http://schemas.openxmlformats.org/officeDocument/2006/relationships/hyperlink" Target="https://github.com/RepoKing23/InstagramCarousel/tree/claude/serene-curie-xunco2/content/gbp" TargetMode="External" Id="rId191" /><Relationship Type="http://schemas.openxmlformats.org/officeDocument/2006/relationships/hyperlink" Target="https://raw.githubusercontent.com/RepoKing23/InstagramCarousel/claude/serene-curie-xunco2/content/gbp/2026-10-12-botox-treatment-step-by-step.jpg" TargetMode="External" Id="rId192" /><Relationship Type="http://schemas.openxmlformats.org/officeDocument/2006/relationships/hyperlink" Target="https://www.instagram.com/luxury_beauty_aestheticz/" TargetMode="External" Id="rId193" /><Relationship Type="http://schemas.openxmlformats.org/officeDocument/2006/relationships/hyperlink" Target="https://github.com/RepoKing23/InstagramCarousel/tree/claude/serene-curie-xunco2/content/gbp" TargetMode="External" Id="rId194" /><Relationship Type="http://schemas.openxmlformats.org/officeDocument/2006/relationships/hyperlink" Target="https://raw.githubusercontent.com/RepoKing23/InstagramCarousel/claude/serene-curie-xunco2/content/gbp/2026-10-13-facial-electrolysis-chin-upper-lip.jpg" TargetMode="External" Id="rId195" /><Relationship Type="http://schemas.openxmlformats.org/officeDocument/2006/relationships/hyperlink" Target="https://www.instagram.com/luxury_beauty_aestheticz/" TargetMode="External" Id="rId196" /><Relationship Type="http://schemas.openxmlformats.org/officeDocument/2006/relationships/hyperlink" Target="https://github.com/RepoKing23/InstagramCarousel/tree/claude/serene-curie-xunco2/content/gbp" TargetMode="External" Id="rId197" /><Relationship Type="http://schemas.openxmlformats.org/officeDocument/2006/relationships/hyperlink" Target="https://raw.githubusercontent.com/RepoKing23/InstagramCarousel/claude/serene-curie-xunco2/content/gbp/2026-10-14-subtle-is-the-new-dramatic.jpg" TargetMode="External" Id="rId198" /><Relationship Type="http://schemas.openxmlformats.org/officeDocument/2006/relationships/hyperlink" Target="https://www.instagram.com/luxury_beauty_aestheticz/" TargetMode="External" Id="rId199" /><Relationship Type="http://schemas.openxmlformats.org/officeDocument/2006/relationships/hyperlink" Target="https://github.com/RepoKing23/InstagramCarousel/tree/claude/serene-curie-xunco2/content/gbp" TargetMode="External" Id="rId200" /><Relationship Type="http://schemas.openxmlformats.org/officeDocument/2006/relationships/hyperlink" Target="https://raw.githubusercontent.com/RepoKing23/InstagramCarousel/claude/serene-curie-xunco2/content/gbp/2026-10-15-real-lips-real-results.jpg" TargetMode="External" Id="rId201" /><Relationship Type="http://schemas.openxmlformats.org/officeDocument/2006/relationships/hyperlink" Target="https://www.instagram.com/luxury_beauty_aestheticz/" TargetMode="External" Id="rId202" /><Relationship Type="http://schemas.openxmlformats.org/officeDocument/2006/relationships/hyperlink" Target="https://github.com/RepoKing23/InstagramCarousel/tree/claude/serene-curie-xunco2/content/gbp" TargetMode="External" Id="rId203" /><Relationship Type="http://schemas.openxmlformats.org/officeDocument/2006/relationships/hyperlink" Target="https://raw.githubusercontent.com/RepoKing23/InstagramCarousel/claude/serene-curie-xunco2/content/gbp/2026-10-19-electrolysis-vs-laser-hair-removal.jpg" TargetMode="External" Id="rId204" /><Relationship Type="http://schemas.openxmlformats.org/officeDocument/2006/relationships/hyperlink" Target="https://www.instagram.com/luxury_beauty_aestheticz/" TargetMode="External" Id="rId205" /><Relationship Type="http://schemas.openxmlformats.org/officeDocument/2006/relationships/hyperlink" Target="https://github.com/RepoKing23/InstagramCarousel/tree/claude/serene-curie-xunco2/content/gbp" TargetMode="External" Id="rId206" /><Relationship Type="http://schemas.openxmlformats.org/officeDocument/2006/relationships/hyperlink" Target="https://raw.githubusercontent.com/RepoKing23/InstagramCarousel/claude/serene-curie-xunco2/content/gbp/2026-10-20-how-long-does-dermal-filler-last.jpg" TargetMode="External" Id="rId207" /><Relationship Type="http://schemas.openxmlformats.org/officeDocument/2006/relationships/hyperlink" Target="https://www.instagram.com/luxury_beauty_aestheticz/" TargetMode="External" Id="rId208" /><Relationship Type="http://schemas.openxmlformats.org/officeDocument/2006/relationships/hyperlink" Target="https://github.com/RepoKing23/InstagramCarousel/tree/claude/serene-curie-xunco2/content/gbp" TargetMode="External" Id="rId209" /><Relationship Type="http://schemas.openxmlformats.org/officeDocument/2006/relationships/hyperlink" Target="https://raw.githubusercontent.com/RepoKing23/InstagramCarousel/claude/serene-curie-xunco2/content/gbp/2026-10-21-luxury-med-spa-oakville.jpg" TargetMode="External" Id="rId210" /><Relationship Type="http://schemas.openxmlformats.org/officeDocument/2006/relationships/hyperlink" Target="https://www.instagram.com/luxury_beauty_aestheticz/" TargetMode="External" Id="rId211" /><Relationship Type="http://schemas.openxmlformats.org/officeDocument/2006/relationships/hyperlink" Target="https://github.com/RepoKing23/InstagramCarousel/tree/claude/serene-curie-xunco2/content/gbp" TargetMode="External" Id="rId212" /><Relationship Type="http://schemas.openxmlformats.org/officeDocument/2006/relationships/hyperlink" Target="https://raw.githubusercontent.com/RepoKing23/InstagramCarousel/claude/serene-curie-xunco2/content/gbp/2026-10-22-lip-filler-aftercare-your-first-week.jpg" TargetMode="External" Id="rId213" /><Relationship Type="http://schemas.openxmlformats.org/officeDocument/2006/relationships/hyperlink" Target="https://www.instagram.com/luxury_beauty_aestheticz/" TargetMode="External" Id="rId214" /><Relationship Type="http://schemas.openxmlformats.org/officeDocument/2006/relationships/hyperlink" Target="https://github.com/RepoKing23/InstagramCarousel/tree/claude/serene-curie-xunco2/content/gbp" TargetMode="External" Id="rId215" /><Relationship Type="http://schemas.openxmlformats.org/officeDocument/2006/relationships/hyperlink" Target="https://raw.githubusercontent.com/RepoKing23/InstagramCarousel/claude/serene-curie-xunco2/content/gbp/2026-10-26-botox-for-men-oakville.jpg" TargetMode="External" Id="rId216" /><Relationship Type="http://schemas.openxmlformats.org/officeDocument/2006/relationships/hyperlink" Target="https://www.instagram.com/luxury_beauty_aestheticz/" TargetMode="External" Id="rId217" /><Relationship Type="http://schemas.openxmlformats.org/officeDocument/2006/relationships/hyperlink" Target="https://github.com/RepoKing23/InstagramCarousel/tree/claude/serene-curie-xunco2/content/gbp" TargetMode="External" Id="rId218" /><Relationship Type="http://schemas.openxmlformats.org/officeDocument/2006/relationships/hyperlink" Target="https://raw.githubusercontent.com/RepoKing23/InstagramCarousel/claude/serene-curie-xunco2/content/gbp/2026-10-27-how-many-electrolysis-sessions.jpg" TargetMode="External" Id="rId219" /><Relationship Type="http://schemas.openxmlformats.org/officeDocument/2006/relationships/hyperlink" Target="https://www.instagram.com/luxury_beauty_aestheticz/" TargetMode="External" Id="rId220" /><Relationship Type="http://schemas.openxmlformats.org/officeDocument/2006/relationships/hyperlink" Target="https://github.com/RepoKing23/InstagramCarousel/tree/claude/serene-curie-xunco2/content/gbp" TargetMode="External" Id="rId221" /><Relationship Type="http://schemas.openxmlformats.org/officeDocument/2006/relationships/hyperlink" Target="https://raw.githubusercontent.com/RepoKing23/InstagramCarousel/claude/serene-curie-xunco2/content/gbp/2026-10-28-client-words-the-lip-glow-up.jpg" TargetMode="External" Id="rId222" /><Relationship Type="http://schemas.openxmlformats.org/officeDocument/2006/relationships/hyperlink" Target="https://www.instagram.com/luxury_beauty_aestheticz/" TargetMode="External" Id="rId223" /><Relationship Type="http://schemas.openxmlformats.org/officeDocument/2006/relationships/hyperlink" Target="https://github.com/RepoKing23/InstagramCarousel/tree/claude/serene-curie-xunco2/content/gbp" TargetMode="External" Id="rId224" /><Relationship Type="http://schemas.openxmlformats.org/officeDocument/2006/relationships/hyperlink" Target="https://raw.githubusercontent.com/RepoKing23/InstagramCarousel/claude/serene-curie-xunco2/content/gbp/2026-10-29-facial-balancing-dermal-fillers.jpg" TargetMode="External" Id="rId225" /><Relationship Type="http://schemas.openxmlformats.org/officeDocument/2006/relationships/hyperlink" Target="https://www.instagram.com/luxury_beauty_aestheticz/" TargetMode="External" Id="rId226" /><Relationship Type="http://schemas.openxmlformats.org/officeDocument/2006/relationships/hyperlink" Target="https://github.com/RepoKing23/InstagramCarousel/tree/claude/serene-curie-xunco2/content/gbp" TargetMode="External" Id="rId227" /><Relationship Type="http://schemas.openxmlformats.org/officeDocument/2006/relationships/hyperlink" Target="https://raw.githubusercontent.com/RepoKing23/InstagramCarousel/claude/serene-curie-xunco2/content/gbp/2026-11-02-botox-before-the-holidays-timeline.jpg" TargetMode="External" Id="rId228" /><Relationship Type="http://schemas.openxmlformats.org/officeDocument/2006/relationships/hyperlink" Target="https://www.instagram.com/luxury_beauty_aestheticz/" TargetMode="External" Id="rId229" /><Relationship Type="http://schemas.openxmlformats.org/officeDocument/2006/relationships/hyperlink" Target="https://github.com/RepoKing23/InstagramCarousel/tree/claude/serene-curie-xunco2/content/gbp" TargetMode="External" Id="rId230" /><Relationship Type="http://schemas.openxmlformats.org/officeDocument/2006/relationships/hyperlink" Target="https://raw.githubusercontent.com/RepoKing23/InstagramCarousel/claude/serene-curie-xunco2/content/gbp/2026-11-03-electrolysis-aftercare.jpg" TargetMode="External" Id="rId231" /><Relationship Type="http://schemas.openxmlformats.org/officeDocument/2006/relationships/hyperlink" Target="https://www.instagram.com/luxury_beauty_aestheticz/" TargetMode="External" Id="rId232" /><Relationship Type="http://schemas.openxmlformats.org/officeDocument/2006/relationships/hyperlink" Target="https://github.com/RepoKing23/InstagramCarousel/tree/claude/serene-curie-xunco2/content/gbp" TargetMode="External" Id="rId233" /><Relationship Type="http://schemas.openxmlformats.org/officeDocument/2006/relationships/hyperlink" Target="https://raw.githubusercontent.com/RepoKing23/InstagramCarousel/claude/serene-curie-xunco2/content/gbp/2026-11-04-one-syringe-balanced-lips.jpg" TargetMode="External" Id="rId234" /><Relationship Type="http://schemas.openxmlformats.org/officeDocument/2006/relationships/hyperlink" Target="https://www.instagram.com/luxury_beauty_aestheticz/" TargetMode="External" Id="rId235" /><Relationship Type="http://schemas.openxmlformats.org/officeDocument/2006/relationships/hyperlink" Target="https://github.com/RepoKing23/InstagramCarousel/tree/claude/serene-curie-xunco2/content/gbp" TargetMode="External" Id="rId236" /><Relationship Type="http://schemas.openxmlformats.org/officeDocument/2006/relationships/hyperlink" Target="https://raw.githubusercontent.com/RepoKing23/InstagramCarousel/claude/serene-curie-xunco2/content/gbp/2026-11-05-party-season-prep-plan.jpg" TargetMode="External" Id="rId237" /><Relationship Type="http://schemas.openxmlformats.org/officeDocument/2006/relationships/hyperlink" Target="https://www.instagram.com/luxury_beauty_aestheticz/" TargetMode="External" Id="rId238" /><Relationship Type="http://schemas.openxmlformats.org/officeDocument/2006/relationships/hyperlink" Target="https://github.com/RepoKing23/InstagramCarousel/tree/claude/serene-curie-xunco2/content/gbp" TargetMode="External" Id="rId239" /><Relationship Type="http://schemas.openxmlformats.org/officeDocument/2006/relationships/hyperlink" Target="https://raw.githubusercontent.com/RepoKing23/InstagramCarousel/claude/serene-curie-xunco2/content/gbp/2026-11-09-under-eye-filler-honest-truth.jpg" TargetMode="External" Id="rId240" /><Relationship Type="http://schemas.openxmlformats.org/officeDocument/2006/relationships/hyperlink" Target="https://www.instagram.com/luxury_beauty_aestheticz/" TargetMode="External" Id="rId241" /><Relationship Type="http://schemas.openxmlformats.org/officeDocument/2006/relationships/hyperlink" Target="https://github.com/RepoKing23/InstagramCarousel/tree/claude/serene-curie-xunco2/content/gbp" TargetMode="External" Id="rId242" /><Relationship Type="http://schemas.openxmlformats.org/officeDocument/2006/relationships/hyperlink" Target="https://raw.githubusercontent.com/RepoKing23/InstagramCarousel/claude/serene-curie-xunco2/content/gbp/2026-11-10-gift-certificates-oakville-med-spa.jpg" TargetMode="External" Id="rId243" /><Relationship Type="http://schemas.openxmlformats.org/officeDocument/2006/relationships/hyperlink" Target="https://www.instagram.com/luxury_beauty_aestheticz/" TargetMode="External" Id="rId244" /><Relationship Type="http://schemas.openxmlformats.org/officeDocument/2006/relationships/hyperlink" Target="https://github.com/RepoKing23/InstagramCarousel/tree/claude/serene-curie-xunco2/content/gbp" TargetMode="External" Id="rId245" /><Relationship Type="http://schemas.openxmlformats.org/officeDocument/2006/relationships/hyperlink" Target="https://raw.githubusercontent.com/RepoKing23/InstagramCarousel/claude/serene-curie-xunco2/content/gbp/2026-11-11-why-cleo-says-no.jpg" TargetMode="External" Id="rId246" /><Relationship Type="http://schemas.openxmlformats.org/officeDocument/2006/relationships/hyperlink" Target="https://www.instagram.com/luxury_beauty_aestheticz/" TargetMode="External" Id="rId247" /><Relationship Type="http://schemas.openxmlformats.org/officeDocument/2006/relationships/hyperlink" Target="https://github.com/RepoKing23/InstagramCarousel/tree/claude/serene-curie-xunco2/content/gbp" TargetMode="External" Id="rId248" /><Relationship Type="http://schemas.openxmlformats.org/officeDocument/2006/relationships/hyperlink" Target="https://raw.githubusercontent.com/RepoKing23/InstagramCarousel/claude/serene-curie-xunco2/content/gbp/2026-11-12-one-result-every-angle.jpg" TargetMode="External" Id="rId249" /><Relationship Type="http://schemas.openxmlformats.org/officeDocument/2006/relationships/hyperlink" Target="https://www.instagram.com/luxury_beauty_aestheticz/" TargetMode="External" Id="rId250" /><Relationship Type="http://schemas.openxmlformats.org/officeDocument/2006/relationships/hyperlink" Target="https://github.com/RepoKing23/InstagramCarousel/tree/claude/serene-curie-xunco2/content/gbp" TargetMode="External" Id="rId251" /><Relationship Type="http://schemas.openxmlformats.org/officeDocument/2006/relationships/hyperlink" Target="https://raw.githubusercontent.com/RepoKing23/InstagramCarousel/claude/serene-curie-xunco2/content/gbp/2026-11-16-electrolysis-for-hormonal-facial-hair.jpg" TargetMode="External" Id="rId252" /><Relationship Type="http://schemas.openxmlformats.org/officeDocument/2006/relationships/hyperlink" Target="https://www.instagram.com/luxury_beauty_aestheticz/" TargetMode="External" Id="rId253" /><Relationship Type="http://schemas.openxmlformats.org/officeDocument/2006/relationships/hyperlink" Target="https://github.com/RepoKing23/InstagramCarousel/tree/claude/serene-curie-xunco2/content/gbp" TargetMode="External" Id="rId254" /><Relationship Type="http://schemas.openxmlformats.org/officeDocument/2006/relationships/hyperlink" Target="https://raw.githubusercontent.com/RepoKing23/InstagramCarousel/claude/serene-curie-xunco2/content/gbp/2026-11-17-frown-lines-forehead-crows-feet.jpg" TargetMode="External" Id="rId255" /><Relationship Type="http://schemas.openxmlformats.org/officeDocument/2006/relationships/hyperlink" Target="https://www.instagram.com/luxury_beauty_aestheticz/" TargetMode="External" Id="rId256" /><Relationship Type="http://schemas.openxmlformats.org/officeDocument/2006/relationships/hyperlink" Target="https://github.com/RepoKing23/InstagramCarousel/tree/claude/serene-curie-xunco2/content/gbp" TargetMode="External" Id="rId257" /><Relationship Type="http://schemas.openxmlformats.org/officeDocument/2006/relationships/hyperlink" Target="https://raw.githubusercontent.com/RepoKing23/InstagramCarousel/claude/serene-curie-xunco2/content/gbp/2026-11-18-lip-filler-vs-lip-flip.jpg" TargetMode="External" Id="rId258" /><Relationship Type="http://schemas.openxmlformats.org/officeDocument/2006/relationships/hyperlink" Target="https://www.instagram.com/luxury_beauty_aestheticz/" TargetMode="External" Id="rId259" /><Relationship Type="http://schemas.openxmlformats.org/officeDocument/2006/relationships/hyperlink" Target="https://github.com/RepoKing23/InstagramCarousel/tree/claude/serene-curie-xunco2/content/gbp" TargetMode="External" Id="rId260" /><Relationship Type="http://schemas.openxmlformats.org/officeDocument/2006/relationships/hyperlink" Target="https://raw.githubusercontent.com/RepoKing23/InstagramCarousel/claude/serene-curie-xunco2/content/gbp/2026-11-19-choosing-a-luxury-med-spa-oakville.jpg" TargetMode="External" Id="rId261" /><Relationship Type="http://schemas.openxmlformats.org/officeDocument/2006/relationships/hyperlink" Target="https://www.instagram.com/luxury_beauty_aestheticz/" TargetMode="External" Id="rId262" /><Relationship Type="http://schemas.openxmlformats.org/officeDocument/2006/relationships/hyperlink" Target="https://github.com/RepoKing23/InstagramCarousel/tree/claude/serene-curie-xunco2/content/gbp" TargetMode="External" Id="rId263" /><Relationship Type="http://schemas.openxmlformats.org/officeDocument/2006/relationships/hyperlink" Target="https://raw.githubusercontent.com/RepoKing23/InstagramCarousel/claude/serene-curie-xunco2/content/gbp/2026-11-23-skincare-botox-filler-right-order.jpg" TargetMode="External" Id="rId264" /><Relationship Type="http://schemas.openxmlformats.org/officeDocument/2006/relationships/hyperlink" Target="https://www.instagram.com/luxury_beauty_aestheticz/" TargetMode="External" Id="rId265" /><Relationship Type="http://schemas.openxmlformats.org/officeDocument/2006/relationships/hyperlink" Target="https://github.com/RepoKing23/InstagramCarousel/tree/claude/serene-curie-xunco2/content/gbp" TargetMode="External" Id="rId266" /><Relationship Type="http://schemas.openxmlformats.org/officeDocument/2006/relationships/hyperlink" Target="https://raw.githubusercontent.com/RepoKing23/InstagramCarousel/claude/serene-curie-xunco2/content/gbp/2026-11-24-black-friday-done-honestly.jpg" TargetMode="External" Id="rId267" /><Relationship Type="http://schemas.openxmlformats.org/officeDocument/2006/relationships/hyperlink" Target="https://www.instagram.com/luxury_beauty_aestheticz/" TargetMode="External" Id="rId268" /><Relationship Type="http://schemas.openxmlformats.org/officeDocument/2006/relationships/hyperlink" Target="https://github.com/RepoKing23/InstagramCarousel/tree/claude/serene-curie-xunco2/content/gbp" TargetMode="External" Id="rId269" /><Relationship Type="http://schemas.openxmlformats.org/officeDocument/2006/relationships/hyperlink" Target="https://raw.githubusercontent.com/RepoKing23/InstagramCarousel/claude/serene-curie-xunco2/content/gbp/2026-11-25-does-electrolysis-hurt.jpg" TargetMode="External" Id="rId270" /><Relationship Type="http://schemas.openxmlformats.org/officeDocument/2006/relationships/hyperlink" Target="https://www.instagram.com/luxury_beauty_aestheticz/" TargetMode="External" Id="rId271" /><Relationship Type="http://schemas.openxmlformats.org/officeDocument/2006/relationships/hyperlink" Target="https://github.com/RepoKing23/InstagramCarousel/tree/claude/serene-curie-xunco2/content/gbp" TargetMode="External" Id="rId272" /><Relationship Type="http://schemas.openxmlformats.org/officeDocument/2006/relationships/hyperlink" Target="https://raw.githubusercontent.com/RepoKing23/InstagramCarousel/claude/serene-curie-xunco2/content/gbp/2026-11-26-gift-of-glow-holiday-gift-certificates.jpg" TargetMode="External" Id="rId273" /><Relationship Type="http://schemas.openxmlformats.org/officeDocument/2006/relationships/hyperlink" Target="https://www.instagram.com/luxury_beauty_aestheticz/" TargetMode="External" Id="rId274" /><Relationship Type="http://schemas.openxmlformats.org/officeDocument/2006/relationships/hyperlink" Target="https://github.com/RepoKing23/InstagramCarousel/tree/claude/serene-curie-xunco2/content/gbp" TargetMode="External" Id="rId275" /><Relationship Type="http://schemas.openxmlformats.org/officeDocument/2006/relationships/hyperlink" Target="https://raw.githubusercontent.com/RepoKing23/InstagramCarousel/claude/serene-curie-xunco2/content/gbp/2026-11-30-december-botox-last-call.jpg" TargetMode="External" Id="rId276" /></Relationships>
</file>

<file path=xl/worksheets/sheet1.xml><?xml version="1.0" encoding="utf-8"?>
<worksheet xmlns="http://schemas.openxmlformats.org/spreadsheetml/2006/main">
  <sheetPr>
    <tabColor rgb="002E2A23"/>
    <outlinePr summaryBelow="1" summaryRight="1"/>
    <pageSetUpPr/>
  </sheetPr>
  <dimension ref="A1:Z1011"/>
  <sheetViews>
    <sheetView showGridLines="0" workbookViewId="0">
      <selection activeCell="A1" sqref="A1"/>
    </sheetView>
  </sheetViews>
  <sheetFormatPr baseColWidth="8" defaultColWidth="14.43" defaultRowHeight="15" customHeight="1"/>
  <cols>
    <col width="3" customWidth="1" style="42" min="1" max="1"/>
    <col width="26" customWidth="1" style="42" min="2" max="2"/>
    <col width="104" customWidth="1" style="42" min="3" max="3"/>
    <col width="8.710000000000001" customWidth="1" style="42" min="4" max="6"/>
  </cols>
  <sheetData>
    <row r="1">
      <c r="A1" s="1" t="n"/>
      <c r="B1" s="1" t="n"/>
      <c r="C1" s="1"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2" t="n"/>
      <c r="B2" s="3" t="inlineStr">
        <is>
          <t>Luxury Beauty by Cleo R</t>
        </is>
      </c>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5" t="inlineStr">
        <is>
          <t>Instagram + Google Business Profile content plan. Aug 17 to Nov 30, 2026. From Oct 1 everything posts Monday to Thursday only.</t>
        </is>
      </c>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2" t="n"/>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2" t="n"/>
      <c r="B5" s="7" t="inlineStr">
        <is>
          <t>THE CLINIC</t>
        </is>
      </c>
      <c r="C5" s="8" t="n"/>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2" t="n"/>
      <c r="B6" s="12" t="inlineStr">
        <is>
          <t>Address</t>
        </is>
      </c>
      <c r="C6" s="11" t="inlineStr">
        <is>
          <t>3060 Preserve Dr, Oakville, ON L6M 4L9</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2" t="n"/>
      <c r="B7" s="12" t="inlineStr">
        <is>
          <t>Service area</t>
        </is>
      </c>
      <c r="C7" s="11" t="inlineStr">
        <is>
          <t>Oakville, Burlington, Milton, Mississauga</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2" t="n"/>
      <c r="B8" s="12" t="inlineStr">
        <is>
          <t>Instagram</t>
        </is>
      </c>
      <c r="C8" s="11" t="inlineStr">
        <is>
          <t>@luxury_beauty_aestheticz</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2" t="n"/>
      <c r="B9" s="12" t="inlineStr">
        <is>
          <t>Booking</t>
        </is>
      </c>
      <c r="C9" s="11" t="inlineStr">
        <is>
          <t>DM on Instagram for now. Swap every "Learn more" link once a booking page exists.</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7" t="inlineStr">
        <is>
          <t>WEEKLY RHYTHM</t>
        </is>
      </c>
      <c r="C11" s="8"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12" t="inlineStr">
        <is>
          <t>Monday</t>
        </is>
      </c>
      <c r="C12" s="11" t="inlineStr">
        <is>
          <t>Carousel, education pillar. The biggest post of the week.</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12" t="inlineStr">
        <is>
          <t>Tuesday</t>
        </is>
      </c>
      <c r="C13" s="11" t="inlineStr">
        <is>
          <t>Single image with a strong hook. Cross-post to Facebook and TikTok.</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12" t="inlineStr">
        <is>
          <t>Wednesday</t>
        </is>
      </c>
      <c r="C14" s="11" t="inlineStr">
        <is>
          <t>From Oct 1: single image or a real client result. Reels slot 1 also lands here.</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12" t="inlineStr">
        <is>
          <t>Thursday</t>
        </is>
      </c>
      <c r="C15" s="11" t="inlineStr">
        <is>
          <t>Carousel: trust, proof or personality pillar, or a real result carousel.</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12" t="inlineStr">
        <is>
          <t>Fri to Sun</t>
        </is>
      </c>
      <c r="C16" s="11" t="inlineStr">
        <is>
          <t>Off. From Oct 1 nothing is scheduled Friday, Saturday or Sunday, on any tab.</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12" t="inlineStr">
        <is>
          <t>Every post</t>
        </is>
      </c>
      <c r="C17" s="11" t="inlineStr">
        <is>
          <t>Also goes to Google Business Profile using the GBP columns, never the Instagram file.</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7" t="inlineStr">
        <is>
          <t>REELS &amp; VIDEO ROUTINE</t>
        </is>
      </c>
      <c r="C19" s="7"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27.75" customHeight="1" s="42">
      <c r="A20" s="2" t="n"/>
      <c r="B20" s="30" t="inlineStr">
        <is>
          <t>The tab</t>
        </is>
      </c>
      <c r="C20" s="31" t="inlineStr">
        <is>
          <t>Reels &amp; Video Routine. Weeks 2 to 24, Aug 26 2026 to Jan 31 2027, which is month 6. Nothing on Posting Schedule was changed.</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27.75" customHeight="1" s="42">
      <c r="A21" s="2" t="n"/>
      <c r="B21" s="30" t="inlineStr">
        <is>
          <t>Wednesday</t>
        </is>
      </c>
      <c r="C21" s="31" t="inlineStr">
        <is>
          <t>Slot 1. Reel. From Oct 1 Wednesday also has a feed post, so the reel goes up alongside it.</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27.75" customHeight="1" s="42">
      <c r="A22" s="2" t="n"/>
      <c r="B22" s="30" t="inlineStr">
        <is>
          <t>Friday</t>
        </is>
      </c>
      <c r="C22" s="31" t="inlineStr">
        <is>
          <t>Slot 2. Image post or paid ad creative. From Oct 1 it moves to the Thursday of the same week.</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27.75" customHeight="1" s="42">
      <c r="A23" s="2" t="n"/>
      <c r="B23" s="30" t="inlineStr">
        <is>
          <t>Sunday</t>
        </is>
      </c>
      <c r="C23" s="31" t="inlineStr">
        <is>
          <t>Slot 3. Reel. From Oct 1 it moves to the Monday after.</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27.75" customHeight="1" s="42">
      <c r="A24" s="2" t="n"/>
      <c r="B24" s="30" t="inlineStr">
        <is>
          <t>Cadence</t>
        </is>
      </c>
      <c r="C24" s="31" t="inlineStr">
        <is>
          <t>Three create-and-post actions every week. 69 items in total.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27.75" customHeight="1" s="42">
      <c r="A25" s="2" t="n"/>
      <c r="B25" s="30" t="inlineStr">
        <is>
          <t>New themes</t>
        </is>
      </c>
      <c r="C25" s="31" t="inlineStr">
        <is>
          <t>Posting Schedule now runs to Nov 30 (Oct: Botox &amp; Filler in Oakville, Nov 1-15: Rested by the Holidays, Nov 16-30: Gift Season). The routine carries on to January.</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27.75" customHeight="1" s="42">
      <c r="A26" s="2" t="n"/>
      <c r="B26" s="30" t="inlineStr">
        <is>
          <t>Reuse</t>
        </is>
      </c>
      <c r="C26" s="31" t="inlineStr">
        <is>
          <t>About half the routine repurposes finished carousels and Photo Library pairs. The Source Assets &amp; Notes column names the exact file or post.</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27.75" customHeight="1" s="42">
      <c r="A27" s="2" t="n"/>
      <c r="B27" s="30" t="inlineStr">
        <is>
          <t>Consent</t>
        </is>
      </c>
      <c r="C27" s="31" t="inlineStr">
        <is>
          <t>Rows using client photos name the pair and its consent state. Pair D is excluded while its direction is unconfirmed. Jan 24 needs new consent and photos taken over time.</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2" t="n"/>
      <c r="B28" s="30" t="n"/>
      <c r="C28" s="31"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2" t="n"/>
      <c r="B29" s="33" t="inlineStr">
        <is>
          <t>GBP DAILY BACKFILL</t>
        </is>
      </c>
      <c r="C29" s="33"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27.75" customHeight="1" s="42">
      <c r="A30" s="2" t="n"/>
      <c r="B30" s="34" t="inlineStr">
        <is>
          <t>Added</t>
        </is>
      </c>
      <c r="C30" s="35" t="inlineStr">
        <is>
          <t>Aug 17 and Aug 18, marked Published. This tab was started on Aug 19, so the first two days of the plan were never logged. It now starts on Aug 17 with everything else.</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27.75" customHeight="1" s="42">
      <c r="A31" s="2" t="n"/>
      <c r="B31" s="30" t="inlineStr">
        <is>
          <t>No image links</t>
        </is>
      </c>
      <c r="C31" s="31" t="inlineStr">
        <is>
          <t>Left blank on those two rows on purpose. They are a record of posts already made, not something to publish again. Their Notes cell says the copy is reconstructed from that day's Instagram post.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2" t="n"/>
      <c r="B32" s="30" t="n"/>
      <c r="C32" s="31"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2" t="n"/>
      <c r="B33" s="30" t="n"/>
      <c r="C33" s="31"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2" t="n"/>
      <c r="B34" s="30" t="n"/>
      <c r="C34" s="31"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2" t="n"/>
      <c r="B35" s="30" t="n"/>
      <c r="C35" s="31"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2" t="n"/>
      <c r="B36" s="30" t="n"/>
      <c r="C36" s="31"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2" t="n"/>
      <c r="B37" s="36" t="n"/>
      <c r="C37" s="36"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2" t="n"/>
      <c r="B38" s="37" t="n"/>
      <c r="C38" s="38"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2" t="n"/>
      <c r="B39" s="30" t="n"/>
      <c r="C39" s="31"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2" t="n"/>
      <c r="B40" s="30" t="n"/>
      <c r="C40" s="31"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2" t="n"/>
      <c r="B41" s="30" t="n"/>
      <c r="C41" s="31"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2" t="n"/>
      <c r="B42" s="30" t="n"/>
      <c r="C42" s="31"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2" t="n"/>
      <c r="B43" s="30" t="n"/>
      <c r="C43" s="31"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2" t="n"/>
      <c r="B44" s="36" t="n"/>
      <c r="C44" s="36"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2" t="n"/>
      <c r="B45" s="30" t="n"/>
      <c r="C45" s="31"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2" t="n"/>
      <c r="B46" s="36" t="n"/>
      <c r="C46" s="36"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2" t="n"/>
      <c r="B47" s="39" t="n"/>
      <c r="C47" s="40"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2" t="n"/>
      <c r="B48" s="39" t="n"/>
      <c r="C48" s="40"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2" t="n"/>
      <c r="B49" s="39" t="n"/>
      <c r="C49" s="40"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2" t="n"/>
      <c r="B50" s="39" t="n"/>
      <c r="C50" s="40"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2" t="n"/>
      <c r="B51" s="36" t="n"/>
      <c r="C51" s="36"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2" t="n"/>
      <c r="B52" s="39" t="n"/>
      <c r="C52" s="40"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2" t="n"/>
      <c r="B53" s="39" t="n"/>
      <c r="C53" s="40"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2" t="n"/>
      <c r="B54" s="39" t="n"/>
      <c r="C54" s="40"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2" t="n"/>
      <c r="B55" s="39" t="n"/>
      <c r="C55" s="40"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2" t="n"/>
      <c r="B56" s="39" t="n"/>
      <c r="C56" s="40"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2" t="n"/>
      <c r="B57" s="36" t="n"/>
      <c r="C57" s="36"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2" t="n"/>
      <c r="B58" s="36" t="n"/>
      <c r="C58" s="36"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2" t="n"/>
      <c r="B59" s="36" t="n"/>
      <c r="C59" s="36"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2" t="n"/>
      <c r="B60" s="36" t="n"/>
      <c r="C60" s="36"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2" t="n"/>
      <c r="B61" s="36" t="n"/>
      <c r="C61" s="36"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2">
      <c r="B1002" s="60" t="inlineStr">
        <is>
          <t>SEARCH CONSOLE (SEO)</t>
        </is>
      </c>
    </row>
    <row r="1003">
      <c r="B1003" s="12" t="inlineStr">
        <is>
          <t>Source</t>
        </is>
      </c>
      <c r="C1003" s="11" t="inlineStr">
        <is>
          <t>Search Console export, last 28 days to Sep 28, 2026. Every post from Oct 1 is written for one query, named in the SEO Keyword (GSC) column.</t>
        </is>
      </c>
    </row>
    <row r="1004">
      <c r="B1004" s="12" t="inlineStr">
        <is>
          <t>botox therapy treatment oakville</t>
        </is>
      </c>
      <c r="C1004" s="11" t="inlineStr">
        <is>
          <t>4 posts: Oct 01, Oct 12, Nov 17, Nov 23</t>
        </is>
      </c>
    </row>
    <row r="1005">
      <c r="B1005" s="12" t="inlineStr">
        <is>
          <t>dermal fillers</t>
        </is>
      </c>
      <c r="C1005" s="11" t="inlineStr">
        <is>
          <t>12 posts: Oct 05, Oct 08, Oct 14, Oct 15, Oct 20, Oct 22, Oct 28, Oct 29, Nov 04, Nov 09, Nov 12, Nov 18</t>
        </is>
      </c>
    </row>
    <row r="1006">
      <c r="B1006" s="12" t="inlineStr">
        <is>
          <t>electrolysis oakville</t>
        </is>
      </c>
      <c r="C1006" s="11" t="inlineStr">
        <is>
          <t>4 posts: Oct 06, Oct 19, Oct 27, Nov 25</t>
        </is>
      </c>
    </row>
    <row r="1007">
      <c r="B1007" s="12" t="inlineStr">
        <is>
          <t>cleo oakville</t>
        </is>
      </c>
      <c r="C1007" s="11" t="inlineStr">
        <is>
          <t>2 posts: Oct 07, Nov 11</t>
        </is>
      </c>
    </row>
    <row r="1008">
      <c r="B1008" s="12" t="inlineStr">
        <is>
          <t>facial electrolysis</t>
        </is>
      </c>
      <c r="C1008" s="11" t="inlineStr">
        <is>
          <t>3 posts: Oct 13, Nov 03, Nov 16</t>
        </is>
      </c>
    </row>
    <row r="1009">
      <c r="B1009" s="12" t="inlineStr">
        <is>
          <t>luxury spa oakville</t>
        </is>
      </c>
      <c r="C1009" s="11" t="inlineStr">
        <is>
          <t>6 posts: Oct 21, Nov 05, Nov 10, Nov 19, Nov 24, Nov 26</t>
        </is>
      </c>
    </row>
    <row r="1010">
      <c r="B1010" s="12" t="inlineStr">
        <is>
          <t>oakville botox</t>
        </is>
      </c>
      <c r="C1010" s="11" t="inlineStr">
        <is>
          <t>3 posts: Oct 26, Nov 02, Nov 30</t>
        </is>
      </c>
    </row>
    <row r="1011">
      <c r="B1011" s="12" t="inlineStr">
        <is>
          <t>Alt text</t>
        </is>
      </c>
      <c r="C1011" s="11" t="inlineStr">
        <is>
          <t>Paste the Alt Text column into Instagram &gt; Advanced settings &gt; Write alt text before posting. Instagram search reads it.</t>
        </is>
      </c>
    </row>
  </sheetData>
  <pageMargins left="0.75" right="0.75" top="1" bottom="1" header="0" footer="0"/>
  <pageSetup orientation="landscape"/>
</worksheet>
</file>

<file path=xl/worksheets/sheet2.xml><?xml version="1.0" encoding="utf-8"?>
<worksheet xmlns="http://schemas.openxmlformats.org/spreadsheetml/2006/main">
  <sheetPr>
    <tabColor rgb="00C9A85C"/>
    <outlinePr summaryBelow="1" summaryRight="1"/>
    <pageSetUpPr/>
  </sheetPr>
  <dimension ref="A1:AD67"/>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C1" sqref="C1"/>
      <selection pane="bottomLeft" activeCell="A2" sqref="A2"/>
      <selection pane="bottomRight" activeCell="C2" sqref="C2"/>
    </sheetView>
  </sheetViews>
  <sheetFormatPr baseColWidth="8" defaultColWidth="14.43" defaultRowHeight="15" customHeight="1"/>
  <cols>
    <col width="12" customWidth="1" style="42" min="1" max="1"/>
    <col width="6" customWidth="1" style="42" min="2" max="3"/>
    <col width="20" customWidth="1" style="42" min="4" max="4"/>
    <col width="14" customWidth="1" style="42" min="5" max="5"/>
    <col width="10" customWidth="1" style="42" min="6" max="6"/>
    <col width="15" customWidth="1" style="42" min="7" max="7"/>
    <col width="42" customWidth="1" style="42" min="8" max="8"/>
    <col width="60" customWidth="1" style="42" min="9" max="9"/>
    <col width="22" customWidth="1" style="42" min="10" max="10"/>
    <col width="10" customWidth="1" style="42" min="11" max="11"/>
    <col width="34" customWidth="1" style="42" min="12" max="13"/>
    <col width="14" customWidth="1" style="42" min="14" max="14"/>
    <col width="16" customWidth="1" style="42" min="15" max="15"/>
    <col width="46" customWidth="1" style="42" min="16" max="16"/>
    <col width="22" customWidth="1" style="42" min="17" max="17"/>
    <col width="10" customWidth="1" style="42" min="18" max="18"/>
    <col width="8" customWidth="1" style="42" min="19" max="19"/>
    <col width="10" customWidth="1" style="42" min="20" max="20"/>
    <col width="8.57" customWidth="1" style="42" min="21" max="23"/>
    <col width="60" customWidth="1" style="42" min="24" max="24"/>
    <col width="26" customWidth="1" style="42" min="25" max="25"/>
    <col width="20" customWidth="1" style="42" min="26" max="26"/>
    <col width="8.57" customWidth="1" style="42" min="27" max="28"/>
    <col width="30" customWidth="1" style="42" min="29" max="29"/>
    <col width="60" customWidth="1" style="42" min="30" max="30"/>
  </cols>
  <sheetData>
    <row r="1" ht="30" customHeight="1" s="42">
      <c r="A1" s="52" t="inlineStr">
        <is>
          <t>Date</t>
        </is>
      </c>
      <c r="B1" s="52" t="inlineStr">
        <is>
          <t>Day</t>
        </is>
      </c>
      <c r="C1" s="52" t="inlineStr">
        <is>
          <t>Week</t>
        </is>
      </c>
      <c r="D1" s="52" t="inlineStr">
        <is>
          <t>Month Theme</t>
        </is>
      </c>
      <c r="E1" s="52" t="inlineStr">
        <is>
          <t>Format</t>
        </is>
      </c>
      <c r="F1" s="53" t="inlineStr">
        <is>
          <t>Tone</t>
        </is>
      </c>
      <c r="G1" s="52" t="inlineStr">
        <is>
          <t>Platforms</t>
        </is>
      </c>
      <c r="H1" s="52" t="inlineStr">
        <is>
          <t>Pillar</t>
        </is>
      </c>
      <c r="I1" s="52" t="inlineStr">
        <is>
          <t>Topic &amp; Hook</t>
        </is>
      </c>
      <c r="J1" s="52" t="inlineStr">
        <is>
          <t>Caption Draft</t>
        </is>
      </c>
      <c r="K1" s="52" t="inlineStr">
        <is>
          <t>CTA</t>
        </is>
      </c>
      <c r="L1" s="52" t="inlineStr">
        <is>
          <t>Hashtag Set</t>
        </is>
      </c>
      <c r="M1" s="52" t="inlineStr">
        <is>
          <t>Visual / Asset</t>
        </is>
      </c>
      <c r="N1" s="53" t="inlineStr">
        <is>
          <t>Photo Assets</t>
        </is>
      </c>
      <c r="O1" s="53" t="inlineStr">
        <is>
          <t>Consent</t>
        </is>
      </c>
      <c r="P1" s="52" t="inlineStr">
        <is>
          <t>Folder Link</t>
        </is>
      </c>
      <c r="Q1" s="53" t="inlineStr">
        <is>
          <t>Image Link</t>
        </is>
      </c>
      <c r="R1" s="53" t="inlineStr">
        <is>
          <t>Preview</t>
        </is>
      </c>
      <c r="S1" s="52" t="inlineStr">
        <is>
          <t>Status</t>
        </is>
      </c>
      <c r="T1" s="52" t="inlineStr">
        <is>
          <t>Posted Link</t>
        </is>
      </c>
      <c r="U1" s="52" t="inlineStr">
        <is>
          <t>Reach</t>
        </is>
      </c>
      <c r="V1" s="52" t="inlineStr">
        <is>
          <t>Saves</t>
        </is>
      </c>
      <c r="W1" s="52" t="inlineStr">
        <is>
          <t>Comments</t>
        </is>
      </c>
      <c r="X1" s="52" t="inlineStr">
        <is>
          <t>DMs</t>
        </is>
      </c>
      <c r="Y1" s="52" t="inlineStr">
        <is>
          <t>Bookings</t>
        </is>
      </c>
      <c r="Z1" s="53" t="inlineStr">
        <is>
          <t>GBP Caption</t>
        </is>
      </c>
      <c r="AA1" s="53" t="inlineStr">
        <is>
          <t>GBP CTA</t>
        </is>
      </c>
      <c r="AB1" s="53" t="inlineStr">
        <is>
          <t>GBP Image Link</t>
        </is>
      </c>
      <c r="AC1" s="53" t="inlineStr">
        <is>
          <t>SEO Keyword (GSC)</t>
        </is>
      </c>
      <c r="AD1" s="53" t="inlineStr">
        <is>
          <t>Alt Text</t>
        </is>
      </c>
    </row>
    <row r="2" ht="68.25" customHeight="1" s="42">
      <c r="A2" s="9" t="n">
        <v>46251</v>
      </c>
      <c r="B2" s="10" t="inlineStr">
        <is>
          <t>Mon</t>
        </is>
      </c>
      <c r="C2" s="10" t="n">
        <v>1</v>
      </c>
      <c r="D2" s="10" t="inlineStr">
        <is>
          <t>Botox, Honestly (Launch)</t>
        </is>
      </c>
      <c r="E2" s="10" t="inlineStr">
        <is>
          <t>Carousel</t>
        </is>
      </c>
      <c r="F2" s="11" t="inlineStr">
        <is>
          <t>Light</t>
        </is>
      </c>
      <c r="G2" s="10" t="inlineStr">
        <is>
          <t>Instagram feed + GBP</t>
        </is>
      </c>
      <c r="H2" s="10" t="inlineStr">
        <is>
          <t>Education</t>
        </is>
      </c>
      <c r="I2" s="10" t="inlineStr">
        <is>
          <t>5 Botox Lies You Still Believe | The truth, from a nurse injector.</t>
        </is>
      </c>
      <c r="J2" s="10"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10" t="inlineStr">
        <is>
          <t>DM BOTOX or link in bio</t>
        </is>
      </c>
      <c r="L2" s="10" t="inlineStr">
        <is>
          <t>Set A</t>
        </is>
      </c>
      <c r="M2" s="10" t="inlineStr">
        <is>
          <t>READY: 8 final slides in this post's folder</t>
        </is>
      </c>
      <c r="N2" s="11" t="n"/>
      <c r="O2" s="17" t="inlineStr">
        <is>
          <t>https://github.com/RepoKing23/InstagramCarousel/tree/claude/blog-copy-sept-images-ct1od6/content/2026-08-17-5-botox-lies-you-still</t>
        </is>
      </c>
      <c r="P2" s="21" t="inlineStr">
        <is>
          <t>Open folder</t>
        </is>
      </c>
      <c r="Q2" s="22" t="inlineStr">
        <is>
          <t>View 8 slides (jpg)</t>
        </is>
      </c>
      <c r="R2" s="11">
        <f>IMAGE("https://raw.githubusercontent.com/RepoKing23/InstagramCarousel/claude/blog-copy-sept-images-ct1od6/content/2026-08-17-5-botox-lies-you-still/images/slide-1.jpg")</f>
        <v/>
      </c>
      <c r="S2" s="10" t="inlineStr">
        <is>
          <t>Published</t>
        </is>
      </c>
      <c r="T2" s="54" t="n"/>
      <c r="U2" s="54" t="n"/>
      <c r="V2" s="54" t="n"/>
      <c r="W2" s="54" t="n"/>
      <c r="X2" s="54" t="n"/>
      <c r="Y2" s="54" t="n"/>
      <c r="Z2" s="11" t="n"/>
      <c r="AA2" s="17" t="inlineStr">
        <is>
          <t>Learn more &gt; Instagram</t>
        </is>
      </c>
      <c r="AB2" s="22" t="inlineStr">
        <is>
          <t>View GBP image (jpg)</t>
        </is>
      </c>
    </row>
    <row r="3" ht="57" customHeight="1" s="42">
      <c r="A3" s="27" t="n">
        <v>46252</v>
      </c>
      <c r="B3" s="29" t="inlineStr">
        <is>
          <t>Tue</t>
        </is>
      </c>
      <c r="C3" s="29" t="n">
        <v>1</v>
      </c>
      <c r="D3" s="29" t="inlineStr">
        <is>
          <t>Botox, Honestly (Launch)</t>
        </is>
      </c>
      <c r="E3" s="29" t="inlineStr">
        <is>
          <t>Single Image</t>
        </is>
      </c>
      <c r="F3" s="11" t="inlineStr">
        <is>
          <t>Photo</t>
        </is>
      </c>
      <c r="G3" s="29" t="inlineStr">
        <is>
          <t>IG + FB + TikTok photo + GBP</t>
        </is>
      </c>
      <c r="H3" s="29" t="inlineStr">
        <is>
          <t>Education</t>
        </is>
      </c>
      <c r="I3" s="29" t="inlineStr">
        <is>
          <t>Service Spotlight: Botox | Smooth, not frozen.</t>
        </is>
      </c>
      <c r="J3" s="29" t="inlineStr">
        <is>
          <t>Softened lines, full expression, and nobody can tell why you look so rested. That is Botox done right.
#botox #botoxeducation #botoxmyths #preventativebotox #antiwrinkleinjections #nurseinjector #medspa #naturalbotox #botoxbeforeandafter #aestheticnurse</t>
        </is>
      </c>
      <c r="K3" s="29" t="inlineStr">
        <is>
          <t>DM BOTOX to book</t>
        </is>
      </c>
      <c r="L3" s="29" t="inlineStr">
        <is>
          <t>Set A</t>
        </is>
      </c>
      <c r="M3" s="29" t="inlineStr">
        <is>
          <t>READY: final image in this post's folder</t>
        </is>
      </c>
      <c r="N3" s="11" t="n"/>
      <c r="O3" s="17" t="inlineStr">
        <is>
          <t>https://github.com/RepoKing23/InstagramCarousel/tree/claude/blog-copy-sept-images-ct1od6/content/2026-08-18-service-spotlight-botox</t>
        </is>
      </c>
      <c r="P3" s="32" t="inlineStr">
        <is>
          <t>Open folder</t>
        </is>
      </c>
      <c r="Q3" s="22" t="inlineStr">
        <is>
          <t>View image (jpg)</t>
        </is>
      </c>
      <c r="R3" s="11">
        <f>IMAGE("https://raw.githubusercontent.com/RepoKing23/InstagramCarousel/claude/blog-copy-sept-images-ct1od6/content/2026-08-18-service-spotlight-botox/images/post.jpg")</f>
        <v/>
      </c>
      <c r="S3" s="29" t="inlineStr">
        <is>
          <t>Published</t>
        </is>
      </c>
      <c r="T3" s="54" t="n"/>
      <c r="U3" s="54" t="n"/>
      <c r="V3" s="54" t="n"/>
      <c r="W3" s="54" t="n"/>
      <c r="X3" s="54" t="n"/>
      <c r="Y3" s="54" t="n"/>
      <c r="Z3" s="11" t="n"/>
      <c r="AA3" s="17" t="inlineStr">
        <is>
          <t>Learn more &gt; Instagram</t>
        </is>
      </c>
      <c r="AB3" s="22" t="inlineStr">
        <is>
          <t>View GBP image (jpg)</t>
        </is>
      </c>
    </row>
    <row r="4" ht="68.25" customHeight="1" s="42">
      <c r="A4" s="9" t="n">
        <v>46254</v>
      </c>
      <c r="B4" s="10" t="inlineStr">
        <is>
          <t>Thu</t>
        </is>
      </c>
      <c r="C4" s="10" t="n">
        <v>1</v>
      </c>
      <c r="D4" s="10" t="inlineStr">
        <is>
          <t>Botox, Honestly (Launch)</t>
        </is>
      </c>
      <c r="E4" s="10" t="inlineStr">
        <is>
          <t>Carousel</t>
        </is>
      </c>
      <c r="F4" s="11" t="inlineStr">
        <is>
          <t>Light</t>
        </is>
      </c>
      <c r="G4" s="10" t="inlineStr">
        <is>
          <t>Instagram feed + GBP</t>
        </is>
      </c>
      <c r="H4" s="10" t="inlineStr">
        <is>
          <t>Trust &amp; Proof</t>
        </is>
      </c>
      <c r="I4" s="10" t="inlineStr">
        <is>
          <t>5 Red Flags at a Med Spa. Run. | Your face deserves better than a bargain.</t>
        </is>
      </c>
      <c r="J4" s="10"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10" t="inlineStr">
        <is>
          <t>Save this before you book</t>
        </is>
      </c>
      <c r="L4" s="10" t="inlineStr">
        <is>
          <t>Set C</t>
        </is>
      </c>
      <c r="M4" s="10" t="inlineStr">
        <is>
          <t>Design in editorial template (sequel to Choosing the Right NP)</t>
        </is>
      </c>
      <c r="N4" s="11" t="n"/>
      <c r="O4" s="17" t="inlineStr">
        <is>
          <t>https://github.com/RepoKing23/InstagramCarousel/tree/claude/blog-copy-sept-images-ct1od6/content/2026-08-20-5-red-flags-at-a</t>
        </is>
      </c>
      <c r="P4" s="21" t="inlineStr">
        <is>
          <t>Open folder</t>
        </is>
      </c>
      <c r="Q4" s="22" t="inlineStr">
        <is>
          <t>View 7 slides (jpg)</t>
        </is>
      </c>
      <c r="R4" s="11">
        <f>IMAGE("https://raw.githubusercontent.com/RepoKing23/InstagramCarousel/claude/blog-copy-sept-images-ct1od6/content/2026-08-20-5-red-flags-at-a/images/slide-1.jpg")</f>
        <v/>
      </c>
      <c r="S4" s="29" t="inlineStr">
        <is>
          <t>Published</t>
        </is>
      </c>
      <c r="T4" s="54" t="n"/>
      <c r="U4" s="54" t="n"/>
      <c r="V4" s="54" t="n"/>
      <c r="W4" s="54" t="n"/>
      <c r="X4" s="54" t="n"/>
      <c r="Y4" s="54" t="n"/>
      <c r="Z4" s="11" t="inlineStr">
        <is>
          <t>Five things to walk away from at a med spa: no consultation, bargain pricing, a provider who never says no, no named injector, and no plan for complications. Know them before you book anywhere. Serving Oakville, Burlington, Milton and Mississauga.</t>
        </is>
      </c>
      <c r="AA4" s="17" t="inlineStr">
        <is>
          <t>Learn more &gt; Instagram</t>
        </is>
      </c>
      <c r="AB4" s="22" t="inlineStr">
        <is>
          <t>View GBP image (jpg)</t>
        </is>
      </c>
    </row>
    <row r="5" ht="57" customHeight="1" s="42">
      <c r="A5" s="27" t="n">
        <v>46255</v>
      </c>
      <c r="B5" s="29" t="inlineStr">
        <is>
          <t>Fri</t>
        </is>
      </c>
      <c r="C5" s="29" t="n">
        <v>1</v>
      </c>
      <c r="D5" s="29" t="inlineStr">
        <is>
          <t>Botox, Honestly (Launch)</t>
        </is>
      </c>
      <c r="E5" s="29" t="inlineStr">
        <is>
          <t>Single Image</t>
        </is>
      </c>
      <c r="F5" s="11" t="inlineStr">
        <is>
          <t>Dark</t>
        </is>
      </c>
      <c r="G5" s="29" t="inlineStr">
        <is>
          <t>IG + FB + TikTok photo + GBP</t>
        </is>
      </c>
      <c r="H5" s="29" t="inlineStr">
        <is>
          <t>Personality &amp; BTS</t>
        </is>
      </c>
      <c r="I5" s="29" t="inlineStr">
        <is>
          <t>Behind the Scenes: The Prep | Zero shortcuts. Ever.</t>
        </is>
      </c>
      <c r="J5" s="29"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29" t="inlineStr">
        <is>
          <t>Zero shortcuts. Ever.</t>
        </is>
      </c>
      <c r="L5" s="29" t="inlineStr">
        <is>
          <t>Set D</t>
        </is>
      </c>
      <c r="M5" s="29" t="inlineStr">
        <is>
          <t>prep tray photo + hook overlay</t>
        </is>
      </c>
      <c r="N5" s="11" t="n"/>
      <c r="O5" s="17" t="inlineStr">
        <is>
          <t>https://github.com/RepoKing23/InstagramCarousel/tree/claude/blog-copy-sept-images-ct1od6/content/2026-08-21-behind-the-scenes-the-prep</t>
        </is>
      </c>
      <c r="P5" s="32" t="inlineStr">
        <is>
          <t>Open folder</t>
        </is>
      </c>
      <c r="Q5" s="22" t="inlineStr">
        <is>
          <t>View image (jpg)</t>
        </is>
      </c>
      <c r="R5" s="11">
        <f>IMAGE("https://raw.githubusercontent.com/RepoKing23/InstagramCarousel/claude/blog-copy-sept-images-ct1od6/content/2026-08-21-behind-the-scenes-the-prep/images/post.jpg")</f>
        <v/>
      </c>
      <c r="S5" s="29" t="inlineStr">
        <is>
          <t>Ready</t>
        </is>
      </c>
      <c r="T5" s="54" t="n"/>
      <c r="U5" s="54" t="n"/>
      <c r="V5" s="54" t="n"/>
      <c r="W5" s="54" t="n"/>
      <c r="X5" s="54" t="n"/>
      <c r="Y5" s="54" t="n"/>
      <c r="Z5" s="11" t="inlineStr">
        <is>
          <t>Every appointment starts the same way. New tray, sealed product opened in front of you, and your face mapped while it moves so the plan fits how you actually move. Ask to watch. Serving Oakville, Burlington, Milton and Mississauga.</t>
        </is>
      </c>
      <c r="AA5" s="17" t="inlineStr">
        <is>
          <t>Learn more &gt; Instagram</t>
        </is>
      </c>
      <c r="AB5" s="22" t="inlineStr">
        <is>
          <t>View GBP image (jpg)</t>
        </is>
      </c>
    </row>
    <row r="6" ht="45.75" customHeight="1" s="42">
      <c r="A6" s="27" t="n">
        <v>46256</v>
      </c>
      <c r="B6" s="29" t="inlineStr">
        <is>
          <t>Sat</t>
        </is>
      </c>
      <c r="C6" s="29" t="n">
        <v>1</v>
      </c>
      <c r="D6" s="29" t="inlineStr">
        <is>
          <t>Botox, Honestly (Launch)</t>
        </is>
      </c>
      <c r="E6" s="29" t="inlineStr">
        <is>
          <t>Before/After</t>
        </is>
      </c>
      <c r="F6" s="11" t="inlineStr">
        <is>
          <t>Light</t>
        </is>
      </c>
      <c r="G6" s="29" t="inlineStr">
        <is>
          <t>IG + FB + TikTok photo + GBP</t>
        </is>
      </c>
      <c r="H6" s="29" t="inlineStr">
        <is>
          <t>Trust &amp; Proof</t>
        </is>
      </c>
      <c r="I6" s="29" t="inlineStr">
        <is>
          <t>Great Work Is Invisible | You were not supposed to notice.</t>
        </is>
      </c>
      <c r="J6" s="29"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29" t="inlineStr">
        <is>
          <t>Message to book</t>
        </is>
      </c>
      <c r="L6" s="29" t="inlineStr">
        <is>
          <t>Set B</t>
        </is>
      </c>
      <c r="M6" s="29" t="inlineStr">
        <is>
          <t>Before and after card in editorial template. Crop to treatment area, no faces</t>
        </is>
      </c>
      <c r="N6" s="11" t="inlineStr">
        <is>
          <t>img_9908 (before), img_9912 (after)</t>
        </is>
      </c>
      <c r="O6" s="17" t="inlineStr">
        <is>
          <t>Not needed</t>
        </is>
      </c>
      <c r="P6" s="32" t="inlineStr">
        <is>
          <t>Open folder</t>
        </is>
      </c>
      <c r="Q6" s="22" t="inlineStr">
        <is>
          <t>View image (jpg)</t>
        </is>
      </c>
      <c r="R6" s="11">
        <f>IMAGE("https://raw.githubusercontent.com/RepoKing23/InstagramCarousel/claude/blog-copy-sept-images-ct1od6/content/2026-08-22-great-work-is-invisible/images/before-after-result.jpg")</f>
        <v/>
      </c>
      <c r="S6" s="29" t="inlineStr">
        <is>
          <t>Ready</t>
        </is>
      </c>
      <c r="T6" s="54" t="n"/>
      <c r="U6" s="54" t="n"/>
      <c r="V6" s="54" t="n"/>
      <c r="W6" s="54" t="n"/>
      <c r="X6" s="54" t="n"/>
      <c r="Y6" s="54" t="n"/>
      <c r="Z6" s="11" t="inlineStr">
        <is>
          <t>One syringe of lip filler, with her own lip shape kept exactly where it was. Natural results are the whole point of how we practise. Shared with client consent, individual results vary. Serving Oakville, Burlington, Milton and Mississauga.</t>
        </is>
      </c>
      <c r="AA6" s="17" t="inlineStr">
        <is>
          <t>Learn more &gt; Instagram</t>
        </is>
      </c>
      <c r="AB6" s="22" t="inlineStr">
        <is>
          <t>View GBP image (jpg)</t>
        </is>
      </c>
    </row>
    <row r="7" ht="57" customHeight="1" s="42">
      <c r="A7" s="9" t="n">
        <v>46258</v>
      </c>
      <c r="B7" s="10" t="inlineStr">
        <is>
          <t>Mon</t>
        </is>
      </c>
      <c r="C7" s="10" t="n">
        <v>2</v>
      </c>
      <c r="D7" s="10" t="inlineStr">
        <is>
          <t>Botox, Honestly (Launch)</t>
        </is>
      </c>
      <c r="E7" s="10" t="inlineStr">
        <is>
          <t>Carousel</t>
        </is>
      </c>
      <c r="F7" s="11" t="inlineStr">
        <is>
          <t>Light</t>
        </is>
      </c>
      <c r="G7" s="10" t="inlineStr">
        <is>
          <t>Instagram feed + GBP</t>
        </is>
      </c>
      <c r="H7" s="10" t="inlineStr">
        <is>
          <t>Education</t>
        </is>
      </c>
      <c r="I7" s="10" t="inlineStr">
        <is>
          <t>Your First Visit, Step by Step | Nervous about your first appointment? Here is exactly what happens.</t>
        </is>
      </c>
      <c r="J7" s="10"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10" t="inlineStr">
        <is>
          <t>DM to book a consult</t>
        </is>
      </c>
      <c r="L7" s="10" t="inlineStr">
        <is>
          <t>Set A</t>
        </is>
      </c>
      <c r="M7" s="10" t="inlineStr">
        <is>
          <t>Design in editorial template + treatment room photos</t>
        </is>
      </c>
      <c r="N7" s="11" t="n"/>
      <c r="O7" s="17" t="inlineStr">
        <is>
          <t>https://github.com/RepoKing23/InstagramCarousel/tree/claude/blog-copy-sept-images-ct1od6/content/2026-08-24-your-first-visit-step-by</t>
        </is>
      </c>
      <c r="P7" s="21" t="inlineStr">
        <is>
          <t>Open folder</t>
        </is>
      </c>
      <c r="Q7" s="22" t="inlineStr">
        <is>
          <t>View 8 slides (jpg)</t>
        </is>
      </c>
      <c r="R7" s="11">
        <f>IMAGE("https://raw.githubusercontent.com/RepoKing23/InstagramCarousel/claude/blog-copy-sept-images-ct1od6/content/2026-08-24-your-first-visit-step-by/images/slide-1.jpg")</f>
        <v/>
      </c>
      <c r="S7" s="29" t="inlineStr">
        <is>
          <t>Published</t>
        </is>
      </c>
      <c r="T7" s="54" t="n"/>
      <c r="U7" s="54" t="n"/>
      <c r="V7" s="54" t="n"/>
      <c r="W7" s="54" t="n"/>
      <c r="X7" s="54" t="n"/>
      <c r="Y7" s="54" t="n"/>
      <c r="Z7" s="11" t="inlineStr">
        <is>
          <t>Nervous about your first appointment? A real consultation, your face mapped in motion, then the areas and the price agreed before anything is opened. The treatment itself takes about ten minutes. Serving Oakville, Burlington, Milton and Mississauga.</t>
        </is>
      </c>
      <c r="AA7" s="17" t="inlineStr">
        <is>
          <t>Learn more &gt; Instagram</t>
        </is>
      </c>
      <c r="AB7" s="22" t="inlineStr">
        <is>
          <t>View GBP image (jpg)</t>
        </is>
      </c>
    </row>
    <row r="8" ht="57" customHeight="1" s="42">
      <c r="A8" s="27" t="n">
        <v>46259</v>
      </c>
      <c r="B8" s="29" t="inlineStr">
        <is>
          <t>Tue</t>
        </is>
      </c>
      <c r="C8" s="29" t="n">
        <v>2</v>
      </c>
      <c r="D8" s="29" t="inlineStr">
        <is>
          <t>Botox, Honestly (Launch)</t>
        </is>
      </c>
      <c r="E8" s="29" t="inlineStr">
        <is>
          <t>Single Image</t>
        </is>
      </c>
      <c r="F8" s="11" t="inlineStr">
        <is>
          <t>Dark</t>
        </is>
      </c>
      <c r="G8" s="29" t="inlineStr">
        <is>
          <t>IG + FB + TikTok photo + GBP</t>
        </is>
      </c>
      <c r="H8" s="29" t="inlineStr">
        <is>
          <t>Trust &amp; Proof</t>
        </is>
      </c>
      <c r="I8" s="29" t="inlineStr">
        <is>
          <t>Why I Do Not Post Prices | Every clinic gets this DM. Almost nobody answers it honestly.</t>
        </is>
      </c>
      <c r="J8" s="29"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29" t="inlineStr">
        <is>
          <t>DM the word PRICE</t>
        </is>
      </c>
      <c r="L8" s="29" t="inlineStr">
        <is>
          <t>Set C</t>
        </is>
      </c>
      <c r="M8" s="29" t="inlineStr">
        <is>
          <t>Single image, dark variant. Type led, no photo</t>
        </is>
      </c>
      <c r="N8" s="11" t="n"/>
      <c r="O8" s="17" t="inlineStr">
        <is>
          <t>https://github.com/RepoKing23/InstagramCarousel/tree/claude/blog-copy-sept-images-ct1od6/content/2026-08-25-why-i-do-not-post</t>
        </is>
      </c>
      <c r="P8" s="32" t="inlineStr">
        <is>
          <t>Open folder</t>
        </is>
      </c>
      <c r="Q8" s="22" t="inlineStr">
        <is>
          <t>View image (jpg)</t>
        </is>
      </c>
      <c r="R8" s="11">
        <f>IMAGE("https://raw.githubusercontent.com/RepoKing23/InstagramCarousel/claude/blog-copy-sept-images-ct1od6/content/2026-08-25-why-i-do-not-post/images/post.jpg")</f>
        <v/>
      </c>
      <c r="S8" s="29" t="inlineStr">
        <is>
          <t>Published</t>
        </is>
      </c>
      <c r="T8" s="54" t="n"/>
      <c r="U8" s="54" t="n"/>
      <c r="V8" s="54" t="n"/>
      <c r="W8" s="54" t="n"/>
      <c r="X8" s="54" t="n"/>
      <c r="Y8" s="54" t="n"/>
      <c r="Z8" s="11" t="inlineStr">
        <is>
          <t>Why we do not post a price list. Doses differ from face to face, so one flat price either overcharges you or under treats you. You get a written number at your consult, before anything is opened. Serving Oakville, Burlington, Milton and Mississauga.</t>
        </is>
      </c>
      <c r="AA8" s="17" t="inlineStr">
        <is>
          <t>Learn more &gt; Instagram</t>
        </is>
      </c>
      <c r="AB8" s="22" t="inlineStr">
        <is>
          <t>View GBP image (jpg)</t>
        </is>
      </c>
    </row>
    <row r="9" ht="57" customHeight="1" s="42">
      <c r="A9" s="9" t="n">
        <v>46261</v>
      </c>
      <c r="B9" s="10" t="inlineStr">
        <is>
          <t>Thu</t>
        </is>
      </c>
      <c r="C9" s="10" t="n">
        <v>2</v>
      </c>
      <c r="D9" s="10" t="inlineStr">
        <is>
          <t>Botox, Honestly (Launch)</t>
        </is>
      </c>
      <c r="E9" s="10" t="inlineStr">
        <is>
          <t>Carousel</t>
        </is>
      </c>
      <c r="F9" s="11" t="inlineStr">
        <is>
          <t>Photo</t>
        </is>
      </c>
      <c r="G9" s="10" t="inlineStr">
        <is>
          <t>Instagram feed + GBP</t>
        </is>
      </c>
      <c r="H9" s="10" t="inlineStr">
        <is>
          <t>Personality &amp; BTS</t>
        </is>
      </c>
      <c r="I9" s="10" t="inlineStr">
        <is>
          <t>Meet NP Cleo: The Face Behind the Glow | Real education. Real results. Real care.</t>
        </is>
      </c>
      <c r="J9" s="10"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10" t="inlineStr">
        <is>
          <t>DM the word CONSULT</t>
        </is>
      </c>
      <c r="L9" s="10" t="inlineStr">
        <is>
          <t>Set D</t>
        </is>
      </c>
      <c r="M9" s="10" t="inlineStr">
        <is>
          <t>Portrait photos of Cleo (reuse cleo.png + new shots)</t>
        </is>
      </c>
      <c r="N9" s="11" t="n"/>
      <c r="O9" s="17" t="inlineStr">
        <is>
          <t>https://github.com/RepoKing23/InstagramCarousel/tree/claude/blog-copy-sept-images-ct1od6/content/2026-08-27-meet-np-cleo-the-face</t>
        </is>
      </c>
      <c r="P9" s="21" t="inlineStr">
        <is>
          <t>Open folder</t>
        </is>
      </c>
      <c r="Q9" s="22" t="inlineStr">
        <is>
          <t>View 5 slides (jpg)</t>
        </is>
      </c>
      <c r="R9" s="11">
        <f>IMAGE("https://raw.githubusercontent.com/RepoKing23/InstagramCarousel/claude/blog-copy-sept-images-ct1od6/content/2026-08-27-meet-np-cleo-the-face/images/slide-1.jpg")</f>
        <v/>
      </c>
      <c r="S9" s="29" t="inlineStr">
        <is>
          <t>Published</t>
        </is>
      </c>
      <c r="T9" s="54" t="n"/>
      <c r="U9" s="54" t="n"/>
      <c r="V9" s="54" t="n"/>
      <c r="W9" s="54" t="n"/>
      <c r="X9" s="54" t="n"/>
      <c r="Y9" s="54" t="n"/>
      <c r="Z9" s="11" t="inlineStr">
        <is>
          <t>Meet NP Cleo. Nurse practitioner and injector, and the person who will tell you no when the honest answer is not yet. Every appointment is injected by Cleo, never delegated. Serving Oakville, Burlington, Milton and Mississauga.</t>
        </is>
      </c>
      <c r="AA9" s="17" t="inlineStr">
        <is>
          <t>Learn more &gt; Instagram</t>
        </is>
      </c>
      <c r="AB9" s="22" t="inlineStr">
        <is>
          <t>View GBP image (jpg)</t>
        </is>
      </c>
    </row>
    <row r="10" ht="45.75" customHeight="1" s="42">
      <c r="A10" s="27" t="n">
        <v>46262</v>
      </c>
      <c r="B10" s="29" t="inlineStr">
        <is>
          <t>Fri</t>
        </is>
      </c>
      <c r="C10" s="29" t="n">
        <v>2</v>
      </c>
      <c r="D10" s="29" t="inlineStr">
        <is>
          <t>Botox, Honestly (Launch)</t>
        </is>
      </c>
      <c r="E10" s="29" t="inlineStr">
        <is>
          <t>Single Image</t>
        </is>
      </c>
      <c r="F10" s="11" t="inlineStr">
        <is>
          <t>Dark</t>
        </is>
      </c>
      <c r="G10" s="29" t="inlineStr">
        <is>
          <t>IG + FB + TikTok photo + GBP</t>
        </is>
      </c>
      <c r="H10" s="29" t="inlineStr">
        <is>
          <t>Personality &amp; BTS</t>
        </is>
      </c>
      <c r="I10" s="29" t="inlineStr">
        <is>
          <t>Welcome to the Treatment Room | Where calm meets careful.</t>
        </is>
      </c>
      <c r="J10" s="29"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29" t="inlineStr">
        <is>
          <t>Come see it</t>
        </is>
      </c>
      <c r="L10" s="29" t="inlineStr">
        <is>
          <t>Set D</t>
        </is>
      </c>
      <c r="M10" s="29" t="inlineStr">
        <is>
          <t>Single image, dark photo led. Uses botox-prep.png framed on the room</t>
        </is>
      </c>
      <c r="N10" s="11" t="n"/>
      <c r="O10" s="17" t="inlineStr">
        <is>
          <t>https://github.com/RepoKing23/InstagramCarousel/tree/claude/blog-copy-sept-images-ct1od6/content/2026-08-28-welcome-to-the-treatment-room</t>
        </is>
      </c>
      <c r="P10" s="32" t="inlineStr">
        <is>
          <t>Open folder</t>
        </is>
      </c>
      <c r="Q10" s="22" t="inlineStr">
        <is>
          <t>View image (jpg)</t>
        </is>
      </c>
      <c r="R10" s="11">
        <f>IMAGE("https://raw.githubusercontent.com/RepoKing23/InstagramCarousel/claude/blog-copy-sept-images-ct1od6/content/2026-08-28-welcome-to-the-treatment-room/images/post.jpg")</f>
        <v/>
      </c>
      <c r="S10" s="29" t="inlineStr">
        <is>
          <t>Ready</t>
        </is>
      </c>
      <c r="T10" s="54" t="n"/>
      <c r="U10" s="54" t="n"/>
      <c r="V10" s="54" t="n"/>
      <c r="W10" s="54" t="n"/>
      <c r="X10" s="54" t="n"/>
      <c r="Y10" s="54" t="n"/>
      <c r="Z10" s="11" t="inlineStr">
        <is>
          <t>One client in the treatment room at a time. Nobody rushes the person before you, so nobody rushes you. Questions welcome, and a plan agreed before anything happens. Serving Oakville, Burlington, Milton and Mississauga.</t>
        </is>
      </c>
      <c r="AA10" s="17" t="inlineStr">
        <is>
          <t>Learn more &gt; Instagram</t>
        </is>
      </c>
      <c r="AB10" s="22" t="inlineStr">
        <is>
          <t>View GBP image (jpg)</t>
        </is>
      </c>
    </row>
    <row r="11" ht="45.75" customHeight="1" s="42">
      <c r="A11" s="27" t="n">
        <v>46263</v>
      </c>
      <c r="B11" s="29" t="inlineStr">
        <is>
          <t>Sat</t>
        </is>
      </c>
      <c r="C11" s="29" t="n">
        <v>2</v>
      </c>
      <c r="D11" s="29" t="inlineStr">
        <is>
          <t>Botox, Honestly (Launch)</t>
        </is>
      </c>
      <c r="E11" s="29" t="inlineStr">
        <is>
          <t>Single Image</t>
        </is>
      </c>
      <c r="F11" s="11" t="inlineStr">
        <is>
          <t>Light</t>
        </is>
      </c>
      <c r="G11" s="29" t="inlineStr">
        <is>
          <t>IG + FB + TikTok photo + GBP</t>
        </is>
      </c>
      <c r="H11" s="29" t="inlineStr">
        <is>
          <t>Trust &amp; Proof</t>
        </is>
      </c>
      <c r="I11" s="29" t="inlineStr">
        <is>
          <t>This or That: Rested vs Frozen | If people ask what you had done, the dose was wrong.</t>
        </is>
      </c>
      <c r="J11" s="29"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29" t="inlineStr">
        <is>
          <t>Which one do you want?</t>
        </is>
      </c>
      <c r="L11" s="29" t="inlineStr">
        <is>
          <t>Set C</t>
        </is>
      </c>
      <c r="M11" s="29" t="inlineStr">
        <is>
          <t>Two-panel comparison card in brand style</t>
        </is>
      </c>
      <c r="N11" s="11" t="n"/>
      <c r="O11" s="17" t="inlineStr">
        <is>
          <t>https://github.com/RepoKing23/InstagramCarousel/tree/claude/blog-copy-sept-images-ct1od6/content/2026-08-29-this-or-that-rested-vs</t>
        </is>
      </c>
      <c r="P11" s="32" t="inlineStr">
        <is>
          <t>Open folder</t>
        </is>
      </c>
      <c r="Q11" s="22" t="inlineStr">
        <is>
          <t>View image (jpg)</t>
        </is>
      </c>
      <c r="R11" s="11">
        <f>IMAGE("https://raw.githubusercontent.com/RepoKing23/InstagramCarousel/claude/blog-copy-sept-images-ct1od6/content/2026-08-29-this-or-that-rested-vs/images/post.jpg")</f>
        <v/>
      </c>
      <c r="S11" s="29" t="inlineStr">
        <is>
          <t>Ready</t>
        </is>
      </c>
      <c r="T11" s="54" t="n"/>
      <c r="U11" s="54" t="n"/>
      <c r="V11" s="54" t="n"/>
      <c r="W11" s="54" t="n"/>
      <c r="X11" s="54" t="n"/>
      <c r="Y11" s="54" t="n"/>
      <c r="Z11" s="11" t="inlineStr">
        <is>
          <t>Rested, not frozen. You should still frown, squint and smile. If people ask what you had done instead of whether you slept well, the dose was wrong. Serving Oakville, Burlington, Milton and Mississauga.</t>
        </is>
      </c>
      <c r="AA11" s="17" t="inlineStr">
        <is>
          <t>Learn more &gt; Instagram</t>
        </is>
      </c>
      <c r="AB11" s="22" t="inlineStr">
        <is>
          <t>View GBP image (jpg)</t>
        </is>
      </c>
    </row>
    <row r="12" ht="57" customHeight="1" s="42">
      <c r="A12" s="9" t="n">
        <v>46265</v>
      </c>
      <c r="B12" s="10" t="inlineStr">
        <is>
          <t>Mon</t>
        </is>
      </c>
      <c r="C12" s="10" t="n">
        <v>3</v>
      </c>
      <c r="D12" s="10" t="inlineStr">
        <is>
          <t>Botox, Honestly (Launch)</t>
        </is>
      </c>
      <c r="E12" s="10" t="inlineStr">
        <is>
          <t>Carousel</t>
        </is>
      </c>
      <c r="F12" s="11" t="inlineStr">
        <is>
          <t>Photo</t>
        </is>
      </c>
      <c r="G12" s="10" t="inlineStr">
        <is>
          <t>Instagram feed + GBP</t>
        </is>
      </c>
      <c r="H12" s="10" t="inlineStr">
        <is>
          <t>Education</t>
        </is>
      </c>
      <c r="I12" s="10" t="inlineStr">
        <is>
          <t>Preventative Botox: When to Actually Start | Your friend who never seems to age? This is why.</t>
        </is>
      </c>
      <c r="J12" s="10"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10" t="inlineStr">
        <is>
          <t>DM the word START</t>
        </is>
      </c>
      <c r="L12" s="10" t="inlineStr">
        <is>
          <t>Set A</t>
        </is>
      </c>
      <c r="M12" s="10" t="inlineStr">
        <is>
          <t>Carousel, 7 slides. Photo cover using smile-portrait.png</t>
        </is>
      </c>
      <c r="N12" s="11" t="n"/>
      <c r="O12" s="17" t="inlineStr">
        <is>
          <t>https://github.com/RepoKing23/InstagramCarousel/tree/claude/blog-copy-sept-images-ct1od6/content/2026-08-31-preventative-botox-when-to-actually</t>
        </is>
      </c>
      <c r="P12" s="21" t="inlineStr">
        <is>
          <t>Open folder</t>
        </is>
      </c>
      <c r="Q12" s="22" t="inlineStr">
        <is>
          <t>View 7 slides (jpg)</t>
        </is>
      </c>
      <c r="R12" s="11">
        <f>IMAGE("https://raw.githubusercontent.com/RepoKing23/InstagramCarousel/claude/blog-copy-sept-images-ct1od6/content/2026-08-31-preventative-botox-when-to-actually/images/slide-1.jpg")</f>
        <v/>
      </c>
      <c r="S12" s="10" t="inlineStr">
        <is>
          <t>Published</t>
        </is>
      </c>
      <c r="T12" s="54" t="n"/>
      <c r="U12" s="54" t="n"/>
      <c r="V12" s="54" t="n"/>
      <c r="W12" s="54" t="n"/>
      <c r="X12" s="54" t="n"/>
      <c r="Y12" s="54" t="n"/>
      <c r="Z12" s="11" t="inlineStr">
        <is>
          <t>When should you actually start preventative treatment? It is not about your age. Make your strongest expression, then relax completely. A line that stays is one that is setting in. Serving Oakville, Burlington, Milton and Mississauga.</t>
        </is>
      </c>
      <c r="AA12" s="17" t="inlineStr">
        <is>
          <t>Learn more &gt; Instagram</t>
        </is>
      </c>
      <c r="AB12" s="22" t="inlineStr">
        <is>
          <t>View GBP image (jpg)</t>
        </is>
      </c>
    </row>
    <row r="13" ht="57" customHeight="1" s="42">
      <c r="A13" s="27" t="n">
        <v>46266</v>
      </c>
      <c r="B13" s="29" t="inlineStr">
        <is>
          <t>Tue</t>
        </is>
      </c>
      <c r="C13" s="29" t="n">
        <v>3</v>
      </c>
      <c r="D13" s="29" t="inlineStr">
        <is>
          <t>Botox Education Month</t>
        </is>
      </c>
      <c r="E13" s="29" t="inlineStr">
        <is>
          <t>Single Image</t>
        </is>
      </c>
      <c r="F13" s="11" t="inlineStr">
        <is>
          <t>Dark</t>
        </is>
      </c>
      <c r="G13" s="29" t="inlineStr">
        <is>
          <t>IG + FB + TikTok photo + GBP</t>
        </is>
      </c>
      <c r="H13" s="29" t="inlineStr">
        <is>
          <t>Education</t>
        </is>
      </c>
      <c r="I13" s="29" t="inlineStr">
        <is>
          <t>Service Spotlight: Preventative Botox | Start before the lines do.</t>
        </is>
      </c>
      <c r="J13" s="29" t="inlineStr">
        <is>
          <t>The friend who never seems to age did not find a miracle cream. She started early and kept it subtle.
#botox #botoxeducation #botoxmyths #preventativebotox #antiwrinkleinjections #nurseinjector #medspa #naturalbotox #botoxbeforeandafter #aestheticnurse</t>
        </is>
      </c>
      <c r="K13" s="29" t="inlineStr">
        <is>
          <t>DM PREVENT to talk</t>
        </is>
      </c>
      <c r="L13" s="29" t="inlineStr">
        <is>
          <t>Set A</t>
        </is>
      </c>
      <c r="M13" s="29" t="inlineStr">
        <is>
          <t>Single image: young client or product photo + hook</t>
        </is>
      </c>
      <c r="N13" s="11" t="n"/>
      <c r="O13" s="17" t="inlineStr">
        <is>
          <t>https://github.com/RepoKing23/InstagramCarousel/tree/claude/blog-copy-sept-images-ct1od6/content/2026-09-01-service-spotlight-preventative-botox</t>
        </is>
      </c>
      <c r="P13" s="32" t="inlineStr">
        <is>
          <t>Open folder</t>
        </is>
      </c>
      <c r="Q13" s="11" t="inlineStr">
        <is>
          <t>Not designed yet</t>
        </is>
      </c>
      <c r="R13" s="11" t="n"/>
      <c r="S13" s="29" t="inlineStr">
        <is>
          <t>Idea</t>
        </is>
      </c>
      <c r="T13" s="54" t="n"/>
      <c r="U13" s="54" t="n"/>
      <c r="V13" s="54" t="n"/>
      <c r="W13" s="54" t="n"/>
      <c r="X13" s="54" t="n"/>
      <c r="Y13" s="54" t="n"/>
      <c r="Z13" s="11" t="n"/>
      <c r="AA13" s="11" t="n"/>
      <c r="AB13" s="11" t="inlineStr">
        <is>
          <t>Not designed yet</t>
        </is>
      </c>
    </row>
    <row r="14" ht="57" customHeight="1" s="42">
      <c r="A14" s="9" t="n">
        <v>46268</v>
      </c>
      <c r="B14" s="10" t="inlineStr">
        <is>
          <t>Thu</t>
        </is>
      </c>
      <c r="C14" s="10" t="n">
        <v>3</v>
      </c>
      <c r="D14" s="10" t="inlineStr">
        <is>
          <t>Botox Education Month</t>
        </is>
      </c>
      <c r="E14" s="10" t="inlineStr">
        <is>
          <t>Carousel</t>
        </is>
      </c>
      <c r="F14" s="11" t="inlineStr">
        <is>
          <t>Light</t>
        </is>
      </c>
      <c r="G14" s="10" t="inlineStr">
        <is>
          <t>Instagram feed + GBP</t>
        </is>
      </c>
      <c r="H14" s="10" t="inlineStr">
        <is>
          <t>Education</t>
        </is>
      </c>
      <c r="I14" s="10" t="inlineStr">
        <is>
          <t>What 20 Units Actually Looks Like | Unit math, finally explained.</t>
        </is>
      </c>
      <c r="J14" s="10"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10" t="inlineStr">
        <is>
          <t>Save this for your consult</t>
        </is>
      </c>
      <c r="L14" s="10" t="inlineStr">
        <is>
          <t>Set A</t>
        </is>
      </c>
      <c r="M14" s="10" t="inlineStr">
        <is>
          <t>Design in editorial template + dosing diagram</t>
        </is>
      </c>
      <c r="N14" s="11" t="n"/>
      <c r="O14" s="17" t="inlineStr">
        <is>
          <t>https://github.com/RepoKing23/InstagramCarousel/tree/claude/blog-copy-sept-images-ct1od6/content/2026-09-03-what-20-units-actually-looks</t>
        </is>
      </c>
      <c r="P14" s="21" t="inlineStr">
        <is>
          <t>Open folder</t>
        </is>
      </c>
      <c r="Q14" s="11" t="inlineStr">
        <is>
          <t>Not designed yet</t>
        </is>
      </c>
      <c r="R14" s="11" t="n"/>
      <c r="S14" s="10" t="inlineStr">
        <is>
          <t>Idea</t>
        </is>
      </c>
      <c r="T14" s="54" t="n"/>
      <c r="U14" s="54" t="n"/>
      <c r="V14" s="54" t="n"/>
      <c r="W14" s="54" t="n"/>
      <c r="X14" s="54" t="n"/>
      <c r="Y14" s="54" t="n"/>
      <c r="Z14" s="11" t="n"/>
      <c r="AA14" s="11" t="n"/>
      <c r="AB14" s="11" t="inlineStr">
        <is>
          <t>Not designed yet</t>
        </is>
      </c>
    </row>
    <row r="15" ht="57" customHeight="1" s="42">
      <c r="A15" s="27" t="n">
        <v>46269</v>
      </c>
      <c r="B15" s="29" t="inlineStr">
        <is>
          <t>Fri</t>
        </is>
      </c>
      <c r="C15" s="29" t="n">
        <v>3</v>
      </c>
      <c r="D15" s="29" t="inlineStr">
        <is>
          <t>Botox Education Month</t>
        </is>
      </c>
      <c r="E15" s="29" t="inlineStr">
        <is>
          <t>Single Image</t>
        </is>
      </c>
      <c r="F15" s="11" t="inlineStr">
        <is>
          <t>Light</t>
        </is>
      </c>
      <c r="G15" s="29" t="inlineStr">
        <is>
          <t>IG + FB + TikTok photo + GBP</t>
        </is>
      </c>
      <c r="H15" s="29" t="inlineStr">
        <is>
          <t>Personality &amp; BTS</t>
        </is>
      </c>
      <c r="I15" s="29" t="inlineStr">
        <is>
          <t>Meet Your Injector | RN(EC). Botox obsessed. Brutally honest.</t>
        </is>
      </c>
      <c r="J15" s="29" t="inlineStr">
        <is>
          <t>Your face deserves a nurse practitioner who tells the truth about what you need and what you do not. Hi, I am Cleo. 💛
#npinjector #nursepractitioner #medspalife #luxurybeauty #aestheticnurse #skincareexpert #beautyclinic #selfcare #naturalresults #honestbeauty</t>
        </is>
      </c>
      <c r="K15" s="29" t="inlineStr">
        <is>
          <t>Say hi in the comments</t>
        </is>
      </c>
      <c r="L15" s="29" t="inlineStr">
        <is>
          <t>Set C</t>
        </is>
      </c>
      <c r="M15" s="29" t="inlineStr">
        <is>
          <t>Single image: Cleo portrait + credentials hook</t>
        </is>
      </c>
      <c r="N15" s="11" t="n"/>
      <c r="O15" s="17" t="inlineStr">
        <is>
          <t>https://github.com/RepoKing23/InstagramCarousel/tree/claude/blog-copy-sept-images-ct1od6/content/2026-09-04-meet-your-injector</t>
        </is>
      </c>
      <c r="P15" s="32" t="inlineStr">
        <is>
          <t>Open folder</t>
        </is>
      </c>
      <c r="Q15" s="11" t="inlineStr">
        <is>
          <t>Not designed yet</t>
        </is>
      </c>
      <c r="R15" s="11" t="n"/>
      <c r="S15" s="29" t="inlineStr">
        <is>
          <t>Idea</t>
        </is>
      </c>
      <c r="T15" s="54" t="n"/>
      <c r="U15" s="54" t="n"/>
      <c r="V15" s="54" t="n"/>
      <c r="W15" s="54" t="n"/>
      <c r="X15" s="54" t="n"/>
      <c r="Y15" s="54" t="n"/>
      <c r="Z15" s="11" t="n"/>
      <c r="AA15" s="11" t="n"/>
      <c r="AB15" s="11" t="inlineStr">
        <is>
          <t>Not designed yet</t>
        </is>
      </c>
    </row>
    <row r="16" ht="45.75" customHeight="1" s="42">
      <c r="A16" s="27" t="n">
        <v>46270</v>
      </c>
      <c r="B16" s="29" t="inlineStr">
        <is>
          <t>Sat</t>
        </is>
      </c>
      <c r="C16" s="29" t="n">
        <v>3</v>
      </c>
      <c r="D16" s="29" t="inlineStr">
        <is>
          <t>Botox Education Month</t>
        </is>
      </c>
      <c r="E16" s="29" t="inlineStr">
        <is>
          <t>Single Image</t>
        </is>
      </c>
      <c r="F16" s="11" t="inlineStr">
        <is>
          <t>Light</t>
        </is>
      </c>
      <c r="G16" s="29" t="inlineStr">
        <is>
          <t>IG + FB + TikTok photo + GBP</t>
        </is>
      </c>
      <c r="H16" s="29" t="inlineStr">
        <is>
          <t>Education</t>
        </is>
      </c>
      <c r="I16" s="29" t="inlineStr">
        <is>
          <t>Quote: Prevention Beats Erasing | Prevention beats erasing. Ask your friend who started early.</t>
        </is>
      </c>
      <c r="J16" s="29" t="inlineStr">
        <is>
          <t>Lines are easier to prevent than to erase. Save this reminder.
#npinjector #nursepractitioner #medspalife #luxurybeauty #aestheticnurse #skincareexpert #beautyclinic #selfcare #naturalresults #honestbeauty</t>
        </is>
      </c>
      <c r="K16" s="29" t="inlineStr">
        <is>
          <t>Save this</t>
        </is>
      </c>
      <c r="L16" s="29" t="inlineStr">
        <is>
          <t>Set C</t>
        </is>
      </c>
      <c r="M16" s="29" t="inlineStr">
        <is>
          <t>Quote card in brand style</t>
        </is>
      </c>
      <c r="N16" s="11" t="n"/>
      <c r="O16" s="17" t="inlineStr">
        <is>
          <t>https://github.com/RepoKing23/InstagramCarousel/tree/claude/blog-copy-sept-images-ct1od6/content/2026-09-05-quote-prevention-beats-erasing</t>
        </is>
      </c>
      <c r="P16" s="32" t="inlineStr">
        <is>
          <t>Open folder</t>
        </is>
      </c>
      <c r="Q16" s="11" t="inlineStr">
        <is>
          <t>Not designed yet</t>
        </is>
      </c>
      <c r="R16" s="11" t="n"/>
      <c r="S16" s="29" t="inlineStr">
        <is>
          <t>Idea</t>
        </is>
      </c>
      <c r="T16" s="54" t="n"/>
      <c r="U16" s="54" t="n"/>
      <c r="V16" s="54" t="n"/>
      <c r="W16" s="54" t="n"/>
      <c r="X16" s="54" t="n"/>
      <c r="Y16" s="54" t="n"/>
      <c r="Z16" s="11" t="n"/>
      <c r="AA16" s="11" t="n"/>
      <c r="AB16" s="11" t="inlineStr">
        <is>
          <t>Not designed yet</t>
        </is>
      </c>
    </row>
    <row r="17" ht="57" customHeight="1" s="42">
      <c r="A17" s="9" t="n">
        <v>46272</v>
      </c>
      <c r="B17" s="10" t="inlineStr">
        <is>
          <t>Mon</t>
        </is>
      </c>
      <c r="C17" s="10" t="n">
        <v>4</v>
      </c>
      <c r="D17" s="10" t="inlineStr">
        <is>
          <t>Botox Education Month</t>
        </is>
      </c>
      <c r="E17" s="10" t="inlineStr">
        <is>
          <t>Carousel</t>
        </is>
      </c>
      <c r="F17" s="11" t="inlineStr">
        <is>
          <t>Dark</t>
        </is>
      </c>
      <c r="G17" s="10" t="inlineStr">
        <is>
          <t>Instagram feed + GBP</t>
        </is>
      </c>
      <c r="H17" s="10" t="inlineStr">
        <is>
          <t>Education</t>
        </is>
      </c>
      <c r="I17" s="10" t="inlineStr">
        <is>
          <t>Botox vs Dysport: The Real Difference | Same family. Different personalities.</t>
        </is>
      </c>
      <c r="J17" s="10"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10" t="inlineStr">
        <is>
          <t>Book a consult. Link in bio</t>
        </is>
      </c>
      <c r="L17" s="10" t="inlineStr">
        <is>
          <t>Set A</t>
        </is>
      </c>
      <c r="M17" s="10" t="inlineStr">
        <is>
          <t>Design in editorial template</t>
        </is>
      </c>
      <c r="N17" s="11" t="n"/>
      <c r="O17" s="17" t="inlineStr">
        <is>
          <t>https://github.com/RepoKing23/InstagramCarousel/tree/claude/blog-copy-sept-images-ct1od6/content/2026-09-07-botox-vs-dysport-the-real</t>
        </is>
      </c>
      <c r="P17" s="21" t="inlineStr">
        <is>
          <t>Open folder</t>
        </is>
      </c>
      <c r="Q17" s="11" t="inlineStr">
        <is>
          <t>Not designed yet</t>
        </is>
      </c>
      <c r="R17" s="11" t="n"/>
      <c r="S17" s="10" t="inlineStr">
        <is>
          <t>Idea</t>
        </is>
      </c>
      <c r="T17" s="54" t="n"/>
      <c r="U17" s="54" t="n"/>
      <c r="V17" s="54" t="n"/>
      <c r="W17" s="54" t="n"/>
      <c r="X17" s="54" t="n"/>
      <c r="Y17" s="54" t="n"/>
      <c r="Z17" s="11" t="n"/>
      <c r="AA17" s="11" t="n"/>
      <c r="AB17" s="11" t="inlineStr">
        <is>
          <t>Not designed yet</t>
        </is>
      </c>
    </row>
    <row r="18" ht="57" customHeight="1" s="42">
      <c r="A18" s="27" t="n">
        <v>46273</v>
      </c>
      <c r="B18" s="29" t="inlineStr">
        <is>
          <t>Tue</t>
        </is>
      </c>
      <c r="C18" s="29" t="n">
        <v>4</v>
      </c>
      <c r="D18" s="29" t="inlineStr">
        <is>
          <t>Botox Education Month</t>
        </is>
      </c>
      <c r="E18" s="29" t="inlineStr">
        <is>
          <t>Single Image</t>
        </is>
      </c>
      <c r="F18" s="11" t="inlineStr">
        <is>
          <t>Light</t>
        </is>
      </c>
      <c r="G18" s="29" t="inlineStr">
        <is>
          <t>IG + FB + TikTok photo + GBP</t>
        </is>
      </c>
      <c r="H18" s="29" t="inlineStr">
        <is>
          <t>Education</t>
        </is>
      </c>
      <c r="I18" s="29" t="inlineStr">
        <is>
          <t>Botox vs Dysport at a Glance | Same family. Different personalities.</t>
        </is>
      </c>
      <c r="J18" s="29"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29" t="inlineStr">
        <is>
          <t>Full breakdown on our feed</t>
        </is>
      </c>
      <c r="L18" s="29" t="inlineStr">
        <is>
          <t>Set A</t>
        </is>
      </c>
      <c r="M18" s="29" t="inlineStr">
        <is>
          <t>Single image: side-by-side comparison card</t>
        </is>
      </c>
      <c r="N18" s="11" t="n"/>
      <c r="O18" s="17" t="inlineStr">
        <is>
          <t>https://github.com/RepoKing23/InstagramCarousel/tree/claude/blog-copy-sept-images-ct1od6/content/2026-09-08-botox-vs-dysport-at-a</t>
        </is>
      </c>
      <c r="P18" s="32" t="inlineStr">
        <is>
          <t>Open folder</t>
        </is>
      </c>
      <c r="Q18" s="11" t="inlineStr">
        <is>
          <t>Not designed yet</t>
        </is>
      </c>
      <c r="R18" s="11" t="n"/>
      <c r="S18" s="29" t="inlineStr">
        <is>
          <t>Idea</t>
        </is>
      </c>
      <c r="T18" s="54" t="n"/>
      <c r="U18" s="54" t="n"/>
      <c r="V18" s="54" t="n"/>
      <c r="W18" s="54" t="n"/>
      <c r="X18" s="54" t="n"/>
      <c r="Y18" s="54" t="n"/>
      <c r="Z18" s="11" t="n"/>
      <c r="AA18" s="11" t="n"/>
      <c r="AB18" s="11" t="inlineStr">
        <is>
          <t>Not designed yet</t>
        </is>
      </c>
    </row>
    <row r="19" ht="57" customHeight="1" s="42">
      <c r="A19" s="9" t="n">
        <v>46275</v>
      </c>
      <c r="B19" s="10" t="inlineStr">
        <is>
          <t>Thu</t>
        </is>
      </c>
      <c r="C19" s="10" t="n">
        <v>4</v>
      </c>
      <c r="D19" s="10" t="inlineStr">
        <is>
          <t>Botox Education Month</t>
        </is>
      </c>
      <c r="E19" s="10" t="inlineStr">
        <is>
          <t>Carousel</t>
        </is>
      </c>
      <c r="F19" s="11" t="inlineStr">
        <is>
          <t>Light</t>
        </is>
      </c>
      <c r="G19" s="10" t="inlineStr">
        <is>
          <t>Instagram feed + GBP</t>
        </is>
      </c>
      <c r="H19" s="10" t="inlineStr">
        <is>
          <t>Education</t>
        </is>
      </c>
      <c r="I19" s="10" t="inlineStr">
        <is>
          <t>Botox Aftercare: The First 48 Hours | You got Botox. Now what?</t>
        </is>
      </c>
      <c r="J19" s="10"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10" t="inlineStr">
        <is>
          <t>Save this guide</t>
        </is>
      </c>
      <c r="L19" s="10" t="inlineStr">
        <is>
          <t>Set A</t>
        </is>
      </c>
      <c r="M19" s="10" t="inlineStr">
        <is>
          <t>Design in editorial template</t>
        </is>
      </c>
      <c r="N19" s="11" t="n"/>
      <c r="O19" s="17" t="inlineStr">
        <is>
          <t>https://github.com/RepoKing23/InstagramCarousel/tree/claude/blog-copy-sept-images-ct1od6/content/2026-09-10-botox-aftercare-the-first-48</t>
        </is>
      </c>
      <c r="P19" s="21" t="inlineStr">
        <is>
          <t>Open folder</t>
        </is>
      </c>
      <c r="Q19" s="11" t="inlineStr">
        <is>
          <t>Not designed yet</t>
        </is>
      </c>
      <c r="R19" s="11" t="n"/>
      <c r="S19" s="10" t="inlineStr">
        <is>
          <t>Idea</t>
        </is>
      </c>
      <c r="T19" s="54" t="n"/>
      <c r="U19" s="54" t="n"/>
      <c r="V19" s="54" t="n"/>
      <c r="W19" s="54" t="n"/>
      <c r="X19" s="54" t="n"/>
      <c r="Y19" s="54" t="n"/>
      <c r="Z19" s="11" t="n"/>
      <c r="AA19" s="11" t="n"/>
      <c r="AB19" s="11" t="inlineStr">
        <is>
          <t>Not designed yet</t>
        </is>
      </c>
    </row>
    <row r="20" ht="57" customHeight="1" s="42">
      <c r="A20" s="27" t="n">
        <v>46276</v>
      </c>
      <c r="B20" s="29" t="inlineStr">
        <is>
          <t>Fri</t>
        </is>
      </c>
      <c r="C20" s="29" t="n">
        <v>4</v>
      </c>
      <c r="D20" s="29" t="inlineStr">
        <is>
          <t>Botox Education Month</t>
        </is>
      </c>
      <c r="E20" s="29" t="inlineStr">
        <is>
          <t>Single Image</t>
        </is>
      </c>
      <c r="F20" s="11" t="inlineStr">
        <is>
          <t>Light</t>
        </is>
      </c>
      <c r="G20" s="29" t="inlineStr">
        <is>
          <t>IG + FB + TikTok photo + GBP</t>
        </is>
      </c>
      <c r="H20" s="29" t="inlineStr">
        <is>
          <t>Trust &amp; Proof</t>
        </is>
      </c>
      <c r="I20" s="29" t="inlineStr">
        <is>
          <t>The Face Map | Every face gets a plan.</t>
        </is>
      </c>
      <c r="J20" s="29" t="inlineStr">
        <is>
          <t>Nothing touches your skin before I map your anatomy, your movement, and your goals. Planning is the treatment.
#npinjector #nursepractitioner #medspalife #luxurybeauty #aestheticnurse #skincareexpert #beautyclinic #selfcare #naturalresults #honestbeauty</t>
        </is>
      </c>
      <c r="K20" s="29" t="inlineStr">
        <is>
          <t>Book your mapping. Link in bio</t>
        </is>
      </c>
      <c r="L20" s="29" t="inlineStr">
        <is>
          <t>Set C</t>
        </is>
      </c>
      <c r="M20" s="29" t="inlineStr">
        <is>
          <t>Single image: assessment photo + hook</t>
        </is>
      </c>
      <c r="N20" s="11" t="n"/>
      <c r="O20" s="17" t="inlineStr">
        <is>
          <t>https://github.com/RepoKing23/InstagramCarousel/tree/claude/blog-copy-sept-images-ct1od6/content/2026-09-11-the-face-map</t>
        </is>
      </c>
      <c r="P20" s="32" t="inlineStr">
        <is>
          <t>Open folder</t>
        </is>
      </c>
      <c r="Q20" s="11" t="inlineStr">
        <is>
          <t>Not designed yet</t>
        </is>
      </c>
      <c r="R20" s="11" t="n"/>
      <c r="S20" s="29" t="inlineStr">
        <is>
          <t>Idea</t>
        </is>
      </c>
      <c r="T20" s="54" t="n"/>
      <c r="U20" s="54" t="n"/>
      <c r="V20" s="54" t="n"/>
      <c r="W20" s="54" t="n"/>
      <c r="X20" s="54" t="n"/>
      <c r="Y20" s="54" t="n"/>
      <c r="Z20" s="11" t="n"/>
      <c r="AA20" s="11" t="n"/>
      <c r="AB20" s="11" t="inlineStr">
        <is>
          <t>Not designed yet</t>
        </is>
      </c>
    </row>
    <row r="21" ht="57" customHeight="1" s="42">
      <c r="A21" s="27" t="n">
        <v>46277</v>
      </c>
      <c r="B21" s="29" t="inlineStr">
        <is>
          <t>Sat</t>
        </is>
      </c>
      <c r="C21" s="29" t="n">
        <v>4</v>
      </c>
      <c r="D21" s="29" t="inlineStr">
        <is>
          <t>Botox Education Month</t>
        </is>
      </c>
      <c r="E21" s="29" t="inlineStr">
        <is>
          <t>Single Image</t>
        </is>
      </c>
      <c r="F21" s="11" t="inlineStr">
        <is>
          <t>Dark</t>
        </is>
      </c>
      <c r="G21" s="29" t="inlineStr">
        <is>
          <t>IG + FB + TikTok photo + GBP</t>
        </is>
      </c>
      <c r="H21" s="29" t="inlineStr">
        <is>
          <t>Education</t>
        </is>
      </c>
      <c r="I21" s="29" t="inlineStr">
        <is>
          <t>FAQ: Does Botox Hurt? | Honest answer, no fluff.</t>
        </is>
      </c>
      <c r="J21" s="29"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29" t="inlineStr">
        <is>
          <t>More questions? DM me</t>
        </is>
      </c>
      <c r="L21" s="29" t="inlineStr">
        <is>
          <t>Set C</t>
        </is>
      </c>
      <c r="M21" s="29" t="inlineStr">
        <is>
          <t>FAQ card in brand style</t>
        </is>
      </c>
      <c r="N21" s="11" t="n"/>
      <c r="O21" s="17" t="inlineStr">
        <is>
          <t>https://github.com/RepoKing23/InstagramCarousel/tree/claude/blog-copy-sept-images-ct1od6/content/2026-09-12-faq-does-botox-hurt</t>
        </is>
      </c>
      <c r="P21" s="32" t="inlineStr">
        <is>
          <t>Open folder</t>
        </is>
      </c>
      <c r="Q21" s="11" t="inlineStr">
        <is>
          <t>Not designed yet</t>
        </is>
      </c>
      <c r="R21" s="11" t="n"/>
      <c r="S21" s="29" t="inlineStr">
        <is>
          <t>Idea</t>
        </is>
      </c>
      <c r="T21" s="54" t="n"/>
      <c r="U21" s="54" t="n"/>
      <c r="V21" s="54" t="n"/>
      <c r="W21" s="54" t="n"/>
      <c r="X21" s="54" t="n"/>
      <c r="Y21" s="54" t="n"/>
      <c r="Z21" s="11" t="n"/>
      <c r="AA21" s="11" t="n"/>
      <c r="AB21" s="11" t="inlineStr">
        <is>
          <t>Not designed yet</t>
        </is>
      </c>
    </row>
    <row r="22" ht="57" customHeight="1" s="42">
      <c r="A22" s="9" t="n">
        <v>46279</v>
      </c>
      <c r="B22" s="10" t="inlineStr">
        <is>
          <t>Mon</t>
        </is>
      </c>
      <c r="C22" s="10" t="n">
        <v>5</v>
      </c>
      <c r="D22" s="10" t="inlineStr">
        <is>
          <t>Botox Education Month</t>
        </is>
      </c>
      <c r="E22" s="10" t="inlineStr">
        <is>
          <t>Carousel</t>
        </is>
      </c>
      <c r="F22" s="11" t="inlineStr">
        <is>
          <t>Dark</t>
        </is>
      </c>
      <c r="G22" s="10" t="inlineStr">
        <is>
          <t>Instagram feed + GBP</t>
        </is>
      </c>
      <c r="H22" s="10" t="inlineStr">
        <is>
          <t>Trust &amp; Proof</t>
        </is>
      </c>
      <c r="I22" s="10" t="inlineStr">
        <is>
          <t>5 Things Botox Can't Do | Honest expectations, always.</t>
        </is>
      </c>
      <c r="J22" s="10"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10" t="inlineStr">
        <is>
          <t>Comment your questions</t>
        </is>
      </c>
      <c r="L22" s="10" t="inlineStr">
        <is>
          <t>Set A</t>
        </is>
      </c>
      <c r="M22" s="10" t="inlineStr">
        <is>
          <t>Design in editorial template</t>
        </is>
      </c>
      <c r="N22" s="11" t="n"/>
      <c r="O22" s="17" t="inlineStr">
        <is>
          <t>https://github.com/RepoKing23/InstagramCarousel/tree/claude/blog-copy-sept-images-ct1od6/content/2026-09-14-5-things-botox-can-t</t>
        </is>
      </c>
      <c r="P22" s="21" t="inlineStr">
        <is>
          <t>Open folder</t>
        </is>
      </c>
      <c r="Q22" s="11" t="inlineStr">
        <is>
          <t>Not designed yet</t>
        </is>
      </c>
      <c r="R22" s="11" t="n"/>
      <c r="S22" s="10" t="inlineStr">
        <is>
          <t>Idea</t>
        </is>
      </c>
      <c r="T22" s="54" t="n"/>
      <c r="U22" s="54" t="n"/>
      <c r="V22" s="54" t="n"/>
      <c r="W22" s="54" t="n"/>
      <c r="X22" s="54" t="n"/>
      <c r="Y22" s="54" t="n"/>
      <c r="Z22" s="11" t="n"/>
      <c r="AA22" s="11" t="n"/>
      <c r="AB22" s="11" t="inlineStr">
        <is>
          <t>Not designed yet</t>
        </is>
      </c>
    </row>
    <row r="23" ht="57" customHeight="1" s="42">
      <c r="A23" s="27" t="n">
        <v>46280</v>
      </c>
      <c r="B23" s="29" t="inlineStr">
        <is>
          <t>Tue</t>
        </is>
      </c>
      <c r="C23" s="29" t="n">
        <v>5</v>
      </c>
      <c r="D23" s="29" t="inlineStr">
        <is>
          <t>Botox Education Month</t>
        </is>
      </c>
      <c r="E23" s="29" t="inlineStr">
        <is>
          <t>Single Image</t>
        </is>
      </c>
      <c r="F23" s="11" t="inlineStr">
        <is>
          <t>Light</t>
        </is>
      </c>
      <c r="G23" s="29" t="inlineStr">
        <is>
          <t>IG + FB + TikTok photo + GBP</t>
        </is>
      </c>
      <c r="H23" s="29" t="inlineStr">
        <is>
          <t>Education</t>
        </is>
      </c>
      <c r="I23" s="29" t="inlineStr">
        <is>
          <t>What Botox Can't Fix | Honest expectations, always.</t>
        </is>
      </c>
      <c r="J23" s="29"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29" t="inlineStr">
        <is>
          <t>Save this</t>
        </is>
      </c>
      <c r="L23" s="29" t="inlineStr">
        <is>
          <t>Set A</t>
        </is>
      </c>
      <c r="M23" s="29" t="inlineStr">
        <is>
          <t>Single image: myth-vs-reality card</t>
        </is>
      </c>
      <c r="N23" s="11" t="n"/>
      <c r="O23" s="17" t="inlineStr">
        <is>
          <t>https://github.com/RepoKing23/InstagramCarousel/tree/claude/blog-copy-sept-images-ct1od6/content/2026-09-15-what-botox-can-t-fix</t>
        </is>
      </c>
      <c r="P23" s="32" t="inlineStr">
        <is>
          <t>Open folder</t>
        </is>
      </c>
      <c r="Q23" s="11" t="inlineStr">
        <is>
          <t>Not designed yet</t>
        </is>
      </c>
      <c r="R23" s="11" t="n"/>
      <c r="S23" s="29" t="inlineStr">
        <is>
          <t>Idea</t>
        </is>
      </c>
      <c r="T23" s="54" t="n"/>
      <c r="U23" s="54" t="n"/>
      <c r="V23" s="54" t="n"/>
      <c r="W23" s="54" t="n"/>
      <c r="X23" s="54" t="n"/>
      <c r="Y23" s="54" t="n"/>
      <c r="Z23" s="11" t="n"/>
      <c r="AA23" s="11" t="n"/>
      <c r="AB23" s="11" t="inlineStr">
        <is>
          <t>Not designed yet</t>
        </is>
      </c>
    </row>
    <row r="24" ht="57" customHeight="1" s="42">
      <c r="A24" s="9" t="n">
        <v>46282</v>
      </c>
      <c r="B24" s="10" t="inlineStr">
        <is>
          <t>Thu</t>
        </is>
      </c>
      <c r="C24" s="10" t="n">
        <v>5</v>
      </c>
      <c r="D24" s="10" t="inlineStr">
        <is>
          <t>Botox Education Month</t>
        </is>
      </c>
      <c r="E24" s="10" t="inlineStr">
        <is>
          <t>Carousel</t>
        </is>
      </c>
      <c r="F24" s="11" t="inlineStr">
        <is>
          <t>Light</t>
        </is>
      </c>
      <c r="G24" s="10" t="inlineStr">
        <is>
          <t>Instagram feed + GBP</t>
        </is>
      </c>
      <c r="H24" s="10" t="inlineStr">
        <is>
          <t>Trust &amp; Proof</t>
        </is>
      </c>
      <c r="I24" s="10" t="inlineStr">
        <is>
          <t>Still You, Just Refreshed | You won't look done. You'll look rested.</t>
        </is>
      </c>
      <c r="J24" s="10"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10" t="inlineStr">
        <is>
          <t>DM GLOW to start</t>
        </is>
      </c>
      <c r="L24" s="10" t="inlineStr">
        <is>
          <t>Set C</t>
        </is>
      </c>
      <c r="M24" s="10" t="inlineStr">
        <is>
          <t>Template exists (design/slides.html), needs photos</t>
        </is>
      </c>
      <c r="N24" s="11" t="n"/>
      <c r="O24" s="17" t="inlineStr">
        <is>
          <t>https://github.com/RepoKing23/InstagramCarousel/tree/claude/blog-copy-sept-images-ct1od6/content/2026-09-17-still-you-just-refreshed</t>
        </is>
      </c>
      <c r="P24" s="21" t="inlineStr">
        <is>
          <t>Open folder</t>
        </is>
      </c>
      <c r="Q24" s="11" t="inlineStr">
        <is>
          <t>Not designed yet</t>
        </is>
      </c>
      <c r="R24" s="11" t="n"/>
      <c r="S24" s="10" t="inlineStr">
        <is>
          <t>Idea</t>
        </is>
      </c>
      <c r="T24" s="54" t="n"/>
      <c r="U24" s="54" t="n"/>
      <c r="V24" s="54" t="n"/>
      <c r="W24" s="54" t="n"/>
      <c r="X24" s="54" t="n"/>
      <c r="Y24" s="54" t="n"/>
      <c r="Z24" s="11" t="n"/>
      <c r="AA24" s="11" t="n"/>
      <c r="AB24" s="11" t="inlineStr">
        <is>
          <t>Not designed yet</t>
        </is>
      </c>
    </row>
    <row r="25" ht="57" customHeight="1" s="42">
      <c r="A25" s="27" t="n">
        <v>46283</v>
      </c>
      <c r="B25" s="29" t="inlineStr">
        <is>
          <t>Fri</t>
        </is>
      </c>
      <c r="C25" s="29" t="n">
        <v>5</v>
      </c>
      <c r="D25" s="29" t="inlineStr">
        <is>
          <t>Botox Education Month</t>
        </is>
      </c>
      <c r="E25" s="29" t="inlineStr">
        <is>
          <t>Single Image</t>
        </is>
      </c>
      <c r="F25" s="11" t="inlineStr">
        <is>
          <t>Light</t>
        </is>
      </c>
      <c r="G25" s="29" t="inlineStr">
        <is>
          <t>IG + FB + TikTok photo + GBP</t>
        </is>
      </c>
      <c r="H25" s="29" t="inlineStr">
        <is>
          <t>Education</t>
        </is>
      </c>
      <c r="I25" s="29" t="inlineStr">
        <is>
          <t>Myth vs Truth: The Frozen Face | The classic fear, debunked.</t>
        </is>
      </c>
      <c r="J25" s="29"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29" t="inlineStr">
        <is>
          <t>Share with a friend</t>
        </is>
      </c>
      <c r="L25" s="29" t="inlineStr">
        <is>
          <t>Set A</t>
        </is>
      </c>
      <c r="M25" s="29" t="inlineStr">
        <is>
          <t>Single image: myth vs truth split card</t>
        </is>
      </c>
      <c r="N25" s="11" t="n"/>
      <c r="O25" s="17" t="inlineStr">
        <is>
          <t>https://github.com/RepoKing23/InstagramCarousel/tree/claude/blog-copy-sept-images-ct1od6/content/2026-09-18-myth-vs-truth-the-frozen</t>
        </is>
      </c>
      <c r="P25" s="32" t="inlineStr">
        <is>
          <t>Open folder</t>
        </is>
      </c>
      <c r="Q25" s="11" t="inlineStr">
        <is>
          <t>Not designed yet</t>
        </is>
      </c>
      <c r="R25" s="11" t="n"/>
      <c r="S25" s="29" t="inlineStr">
        <is>
          <t>Idea</t>
        </is>
      </c>
      <c r="T25" s="54" t="n"/>
      <c r="U25" s="54" t="n"/>
      <c r="V25" s="54" t="n"/>
      <c r="W25" s="54" t="n"/>
      <c r="X25" s="54" t="n"/>
      <c r="Y25" s="54" t="n"/>
      <c r="Z25" s="11" t="n"/>
      <c r="AA25" s="11" t="n"/>
      <c r="AB25" s="11" t="inlineStr">
        <is>
          <t>Not designed yet</t>
        </is>
      </c>
    </row>
    <row r="26" ht="57" customHeight="1" s="42">
      <c r="A26" s="27" t="n">
        <v>46284</v>
      </c>
      <c r="B26" s="29" t="inlineStr">
        <is>
          <t>Sat</t>
        </is>
      </c>
      <c r="C26" s="29" t="n">
        <v>5</v>
      </c>
      <c r="D26" s="29" t="inlineStr">
        <is>
          <t>Botox Education Month</t>
        </is>
      </c>
      <c r="E26" s="29" t="inlineStr">
        <is>
          <t>Single Image</t>
        </is>
      </c>
      <c r="F26" s="11" t="inlineStr">
        <is>
          <t>Dark</t>
        </is>
      </c>
      <c r="G26" s="29" t="inlineStr">
        <is>
          <t>IG + FB + TikTok photo + GBP</t>
        </is>
      </c>
      <c r="H26" s="29" t="inlineStr">
        <is>
          <t>Trust &amp; Proof</t>
        </is>
      </c>
      <c r="I26" s="29" t="inlineStr">
        <is>
          <t>Client Words: Natural Results | Nobody guessed. That was the whole point.</t>
        </is>
      </c>
      <c r="J26" s="29" t="inlineStr">
        <is>
          <t>Nobody could tell. They just kept saying I looked happy and rested. That is the whole goal. 💛 (Shared with permission.)
#npinjector #nursepractitioner #medspalife #luxurybeauty #aestheticnurse #skincareexpert #beautyclinic #selfcare #naturalresults #honestbeauty</t>
        </is>
      </c>
      <c r="K26" s="29" t="inlineStr">
        <is>
          <t>Your turn. Link in bio</t>
        </is>
      </c>
      <c r="L26" s="29" t="inlineStr">
        <is>
          <t>Set C</t>
        </is>
      </c>
      <c r="M26" s="29" t="inlineStr">
        <is>
          <t>Testimonial quote card (with consent)</t>
        </is>
      </c>
      <c r="N26" s="11" t="n"/>
      <c r="O26" s="17" t="inlineStr">
        <is>
          <t>https://github.com/RepoKing23/InstagramCarousel/tree/claude/blog-copy-sept-images-ct1od6/content/2026-09-19-client-words-natural-results</t>
        </is>
      </c>
      <c r="P26" s="32" t="inlineStr">
        <is>
          <t>Open folder</t>
        </is>
      </c>
      <c r="Q26" s="11" t="inlineStr">
        <is>
          <t>Not designed yet</t>
        </is>
      </c>
      <c r="R26" s="11" t="n"/>
      <c r="S26" s="29" t="inlineStr">
        <is>
          <t>Idea</t>
        </is>
      </c>
      <c r="T26" s="54" t="n"/>
      <c r="U26" s="54" t="n"/>
      <c r="V26" s="54" t="n"/>
      <c r="W26" s="54" t="n"/>
      <c r="X26" s="54" t="n"/>
      <c r="Y26" s="54" t="n"/>
      <c r="Z26" s="11" t="n"/>
      <c r="AA26" s="11" t="n"/>
      <c r="AB26" s="11" t="inlineStr">
        <is>
          <t>Not designed yet</t>
        </is>
      </c>
    </row>
    <row r="27" ht="57" customHeight="1" s="42">
      <c r="A27" s="9" t="n">
        <v>46286</v>
      </c>
      <c r="B27" s="10" t="inlineStr">
        <is>
          <t>Mon</t>
        </is>
      </c>
      <c r="C27" s="10" t="n">
        <v>6</v>
      </c>
      <c r="D27" s="10" t="inlineStr">
        <is>
          <t>Botox Education Month</t>
        </is>
      </c>
      <c r="E27" s="10" t="inlineStr">
        <is>
          <t>Carousel</t>
        </is>
      </c>
      <c r="F27" s="11" t="inlineStr">
        <is>
          <t>Light</t>
        </is>
      </c>
      <c r="G27" s="10" t="inlineStr">
        <is>
          <t>Instagram feed + GBP</t>
        </is>
      </c>
      <c r="H27" s="10" t="inlineStr">
        <is>
          <t>Education</t>
        </is>
      </c>
      <c r="I27" s="10" t="inlineStr">
        <is>
          <t>Botox or Filler? You Might Be Asking for the Wrong One | Lines or volume? They are not the same problem.</t>
        </is>
      </c>
      <c r="J27" s="10"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10" t="inlineStr">
        <is>
          <t>DM CONSULT and I will help</t>
        </is>
      </c>
      <c r="L27" s="10" t="inlineStr">
        <is>
          <t>Set B</t>
        </is>
      </c>
      <c r="M27" s="10" t="inlineStr">
        <is>
          <t>Design in editorial template</t>
        </is>
      </c>
      <c r="N27" s="11" t="n"/>
      <c r="O27" s="17" t="inlineStr">
        <is>
          <t>https://github.com/RepoKing23/InstagramCarousel/tree/claude/blog-copy-sept-images-ct1od6/content/2026-09-21-botox-or-filler-you-might</t>
        </is>
      </c>
      <c r="P27" s="21" t="inlineStr">
        <is>
          <t>Open folder</t>
        </is>
      </c>
      <c r="Q27" s="11" t="inlineStr">
        <is>
          <t>Not designed yet</t>
        </is>
      </c>
      <c r="R27" s="11" t="n"/>
      <c r="S27" s="10" t="inlineStr">
        <is>
          <t>Idea</t>
        </is>
      </c>
      <c r="T27" s="54" t="n"/>
      <c r="U27" s="54" t="n"/>
      <c r="V27" s="54" t="n"/>
      <c r="W27" s="54" t="n"/>
      <c r="X27" s="54" t="n"/>
      <c r="Y27" s="54" t="n"/>
      <c r="Z27" s="11" t="n"/>
      <c r="AA27" s="11" t="n"/>
      <c r="AB27" s="11" t="inlineStr">
        <is>
          <t>Not designed yet</t>
        </is>
      </c>
    </row>
    <row r="28" ht="57" customHeight="1" s="42">
      <c r="A28" s="27" t="n">
        <v>46287</v>
      </c>
      <c r="B28" s="29" t="inlineStr">
        <is>
          <t>Tue</t>
        </is>
      </c>
      <c r="C28" s="29" t="n">
        <v>6</v>
      </c>
      <c r="D28" s="29" t="inlineStr">
        <is>
          <t>Botox Education Month</t>
        </is>
      </c>
      <c r="E28" s="29" t="inlineStr">
        <is>
          <t>Single Image</t>
        </is>
      </c>
      <c r="F28" s="11" t="inlineStr">
        <is>
          <t>Light</t>
        </is>
      </c>
      <c r="G28" s="29" t="inlineStr">
        <is>
          <t>IG + FB + TikTok photo + GBP</t>
        </is>
      </c>
      <c r="H28" s="29" t="inlineStr">
        <is>
          <t>Education</t>
        </is>
      </c>
      <c r="I28" s="29" t="inlineStr">
        <is>
          <t>Lines vs Volume | Which one is your concern?</t>
        </is>
      </c>
      <c r="J28" s="29" t="inlineStr">
        <is>
          <t>Smile in the mirror. Movement lines need Botox. Lost volume needs filler. The answer decides your plan.
#dermalfiller #lipfiller #cheekfiller #naturalfiller #facialbalancing #lipfillernatural #aestheticnurse #medspa #fillerjourney #lipgoals</t>
        </is>
      </c>
      <c r="K28" s="29" t="inlineStr">
        <is>
          <t>DM CONSULT for help</t>
        </is>
      </c>
      <c r="L28" s="29" t="inlineStr">
        <is>
          <t>Set B</t>
        </is>
      </c>
      <c r="M28" s="29" t="inlineStr">
        <is>
          <t>Single image: two-column explainer card</t>
        </is>
      </c>
      <c r="N28" s="11" t="n"/>
      <c r="O28" s="17" t="inlineStr">
        <is>
          <t>https://github.com/RepoKing23/InstagramCarousel/tree/claude/blog-copy-sept-images-ct1od6/content/2026-09-22-lines-vs-volume</t>
        </is>
      </c>
      <c r="P28" s="32" t="inlineStr">
        <is>
          <t>Open folder</t>
        </is>
      </c>
      <c r="Q28" s="11" t="inlineStr">
        <is>
          <t>Not designed yet</t>
        </is>
      </c>
      <c r="R28" s="11" t="n"/>
      <c r="S28" s="29" t="inlineStr">
        <is>
          <t>Idea</t>
        </is>
      </c>
      <c r="T28" s="54" t="n"/>
      <c r="U28" s="54" t="n"/>
      <c r="V28" s="54" t="n"/>
      <c r="W28" s="54" t="n"/>
      <c r="X28" s="54" t="n"/>
      <c r="Y28" s="54" t="n"/>
      <c r="Z28" s="11" t="n"/>
      <c r="AA28" s="11" t="n"/>
      <c r="AB28" s="11" t="inlineStr">
        <is>
          <t>Not designed yet</t>
        </is>
      </c>
    </row>
    <row r="29" ht="57" customHeight="1" s="42">
      <c r="A29" s="9" t="n">
        <v>46289</v>
      </c>
      <c r="B29" s="10" t="inlineStr">
        <is>
          <t>Thu</t>
        </is>
      </c>
      <c r="C29" s="10" t="n">
        <v>6</v>
      </c>
      <c r="D29" s="10" t="inlineStr">
        <is>
          <t>Botox Education Month</t>
        </is>
      </c>
      <c r="E29" s="10" t="inlineStr">
        <is>
          <t>Carousel</t>
        </is>
      </c>
      <c r="F29" s="11" t="inlineStr">
        <is>
          <t>Light</t>
        </is>
      </c>
      <c r="G29" s="10" t="inlineStr">
        <is>
          <t>Instagram feed + GBP</t>
        </is>
      </c>
      <c r="H29" s="10" t="inlineStr">
        <is>
          <t>Personality &amp; BTS</t>
        </is>
      </c>
      <c r="I29" s="10" t="inlineStr">
        <is>
          <t>Ask NP Cleo: Your Questions, Answered Honestly | You asked. I answered. No filter.</t>
        </is>
      </c>
      <c r="J29" s="10"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10" t="inlineStr">
        <is>
          <t>Drop your question below</t>
        </is>
      </c>
      <c r="L29" s="10" t="inlineStr">
        <is>
          <t>Set C</t>
        </is>
      </c>
      <c r="M29" s="10" t="inlineStr">
        <is>
          <t>Design Q&amp;A layout from real DM questions</t>
        </is>
      </c>
      <c r="N29" s="11" t="n"/>
      <c r="O29" s="17" t="inlineStr">
        <is>
          <t>https://github.com/RepoKing23/InstagramCarousel/tree/claude/blog-copy-sept-images-ct1od6/content/2026-09-24-ask-np-cleo-your-questions</t>
        </is>
      </c>
      <c r="P29" s="21" t="inlineStr">
        <is>
          <t>Open folder</t>
        </is>
      </c>
      <c r="Q29" s="11" t="inlineStr">
        <is>
          <t>Not designed yet</t>
        </is>
      </c>
      <c r="R29" s="11" t="n"/>
      <c r="S29" s="10" t="inlineStr">
        <is>
          <t>Idea</t>
        </is>
      </c>
      <c r="T29" s="54" t="n"/>
      <c r="U29" s="54" t="n"/>
      <c r="V29" s="54" t="n"/>
      <c r="W29" s="54" t="n"/>
      <c r="X29" s="54" t="n"/>
      <c r="Y29" s="54" t="n"/>
      <c r="Z29" s="11" t="n"/>
      <c r="AA29" s="11" t="n"/>
      <c r="AB29" s="11" t="inlineStr">
        <is>
          <t>Not designed yet</t>
        </is>
      </c>
    </row>
    <row r="30" ht="57" customHeight="1" s="42">
      <c r="A30" s="27" t="n">
        <v>46290</v>
      </c>
      <c r="B30" s="29" t="inlineStr">
        <is>
          <t>Fri</t>
        </is>
      </c>
      <c r="C30" s="29" t="n">
        <v>6</v>
      </c>
      <c r="D30" s="29" t="inlineStr">
        <is>
          <t>Botox Education Month</t>
        </is>
      </c>
      <c r="E30" s="29" t="inlineStr">
        <is>
          <t>Single Image</t>
        </is>
      </c>
      <c r="F30" s="11" t="inlineStr">
        <is>
          <t>Dark</t>
        </is>
      </c>
      <c r="G30" s="29" t="inlineStr">
        <is>
          <t>IG + FB + TikTok photo + GBP</t>
        </is>
      </c>
      <c r="H30" s="29" t="inlineStr">
        <is>
          <t>Personality &amp; BTS</t>
        </is>
      </c>
      <c r="I30" s="29" t="inlineStr">
        <is>
          <t>Your DMs, Answered | The question everyone asks quietly.</t>
        </is>
      </c>
      <c r="J30" s="29" t="inlineStr">
        <is>
          <t>You asked: will people know I had work done? Honest answer: only if you want them to. Subtle is the standard here.
#npinjector #nursepractitioner #medspalife #luxurybeauty #aestheticnurse #skincareexpert #beautyclinic #selfcare #naturalresults #honestbeauty</t>
        </is>
      </c>
      <c r="K30" s="29" t="inlineStr">
        <is>
          <t>Send your question</t>
        </is>
      </c>
      <c r="L30" s="29" t="inlineStr">
        <is>
          <t>Set C</t>
        </is>
      </c>
      <c r="M30" s="29" t="inlineStr">
        <is>
          <t>Single image: Q&amp;A card in brand style</t>
        </is>
      </c>
      <c r="N30" s="11" t="n"/>
      <c r="O30" s="17" t="inlineStr">
        <is>
          <t>https://github.com/RepoKing23/InstagramCarousel/tree/claude/blog-copy-sept-images-ct1od6/content/2026-09-25-your-dms-answered</t>
        </is>
      </c>
      <c r="P30" s="32" t="inlineStr">
        <is>
          <t>Open folder</t>
        </is>
      </c>
      <c r="Q30" s="11" t="inlineStr">
        <is>
          <t>Not designed yet</t>
        </is>
      </c>
      <c r="R30" s="11" t="n"/>
      <c r="S30" s="29" t="inlineStr">
        <is>
          <t>Idea</t>
        </is>
      </c>
      <c r="T30" s="54" t="n"/>
      <c r="U30" s="54" t="n"/>
      <c r="V30" s="54" t="n"/>
      <c r="W30" s="54" t="n"/>
      <c r="X30" s="54" t="n"/>
      <c r="Y30" s="54" t="n"/>
      <c r="Z30" s="11" t="n"/>
      <c r="AA30" s="11" t="n"/>
      <c r="AB30" s="11" t="inlineStr">
        <is>
          <t>Not designed yet</t>
        </is>
      </c>
    </row>
    <row r="31" ht="57" customHeight="1" s="42">
      <c r="A31" s="27" t="n">
        <v>46291</v>
      </c>
      <c r="B31" s="29" t="inlineStr">
        <is>
          <t>Sat</t>
        </is>
      </c>
      <c r="C31" s="29" t="n">
        <v>6</v>
      </c>
      <c r="D31" s="29" t="inlineStr">
        <is>
          <t>Botox Education Month</t>
        </is>
      </c>
      <c r="E31" s="29" t="inlineStr">
        <is>
          <t>Single Image</t>
        </is>
      </c>
      <c r="F31" s="11" t="inlineStr">
        <is>
          <t>Dark</t>
        </is>
      </c>
      <c r="G31" s="29" t="inlineStr">
        <is>
          <t>IG + FB + TikTok photo + GBP</t>
        </is>
      </c>
      <c r="H31" s="29" t="inlineStr">
        <is>
          <t>Personality &amp; BTS</t>
        </is>
      </c>
      <c r="I31" s="29" t="inlineStr">
        <is>
          <t>Poll: What Should NP Cleo Cover Next? | You pick what I cover next month.</t>
        </is>
      </c>
      <c r="J31" s="29" t="inlineStr">
        <is>
          <t>October is filler month. What do you want the truth about first: lips, cheeks, or under eyes? Vote. 👇
#npinjector #nursepractitioner #medspalife #luxurybeauty #aestheticnurse #skincareexpert #beautyclinic #selfcare #naturalresults #honestbeauty</t>
        </is>
      </c>
      <c r="K31" s="29" t="inlineStr">
        <is>
          <t>Vote in comments</t>
        </is>
      </c>
      <c r="L31" s="29" t="inlineStr">
        <is>
          <t>Set C</t>
        </is>
      </c>
      <c r="M31" s="29" t="inlineStr">
        <is>
          <t>Poll card + matching story poll</t>
        </is>
      </c>
      <c r="N31" s="11" t="n"/>
      <c r="O31" s="17" t="inlineStr">
        <is>
          <t>https://github.com/RepoKing23/InstagramCarousel/tree/claude/blog-copy-sept-images-ct1od6/content/2026-09-26-poll-what-should-np-cleo</t>
        </is>
      </c>
      <c r="P31" s="32" t="inlineStr">
        <is>
          <t>Open folder</t>
        </is>
      </c>
      <c r="Q31" s="11" t="inlineStr">
        <is>
          <t>Not designed yet</t>
        </is>
      </c>
      <c r="R31" s="11" t="n"/>
      <c r="S31" s="29" t="inlineStr">
        <is>
          <t>Idea</t>
        </is>
      </c>
      <c r="T31" s="54" t="n"/>
      <c r="U31" s="54" t="n"/>
      <c r="V31" s="54" t="n"/>
      <c r="W31" s="54" t="n"/>
      <c r="X31" s="54" t="n"/>
      <c r="Y31" s="54" t="n"/>
      <c r="Z31" s="11" t="n"/>
      <c r="AA31" s="11" t="n"/>
      <c r="AB31" s="11" t="inlineStr">
        <is>
          <t>Not designed yet</t>
        </is>
      </c>
    </row>
    <row r="32" ht="57" customHeight="1" s="42">
      <c r="A32" s="9" t="n">
        <v>46293</v>
      </c>
      <c r="B32" s="10" t="inlineStr">
        <is>
          <t>Mon</t>
        </is>
      </c>
      <c r="C32" s="10" t="n">
        <v>7</v>
      </c>
      <c r="D32" s="10" t="inlineStr">
        <is>
          <t>Botox Education Month</t>
        </is>
      </c>
      <c r="E32" s="10" t="inlineStr">
        <is>
          <t>Carousel</t>
        </is>
      </c>
      <c r="F32" s="11" t="inlineStr">
        <is>
          <t>Light</t>
        </is>
      </c>
      <c r="G32" s="10" t="inlineStr">
        <is>
          <t>Instagram feed + GBP</t>
        </is>
      </c>
      <c r="H32" s="10" t="inlineStr">
        <is>
          <t>Education</t>
        </is>
      </c>
      <c r="I32" s="10" t="inlineStr">
        <is>
          <t>How Long Does Botox Really Last? | The honest timeline, month by month.</t>
        </is>
      </c>
      <c r="J32" s="10"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10" t="inlineStr">
        <is>
          <t>Save this timeline</t>
        </is>
      </c>
      <c r="L32" s="10" t="inlineStr">
        <is>
          <t>Set A</t>
        </is>
      </c>
      <c r="M32" s="10" t="inlineStr">
        <is>
          <t>Design timeline layout in editorial template</t>
        </is>
      </c>
      <c r="N32" s="11" t="n"/>
      <c r="O32" s="17" t="inlineStr">
        <is>
          <t>https://github.com/RepoKing23/InstagramCarousel/tree/claude/blog-copy-sept-images-ct1od6/content/2026-09-28-how-long-does-botox-really</t>
        </is>
      </c>
      <c r="P32" s="21" t="inlineStr">
        <is>
          <t>Open folder</t>
        </is>
      </c>
      <c r="Q32" s="11" t="inlineStr">
        <is>
          <t>Not designed yet</t>
        </is>
      </c>
      <c r="R32" s="11" t="n"/>
      <c r="S32" s="10" t="inlineStr">
        <is>
          <t>Idea</t>
        </is>
      </c>
      <c r="T32" s="54" t="n"/>
      <c r="U32" s="54" t="n"/>
      <c r="V32" s="54" t="n"/>
      <c r="W32" s="54" t="n"/>
      <c r="X32" s="54" t="n"/>
      <c r="Y32" s="54" t="n"/>
      <c r="Z32" s="11" t="n"/>
      <c r="AA32" s="11" t="n"/>
      <c r="AB32" s="11" t="inlineStr">
        <is>
          <t>Not designed yet</t>
        </is>
      </c>
    </row>
    <row r="33" ht="57" customHeight="1" s="42">
      <c r="A33" s="27" t="n">
        <v>46294</v>
      </c>
      <c r="B33" s="29" t="inlineStr">
        <is>
          <t>Tue</t>
        </is>
      </c>
      <c r="C33" s="29" t="n">
        <v>7</v>
      </c>
      <c r="D33" s="29" t="inlineStr">
        <is>
          <t>Botox Education Month</t>
        </is>
      </c>
      <c r="E33" s="29" t="inlineStr">
        <is>
          <t>Single Image</t>
        </is>
      </c>
      <c r="F33" s="11" t="inlineStr">
        <is>
          <t>Light</t>
        </is>
      </c>
      <c r="G33" s="29" t="inlineStr">
        <is>
          <t>IG + FB + TikTok photo + GBP</t>
        </is>
      </c>
      <c r="H33" s="29" t="inlineStr">
        <is>
          <t>Education</t>
        </is>
      </c>
      <c r="I33" s="29" t="inlineStr">
        <is>
          <t>The 3-Month Botox Timeline | Week by week, what to expect.</t>
        </is>
      </c>
      <c r="J33" s="29" t="inlineStr">
        <is>
          <t>Day 3 it starts. Week 2 it settles. Month 3 it softens. Save this so you know exactly what is normal.
#botox #botoxeducation #botoxmyths #preventativebotox #antiwrinkleinjections #nurseinjector #medspa #naturalbotox #botoxbeforeandafter #aestheticnurse</t>
        </is>
      </c>
      <c r="K33" s="29" t="inlineStr">
        <is>
          <t>Save this timeline</t>
        </is>
      </c>
      <c r="L33" s="29" t="inlineStr">
        <is>
          <t>Set A</t>
        </is>
      </c>
      <c r="M33" s="29" t="inlineStr">
        <is>
          <t>Single image: timeline infographic card</t>
        </is>
      </c>
      <c r="N33" s="11" t="n"/>
      <c r="O33" s="17" t="inlineStr">
        <is>
          <t>https://github.com/RepoKing23/InstagramCarousel/tree/claude/blog-copy-sept-images-ct1od6/content/2026-09-29-the-3-month-botox-timeline</t>
        </is>
      </c>
      <c r="P33" s="32" t="inlineStr">
        <is>
          <t>Open folder</t>
        </is>
      </c>
      <c r="Q33" s="11" t="inlineStr">
        <is>
          <t>Not designed yet</t>
        </is>
      </c>
      <c r="R33" s="11" t="n"/>
      <c r="S33" s="29" t="inlineStr">
        <is>
          <t>Idea</t>
        </is>
      </c>
      <c r="T33" s="54" t="n"/>
      <c r="U33" s="54" t="n"/>
      <c r="V33" s="54" t="n"/>
      <c r="W33" s="54" t="n"/>
      <c r="X33" s="54" t="n"/>
      <c r="Y33" s="54" t="n"/>
      <c r="Z33" s="11" t="n"/>
      <c r="AA33" s="11" t="n"/>
      <c r="AB33" s="11" t="inlineStr">
        <is>
          <t>Not designed yet</t>
        </is>
      </c>
    </row>
    <row r="34" ht="57" customHeight="1" s="42">
      <c r="A34" s="27" t="n">
        <v>46296</v>
      </c>
      <c r="B34" s="29" t="inlineStr">
        <is>
          <t>Thu</t>
        </is>
      </c>
      <c r="C34" s="29" t="n">
        <v>7</v>
      </c>
      <c r="D34" s="29" t="inlineStr">
        <is>
          <t>Botox &amp; Filler in Oakville</t>
        </is>
      </c>
      <c r="E34" s="29" t="inlineStr">
        <is>
          <t>Carousel</t>
        </is>
      </c>
      <c r="F34" s="11" t="inlineStr">
        <is>
          <t>Light</t>
        </is>
      </c>
      <c r="G34" s="29" t="inlineStr">
        <is>
          <t>Instagram feed + GBP</t>
        </is>
      </c>
      <c r="H34" s="29" t="inlineStr">
        <is>
          <t>Education</t>
        </is>
      </c>
      <c r="I34" s="29" t="inlineStr">
        <is>
          <t>Botox in Oakville: Your First Appointment | Everything to know before you book.</t>
        </is>
      </c>
      <c r="J34" s="29" t="inlineStr">
        <is>
          <t>Thinking about Botox in Oakville for the first time? Here is exactly what happens, from the consult to the two week check in, so nothing about your first appointment is a surprise. Save it, then send me your questions.
#botoxoakville #oakvillemedspa #burlingtonbotox #miltonmedspa #mississaugainjector #haltonregion #preventativebotox #botoxcanada #nursepractitionerinjector #naturalresults #luxurybeautybycleor #npcleo</t>
        </is>
      </c>
      <c r="K34" s="29" t="inlineStr">
        <is>
          <t>Save this before you book</t>
        </is>
      </c>
      <c r="L34" s="29" t="inlineStr">
        <is>
          <t>Set A</t>
        </is>
      </c>
      <c r="M34" s="29" t="inlineStr">
        <is>
          <t>DESIGNED, photo pending: 7 slides in this post's folder</t>
        </is>
      </c>
      <c r="N34" s="11" t="inlineStr">
        <is>
          <t>Photo pending. Unsplash search: woman natural skin portrait soft light</t>
        </is>
      </c>
      <c r="O34" s="17" t="inlineStr">
        <is>
          <t>Not needed</t>
        </is>
      </c>
      <c r="P34" s="32" t="inlineStr">
        <is>
          <t>Open folder</t>
        </is>
      </c>
      <c r="Q34" s="11" t="inlineStr">
        <is>
          <t>View 7 slides (jpg)</t>
        </is>
      </c>
      <c r="R34" s="11">
        <f>IMAGE("https://raw.githubusercontent.com/RepoKing23/InstagramCarousel/claude/serene-curie-xunco2/content/2026-10-01-botox-in-oakville-first-appointment/images/slide-1.jpg")</f>
        <v/>
      </c>
      <c r="S34" s="29" t="inlineStr">
        <is>
          <t>Design</t>
        </is>
      </c>
      <c r="T34" s="54" t="n"/>
      <c r="U34" s="54" t="n"/>
      <c r="V34" s="54" t="n"/>
      <c r="W34" s="54" t="n"/>
      <c r="X34" s="54" t="n"/>
      <c r="Y34" s="54" t="n"/>
      <c r="Z34" s="11" t="inlineStr">
        <is>
          <t>Your first Botox appointment in Oakville, step by step: a real consult, your face mapped while it moves, about ten minutes of treatment, and a two week check in. Nothing is a surprise. The full walkthrough is on Instagram.</t>
        </is>
      </c>
      <c r="AA34" s="11" t="inlineStr">
        <is>
          <t>Learn more &gt; Instagram</t>
        </is>
      </c>
      <c r="AB34" s="11" t="inlineStr">
        <is>
          <t>View GBP image (jpg)</t>
        </is>
      </c>
      <c r="AC34" s="0" t="inlineStr">
        <is>
          <t>botox therapy treatment oakville</t>
        </is>
      </c>
      <c r="AD34" s="61" t="inlineStr">
        <is>
          <t>Luxury Beauty by Cleo R carousel: Botox in Oakville, what happens at your first appointment, five steps</t>
        </is>
      </c>
    </row>
    <row r="35" ht="57" customHeight="1" s="42">
      <c r="A35" s="27" t="n">
        <v>46300</v>
      </c>
      <c r="B35" s="29" t="inlineStr">
        <is>
          <t>Mon</t>
        </is>
      </c>
      <c r="C35" s="29" t="n">
        <v>8</v>
      </c>
      <c r="D35" s="29" t="inlineStr">
        <is>
          <t>Botox &amp; Filler in Oakville</t>
        </is>
      </c>
      <c r="E35" s="29" t="inlineStr">
        <is>
          <t>Carousel</t>
        </is>
      </c>
      <c r="F35" s="11" t="inlineStr">
        <is>
          <t>Light</t>
        </is>
      </c>
      <c r="G35" s="29" t="inlineStr">
        <is>
          <t>Instagram feed + GBP</t>
        </is>
      </c>
      <c r="H35" s="29" t="inlineStr">
        <is>
          <t>Education</t>
        </is>
      </c>
      <c r="I35" s="29" t="inlineStr">
        <is>
          <t>Dermal Fillers Won't Make You Look Fake. Bad Technique Does. | The fear is real. The cause is not what you think.</t>
        </is>
      </c>
      <c r="J35" s="29" t="inlineStr">
        <is>
          <t>Dermal fillers get blamed for every overdone face you have seen. The real cause is almost always placement, amount and a provider who never says stop. Here are the five things that actually make filler look fake, and how we avoid every one in Oakville.
#lipfilleroakville #fillersoakville #oakvillemedspa #burlingtonfiller #miltonlipfiller #mississaugamedspa #dermalfillers #naturallips #facialbalancing #aestheticnurse #luxurybeautybycleor #npcleo</t>
        </is>
      </c>
      <c r="K35" s="29" t="inlineStr">
        <is>
          <t>Share with a friend who is nervous</t>
        </is>
      </c>
      <c r="L35" s="29" t="inlineStr">
        <is>
          <t>Set B</t>
        </is>
      </c>
      <c r="M35" s="29" t="inlineStr">
        <is>
          <t>DESIGNED, photo pending: 7 slides in this post's folder</t>
        </is>
      </c>
      <c r="N35" s="11" t="inlineStr">
        <is>
          <t>Photo pending. Unsplash search: woman smiling natural beauty close up</t>
        </is>
      </c>
      <c r="O35" s="17" t="inlineStr">
        <is>
          <t>Not needed</t>
        </is>
      </c>
      <c r="P35" s="32" t="inlineStr">
        <is>
          <t>Open folder</t>
        </is>
      </c>
      <c r="Q35" s="11" t="inlineStr">
        <is>
          <t>View 7 slides (jpg)</t>
        </is>
      </c>
      <c r="R35" s="11">
        <f>IMAGE("https://raw.githubusercontent.com/RepoKing23/InstagramCarousel/claude/serene-curie-xunco2/content/2026-10-05-dermal-fillers-wont-make-you-look-fake/images/slide-1.jpg")</f>
        <v/>
      </c>
      <c r="S35" s="29" t="inlineStr">
        <is>
          <t>Design</t>
        </is>
      </c>
      <c r="T35" s="54" t="n"/>
      <c r="U35" s="54" t="n"/>
      <c r="V35" s="54" t="n"/>
      <c r="W35" s="54" t="n"/>
      <c r="X35" s="54" t="n"/>
      <c r="Y35" s="54" t="n"/>
      <c r="Z35" s="11" t="inlineStr">
        <is>
          <t>Dermal fillers do not make you look fake. Too much in one sitting, chasing lines instead of shape, and ignoring proportion do. Here is how natural filler is planned at the Oakville studio. Full post on Instagram.</t>
        </is>
      </c>
      <c r="AA35" s="11" t="inlineStr">
        <is>
          <t>Learn more &gt; Instagram</t>
        </is>
      </c>
      <c r="AB35" s="11" t="inlineStr">
        <is>
          <t>View GBP image (jpg)</t>
        </is>
      </c>
      <c r="AC35" s="0" t="inlineStr">
        <is>
          <t>dermal fillers</t>
        </is>
      </c>
      <c r="AD35" s="61" t="inlineStr">
        <is>
          <t>Carousel about dermal fillers in Oakville: five reasons filler looks fake and how natural results are planned</t>
        </is>
      </c>
    </row>
    <row r="36" ht="57" customHeight="1" s="42">
      <c r="A36" s="27" t="n">
        <v>46301</v>
      </c>
      <c r="B36" s="29" t="inlineStr">
        <is>
          <t>Tue</t>
        </is>
      </c>
      <c r="C36" s="29" t="n">
        <v>8</v>
      </c>
      <c r="D36" s="29" t="inlineStr">
        <is>
          <t>Botox &amp; Filler in Oakville</t>
        </is>
      </c>
      <c r="E36" s="29" t="inlineStr">
        <is>
          <t>Single Image</t>
        </is>
      </c>
      <c r="F36" s="11" t="inlineStr">
        <is>
          <t>Dark</t>
        </is>
      </c>
      <c r="G36" s="29" t="inlineStr">
        <is>
          <t>IG + FB + TikTok photo + GBP</t>
        </is>
      </c>
      <c r="H36" s="29" t="inlineStr">
        <is>
          <t>Education</t>
        </is>
      </c>
      <c r="I36" s="29" t="inlineStr">
        <is>
          <t>What Is Electrolysis? Permanent Hair Removal, Explained | One follicle at a time. Gone for good.</t>
        </is>
      </c>
      <c r="J36" s="29" t="inlineStr">
        <is>
          <t>Electrolysis in Oakville, explained simply. A fine probe and a tiny current treat each hair follicle so it stops growing back. It works on every hair colour and every skin tone, including the grey and blonde hairs laser cannot see. Questions? Send them my way.
#electrolysisoakville #oakvilleelectrolysis #facialelectrolysis #electrolysis #permanenthairremoval #hairremovaloakville #burlingtonelectrolysis #miltonontario #mississaugabeauty #haltonregion #luxurybeautybycleor #npcleo</t>
        </is>
      </c>
      <c r="K36" s="29" t="inlineStr">
        <is>
          <t>DM the word HAIR</t>
        </is>
      </c>
      <c r="L36" s="29" t="inlineStr">
        <is>
          <t>Set F</t>
        </is>
      </c>
      <c r="M36" s="29" t="inlineStr">
        <is>
          <t>DESIGNED, photo pending: final image in this post's folder</t>
        </is>
      </c>
      <c r="N36" s="11" t="inlineStr">
        <is>
          <t>Photo pending. Unsplash search: woman touching face skincare portrait</t>
        </is>
      </c>
      <c r="O36" s="17" t="inlineStr">
        <is>
          <t>Not needed</t>
        </is>
      </c>
      <c r="P36" s="32" t="inlineStr">
        <is>
          <t>Open folder</t>
        </is>
      </c>
      <c r="Q36" s="11" t="inlineStr">
        <is>
          <t>View image (jpg)</t>
        </is>
      </c>
      <c r="R36" s="11">
        <f>IMAGE("https://raw.githubusercontent.com/RepoKing23/InstagramCarousel/claude/serene-curie-xunco2/content/2026-10-06-what-is-electrolysis/images/post.jpg")</f>
        <v/>
      </c>
      <c r="S36" s="29" t="inlineStr">
        <is>
          <t>Design</t>
        </is>
      </c>
      <c r="T36" s="54" t="n"/>
      <c r="U36" s="54" t="n"/>
      <c r="V36" s="54" t="n"/>
      <c r="W36" s="54" t="n"/>
      <c r="X36" s="54" t="n"/>
      <c r="Y36" s="54" t="n"/>
      <c r="Z36" s="11" t="inlineStr">
        <is>
          <t>Electrolysis in Oakville, explained. A fine probe and a small current treat each hair follicle so it stops growing back. It works on every hair colour and skin tone, including grey and blonde hair that laser misses. More on Instagram.</t>
        </is>
      </c>
      <c r="AA36" s="11" t="inlineStr">
        <is>
          <t>Learn more &gt; Instagram</t>
        </is>
      </c>
      <c r="AB36" s="11" t="inlineStr">
        <is>
          <t>View GBP image (jpg)</t>
        </is>
      </c>
      <c r="AC36" s="0" t="inlineStr">
        <is>
          <t>electrolysis oakville</t>
        </is>
      </c>
      <c r="AD36" s="61" t="inlineStr">
        <is>
          <t>Electrolysis in Oakville explained: permanent hair removal that works on every hair colour and skin tone</t>
        </is>
      </c>
    </row>
    <row r="37" ht="57" customHeight="1" s="42">
      <c r="A37" s="27" t="n">
        <v>46302</v>
      </c>
      <c r="B37" s="29" t="inlineStr">
        <is>
          <t>Wed</t>
        </is>
      </c>
      <c r="C37" s="29" t="n">
        <v>8</v>
      </c>
      <c r="D37" s="29" t="inlineStr">
        <is>
          <t>Botox &amp; Filler in Oakville</t>
        </is>
      </c>
      <c r="E37" s="29" t="inlineStr">
        <is>
          <t>Single Image</t>
        </is>
      </c>
      <c r="F37" s="11" t="inlineStr">
        <is>
          <t>Light</t>
        </is>
      </c>
      <c r="G37" s="29" t="inlineStr">
        <is>
          <t>IG + FB + TikTok photo + GBP</t>
        </is>
      </c>
      <c r="H37" s="29" t="inlineStr">
        <is>
          <t>Personality &amp; BTS</t>
        </is>
      </c>
      <c r="I37" s="29" t="inlineStr">
        <is>
          <t>Meet Cleo: The Nurse Practitioner Behind Luxury Beauty in Oakville | The face behind every appointment.</t>
        </is>
      </c>
      <c r="J37" s="29" t="inlineStr">
        <is>
          <t>Hi, I am Cleo, the nurse practitioner behind Luxury Beauty by Cleo R in Oakville. Every appointment here is with me, one client at a time, in a private studio on Preserve Dr. New here? Tell me what brought you in.
#oakville #oakvillebusiness #burlingtonontario #miltonontario #mississauga #haltonregion #womeninbusiness #nursepractitioner #aestheticnurse #medspalife #luxurybeautybycleor #npcleo</t>
        </is>
      </c>
      <c r="K37" s="29" t="inlineStr">
        <is>
          <t>Say hi in the comments</t>
        </is>
      </c>
      <c r="L37" s="29" t="inlineStr">
        <is>
          <t>Set D</t>
        </is>
      </c>
      <c r="M37" s="29" t="inlineStr">
        <is>
          <t>DESIGNED, photo pending: final image in this post's folder</t>
        </is>
      </c>
      <c r="N37" s="11" t="inlineStr">
        <is>
          <t>NEEDED: new photo of Cleo, save as design/photos/octnov/2026-10-07-ig.jpg</t>
        </is>
      </c>
      <c r="O37" s="17" t="inlineStr">
        <is>
          <t>Not needed</t>
        </is>
      </c>
      <c r="P37" s="32" t="inlineStr">
        <is>
          <t>Open folder</t>
        </is>
      </c>
      <c r="Q37" s="11" t="inlineStr">
        <is>
          <t>View image (jpg)</t>
        </is>
      </c>
      <c r="R37" s="11">
        <f>IMAGE("https://raw.githubusercontent.com/RepoKing23/InstagramCarousel/claude/serene-curie-xunco2/content/2026-10-07-meet-cleo-oakville/images/post.jpg")</f>
        <v/>
      </c>
      <c r="S37" s="29" t="inlineStr">
        <is>
          <t>Design</t>
        </is>
      </c>
      <c r="T37" s="54" t="n"/>
      <c r="U37" s="54" t="n"/>
      <c r="V37" s="54" t="n"/>
      <c r="W37" s="54" t="n"/>
      <c r="X37" s="54" t="n"/>
      <c r="Y37" s="54" t="n"/>
      <c r="Z37" s="11" t="inlineStr">
        <is>
          <t>Meet Cleo, the nurse practitioner behind Luxury Beauty by Cleo R in Oakville. Every appointment is with Cleo herself, one client at a time, in a private studio on Preserve Dr. Say hello on Instagram.</t>
        </is>
      </c>
      <c r="AA37" s="11" t="inlineStr">
        <is>
          <t>Learn more &gt; Instagram</t>
        </is>
      </c>
      <c r="AB37" s="11" t="inlineStr">
        <is>
          <t>View GBP image (jpg)</t>
        </is>
      </c>
      <c r="AC37" s="0" t="inlineStr">
        <is>
          <t>cleo oakville</t>
        </is>
      </c>
      <c r="AD37" s="61" t="inlineStr">
        <is>
          <t>Meet Cleo, nurse practitioner and injector at Luxury Beauty by Cleo R, a private studio in Oakville</t>
        </is>
      </c>
    </row>
    <row r="38" ht="57" customHeight="1" s="42">
      <c r="A38" s="27" t="n">
        <v>46303</v>
      </c>
      <c r="B38" s="29" t="inlineStr">
        <is>
          <t>Thu</t>
        </is>
      </c>
      <c r="C38" s="29" t="n">
        <v>8</v>
      </c>
      <c r="D38" s="29" t="inlineStr">
        <is>
          <t>Botox &amp; Filler in Oakville</t>
        </is>
      </c>
      <c r="E38" s="29" t="inlineStr">
        <is>
          <t>Before/After</t>
        </is>
      </c>
      <c r="F38" s="11" t="inlineStr">
        <is>
          <t>Photo</t>
        </is>
      </c>
      <c r="G38" s="29" t="inlineStr">
        <is>
          <t>IG + FB + GBP</t>
        </is>
      </c>
      <c r="H38" s="29" t="inlineStr">
        <is>
          <t>Trust &amp; Proof</t>
        </is>
      </c>
      <c r="I38" s="29" t="inlineStr">
        <is>
          <t>Lip Filler in Oakville: Natural vs Overdone | The difference is the injector.</t>
        </is>
      </c>
      <c r="J38" s="29" t="inlineStr">
        <is>
          <t>Lip filler in Oakville, done so it still looks like your mouth. Same client, same light, one syringe. Natural versus overdone comes down to ratio and restraint, not the product. Shared with written consent, individual results vary.
#lipfilleroakville #fillersoakville #oakvillemedspa #burlingtonfiller #miltonlipfiller #mississaugamedspa #dermalfillers #naturallips #facialbalancing #aestheticnurse #luxurybeautybycleor #npcleo</t>
        </is>
      </c>
      <c r="K38" s="29" t="inlineStr">
        <is>
          <t>DM the word LIPS</t>
        </is>
      </c>
      <c r="L38" s="29" t="inlineStr">
        <is>
          <t>Set B</t>
        </is>
      </c>
      <c r="M38" s="29" t="inlineStr">
        <is>
          <t>READY: real client result, 1 image in this post's folder</t>
        </is>
      </c>
      <c r="N38" s="11" t="inlineStr">
        <is>
          <t>img_9908 (before), img_9912 (after)</t>
        </is>
      </c>
      <c r="O38" s="17" t="inlineStr">
        <is>
          <t>Not needed</t>
        </is>
      </c>
      <c r="P38" s="32" t="inlineStr">
        <is>
          <t>Open folder</t>
        </is>
      </c>
      <c r="Q38" s="11" t="inlineStr">
        <is>
          <t>View image (jpg)</t>
        </is>
      </c>
      <c r="R38" s="11">
        <f>IMAGE("https://raw.githubusercontent.com/RepoKing23/InstagramCarousel/claude/serene-curie-xunco2/content/2026-10-08-lip-filler-natural-vs-overdone/images/before-after-result.jpg")</f>
        <v/>
      </c>
      <c r="S38" s="29" t="inlineStr">
        <is>
          <t>Ready</t>
        </is>
      </c>
      <c r="T38" s="54" t="n"/>
      <c r="U38" s="54" t="n"/>
      <c r="V38" s="54" t="n"/>
      <c r="W38" s="54" t="n"/>
      <c r="X38" s="54" t="n"/>
      <c r="Y38" s="54" t="n"/>
      <c r="Z38" s="11" t="inlineStr">
        <is>
          <t>Natural versus overdone lips, side by side. The difference is ratio and shape, not the brand of filler. Respect the border, keep the lower fuller than the upper, and stop before it is obvious. Shared with client consent on Instagram.</t>
        </is>
      </c>
      <c r="AA38" s="11" t="inlineStr">
        <is>
          <t>Learn more &gt; Instagram</t>
        </is>
      </c>
      <c r="AB38" s="11" t="inlineStr">
        <is>
          <t>View GBP image (jpg)</t>
        </is>
      </c>
      <c r="AC38" s="0" t="inlineStr">
        <is>
          <t>dermal fillers</t>
        </is>
      </c>
      <c r="AD38" s="61" t="inlineStr">
        <is>
          <t>Lip filler before and after at an Oakville studio, one syringe, natural result, shared with client consent</t>
        </is>
      </c>
    </row>
    <row r="39" ht="57" customHeight="1" s="42">
      <c r="A39" s="27" t="n">
        <v>46307</v>
      </c>
      <c r="B39" s="29" t="inlineStr">
        <is>
          <t>Mon</t>
        </is>
      </c>
      <c r="C39" s="29" t="n">
        <v>9</v>
      </c>
      <c r="D39" s="29" t="inlineStr">
        <is>
          <t>Botox &amp; Filler in Oakville</t>
        </is>
      </c>
      <c r="E39" s="29" t="inlineStr">
        <is>
          <t>Carousel</t>
        </is>
      </c>
      <c r="F39" s="11" t="inlineStr">
        <is>
          <t>Light</t>
        </is>
      </c>
      <c r="G39" s="29" t="inlineStr">
        <is>
          <t>Instagram feed + GBP</t>
        </is>
      </c>
      <c r="H39" s="29" t="inlineStr">
        <is>
          <t>Education</t>
        </is>
      </c>
      <c r="I39" s="29" t="inlineStr">
        <is>
          <t>Botox Therapy Treatment: What It Treats and How It Works | Five areas, one honest explainer.</t>
        </is>
      </c>
      <c r="J39" s="29" t="inlineStr">
        <is>
          <t>What can Botox treatment actually do? Frown lines, forehead lines, crow's feet and a few areas people do not expect. Here is how it works, what it treats well, and what it cannot fix. Botox consults are open at the Oakville studio. Happy Thanksgiving, and see you this week.
#botoxoakville #oakvillemedspa #burlingtonbotox #miltonmedspa #mississaugainjector #haltonregion #preventativebotox #botoxcanada #nursepractitionerinjector #naturalresults #luxurybeautybycleor #npcleo</t>
        </is>
      </c>
      <c r="K39" s="29" t="inlineStr">
        <is>
          <t>Save for your consult</t>
        </is>
      </c>
      <c r="L39" s="29" t="inlineStr">
        <is>
          <t>Set A</t>
        </is>
      </c>
      <c r="M39" s="29" t="inlineStr">
        <is>
          <t>DESIGNED, photo pending: 7 slides in this post's folder</t>
        </is>
      </c>
      <c r="N39" s="11" t="inlineStr">
        <is>
          <t>Photo pending. Unsplash search: woman forehead eyes close up natural skin</t>
        </is>
      </c>
      <c r="O39" s="17" t="inlineStr">
        <is>
          <t>Not needed</t>
        </is>
      </c>
      <c r="P39" s="32" t="inlineStr">
        <is>
          <t>Open folder</t>
        </is>
      </c>
      <c r="Q39" s="11" t="inlineStr">
        <is>
          <t>View 7 slides (jpg)</t>
        </is>
      </c>
      <c r="R39" s="11">
        <f>IMAGE("https://raw.githubusercontent.com/RepoKing23/InstagramCarousel/claude/serene-curie-xunco2/content/2026-10-12-botox-treatment-step-by-step/images/slide-1.jpg")</f>
        <v/>
      </c>
      <c r="S39" s="29" t="inlineStr">
        <is>
          <t>Design</t>
        </is>
      </c>
      <c r="T39" s="54" t="n"/>
      <c r="U39" s="54" t="n"/>
      <c r="V39" s="54" t="n"/>
      <c r="W39" s="54" t="n"/>
      <c r="X39" s="54" t="n"/>
      <c r="Y39" s="54" t="n"/>
      <c r="Z39" s="11" t="inlineStr">
        <is>
          <t>Botox treatment in Oakville, explained: it relaxes the muscle that folds the skin, so frown lines, forehead lines and crow's feet soften while your face still moves. What it treats well and what it cannot fix, on Instagram.</t>
        </is>
      </c>
      <c r="AA39" s="11" t="inlineStr">
        <is>
          <t>Learn more &gt; Instagram</t>
        </is>
      </c>
      <c r="AB39" s="11" t="inlineStr">
        <is>
          <t>View GBP image (jpg)</t>
        </is>
      </c>
      <c r="AC39" s="0" t="inlineStr">
        <is>
          <t>botox therapy treatment oakville</t>
        </is>
      </c>
      <c r="AD39" s="61" t="inlineStr">
        <is>
          <t>Botox treatment in Oakville explained: frown lines, forehead lines, crow's feet and how it works</t>
        </is>
      </c>
    </row>
    <row r="40" ht="57" customHeight="1" s="42">
      <c r="A40" s="27" t="n">
        <v>46308</v>
      </c>
      <c r="B40" s="29" t="inlineStr">
        <is>
          <t>Tue</t>
        </is>
      </c>
      <c r="C40" s="29" t="n">
        <v>9</v>
      </c>
      <c r="D40" s="29" t="inlineStr">
        <is>
          <t>Botox &amp; Filler in Oakville</t>
        </is>
      </c>
      <c r="E40" s="29" t="inlineStr">
        <is>
          <t>Single Image</t>
        </is>
      </c>
      <c r="F40" s="11" t="inlineStr">
        <is>
          <t>Dark</t>
        </is>
      </c>
      <c r="G40" s="29" t="inlineStr">
        <is>
          <t>IG + FB + TikTok photo + GBP</t>
        </is>
      </c>
      <c r="H40" s="29" t="inlineStr">
        <is>
          <t>Education</t>
        </is>
      </c>
      <c r="I40" s="29" t="inlineStr">
        <is>
          <t>Facial Electrolysis for Chin and Upper Lip Hair | Tired of tweezing the same hairs every week?</t>
        </is>
      </c>
      <c r="J40" s="29" t="inlineStr">
        <is>
          <t>Facial electrolysis is made for the chin and upper lip hairs you have been tweezing for years. It treats each follicle so the hair stops coming back, and it works on fine, light and grey hairs too. Tip: stop tweezing before your first session, we need to see them.
#electrolysisoakville #oakvilleelectrolysis #facialelectrolysis #electrolysis #permanenthairremoval #hairremovaloakville #burlingtonelectrolysis #miltonontario #mississaugabeauty #haltonregion #luxurybeautybycleor #npcleo</t>
        </is>
      </c>
      <c r="K40" s="29" t="inlineStr">
        <is>
          <t>DM the word HAIR</t>
        </is>
      </c>
      <c r="L40" s="29" t="inlineStr">
        <is>
          <t>Set F</t>
        </is>
      </c>
      <c r="M40" s="29" t="inlineStr">
        <is>
          <t>DESIGNED, photo pending: final image in this post's folder</t>
        </is>
      </c>
      <c r="N40" s="11" t="inlineStr">
        <is>
          <t>Photo pending. Unsplash search: woman chin jawline profile portrait</t>
        </is>
      </c>
      <c r="O40" s="17" t="inlineStr">
        <is>
          <t>Not needed</t>
        </is>
      </c>
      <c r="P40" s="32" t="inlineStr">
        <is>
          <t>Open folder</t>
        </is>
      </c>
      <c r="Q40" s="11" t="inlineStr">
        <is>
          <t>View image (jpg)</t>
        </is>
      </c>
      <c r="R40" s="11">
        <f>IMAGE("https://raw.githubusercontent.com/RepoKing23/InstagramCarousel/claude/serene-curie-xunco2/content/2026-10-13-facial-electrolysis-chin-upper-lip/images/post.jpg")</f>
        <v/>
      </c>
      <c r="S40" s="29" t="inlineStr">
        <is>
          <t>Design</t>
        </is>
      </c>
      <c r="T40" s="54" t="n"/>
      <c r="U40" s="54" t="n"/>
      <c r="V40" s="54" t="n"/>
      <c r="W40" s="54" t="n"/>
      <c r="X40" s="54" t="n"/>
      <c r="Y40" s="54" t="n"/>
      <c r="Z40" s="11" t="inlineStr">
        <is>
          <t>Facial electrolysis in Oakville for chin and upper lip hair. Each hair is treated at the follicle so it stops growing back, and it works on fine, light and grey hairs that laser misses. Stop tweezing before your first visit. More on Instagram.</t>
        </is>
      </c>
      <c r="AA40" s="11" t="inlineStr">
        <is>
          <t>Learn more &gt; Instagram</t>
        </is>
      </c>
      <c r="AB40" s="11" t="inlineStr">
        <is>
          <t>View GBP image (jpg)</t>
        </is>
      </c>
      <c r="AC40" s="0" t="inlineStr">
        <is>
          <t>facial electrolysis</t>
        </is>
      </c>
      <c r="AD40" s="61" t="inlineStr">
        <is>
          <t>Facial electrolysis for chin and upper lip hair at an Oakville studio, works on light and grey hairs</t>
        </is>
      </c>
    </row>
    <row r="41" ht="57" customHeight="1" s="42">
      <c r="A41" s="27" t="n">
        <v>46309</v>
      </c>
      <c r="B41" s="29" t="inlineStr">
        <is>
          <t>Wed</t>
        </is>
      </c>
      <c r="C41" s="29" t="n">
        <v>9</v>
      </c>
      <c r="D41" s="29" t="inlineStr">
        <is>
          <t>Botox &amp; Filler in Oakville</t>
        </is>
      </c>
      <c r="E41" s="29" t="inlineStr">
        <is>
          <t>Before/After</t>
        </is>
      </c>
      <c r="F41" s="11" t="inlineStr">
        <is>
          <t>Photo</t>
        </is>
      </c>
      <c r="G41" s="29" t="inlineStr">
        <is>
          <t>IG + FB + GBP</t>
        </is>
      </c>
      <c r="H41" s="29" t="inlineStr">
        <is>
          <t>Trust &amp; Proof</t>
        </is>
      </c>
      <c r="I41" s="29" t="inlineStr">
        <is>
          <t>Subtle Is the New Dramatic | The quote, proved.</t>
        </is>
      </c>
      <c r="J41" s="29" t="inlineStr">
        <is>
          <t>Subtle is not a compromise, it is the goal. Dermal filler that nobody can name, done at the Oakville studio. Shared with written consent, individual results vary.
#lipfilleroakville #fillersoakville #oakvillemedspa #burlingtonfiller #miltonlipfiller #mississaugamedspa #dermalfillers #naturallips #facialbalancing #aestheticnurse #luxurybeautybycleor #npcleo</t>
        </is>
      </c>
      <c r="K41" s="29" t="inlineStr">
        <is>
          <t>DM the word LIPS</t>
        </is>
      </c>
      <c r="L41" s="29" t="inlineStr">
        <is>
          <t>Set B</t>
        </is>
      </c>
      <c r="M41" s="29" t="inlineStr">
        <is>
          <t>READY: real client result, 1 image in this post's folder</t>
        </is>
      </c>
      <c r="N41" s="11" t="inlineStr">
        <is>
          <t>img_1119 (before), img_1123 (after)</t>
        </is>
      </c>
      <c r="O41" s="17" t="inlineStr">
        <is>
          <t>On file</t>
        </is>
      </c>
      <c r="P41" s="32" t="inlineStr">
        <is>
          <t>Open folder</t>
        </is>
      </c>
      <c r="Q41" s="11" t="inlineStr">
        <is>
          <t>View image (jpg)</t>
        </is>
      </c>
      <c r="R41" s="11">
        <f>IMAGE("https://raw.githubusercontent.com/RepoKing23/InstagramCarousel/claude/serene-curie-xunco2/content/2026-10-14-subtle-is-the-new-dramatic/images/before-after-result.jpg")</f>
        <v/>
      </c>
      <c r="S41" s="29" t="inlineStr">
        <is>
          <t>Ready</t>
        </is>
      </c>
      <c r="T41" s="54" t="n"/>
      <c r="U41" s="54" t="n"/>
      <c r="V41" s="54" t="n"/>
      <c r="W41" s="54" t="n"/>
      <c r="X41" s="54" t="n"/>
      <c r="Y41" s="54" t="n"/>
      <c r="Z41" s="11" t="inlineStr">
        <is>
          <t>Subtle is not a compromise, it is the goal. If the first thing anyone notices about your face is the filler, something in the plan was wrong. A real dermal filler result, shared with client consent, is on Instagram.</t>
        </is>
      </c>
      <c r="AA41" s="11" t="inlineStr">
        <is>
          <t>Learn more &gt; Instagram</t>
        </is>
      </c>
      <c r="AB41" s="11" t="inlineStr">
        <is>
          <t>View GBP image (jpg)</t>
        </is>
      </c>
      <c r="AC41" s="0" t="inlineStr">
        <is>
          <t>dermal fillers</t>
        </is>
      </c>
      <c r="AD41" s="61" t="inlineStr">
        <is>
          <t>Subtle dermal filler result from an Oakville studio, before and after, shared with consent</t>
        </is>
      </c>
    </row>
    <row r="42" ht="57" customHeight="1" s="42">
      <c r="A42" s="27" t="n">
        <v>46310</v>
      </c>
      <c r="B42" s="29" t="inlineStr">
        <is>
          <t>Thu</t>
        </is>
      </c>
      <c r="C42" s="29" t="n">
        <v>9</v>
      </c>
      <c r="D42" s="29" t="inlineStr">
        <is>
          <t>Botox &amp; Filler in Oakville</t>
        </is>
      </c>
      <c r="E42" s="29" t="inlineStr">
        <is>
          <t>Carousel</t>
        </is>
      </c>
      <c r="F42" s="11" t="inlineStr">
        <is>
          <t>Photo</t>
        </is>
      </c>
      <c r="G42" s="29" t="inlineStr">
        <is>
          <t>IG + FB + GBP</t>
        </is>
      </c>
      <c r="H42" s="29" t="inlineStr">
        <is>
          <t>Trust &amp; Proof</t>
        </is>
      </c>
      <c r="I42" s="29" t="inlineStr">
        <is>
          <t>Real Lips. Real Results. | Four clients. One syringe each.</t>
        </is>
      </c>
      <c r="J42" s="29" t="inlineStr">
        <is>
          <t>Real lip filler results from our Oakville studio. Same light, same angle, no filter. Some are half a syringe. This is what natural dermal filler work actually looks like. Shared with written consent, individual results vary.
#lipfilleroakville #fillersoakville #oakvillemedspa #burlingtonfiller #miltonlipfiller #mississaugamedspa #dermalfillers #naturallips #facialbalancing #aestheticnurse #luxurybeautybycleor #npcleo</t>
        </is>
      </c>
      <c r="K42" s="29" t="inlineStr">
        <is>
          <t>DM the word LIPS</t>
        </is>
      </c>
      <c r="L42" s="29" t="inlineStr">
        <is>
          <t>Set B</t>
        </is>
      </c>
      <c r="M42" s="29" t="inlineStr">
        <is>
          <t>READY: real client result, 7 slides in this post's folder</t>
        </is>
      </c>
      <c r="N42" s="11" t="inlineStr">
        <is>
          <t>Pairs: 9908/9912, 0221/0233, 0962/0998, 1119/1123, 9848/9850</t>
        </is>
      </c>
      <c r="O42" s="17" t="inlineStr">
        <is>
          <t>On file</t>
        </is>
      </c>
      <c r="P42" s="32" t="inlineStr">
        <is>
          <t>Open folder</t>
        </is>
      </c>
      <c r="Q42" s="11" t="inlineStr">
        <is>
          <t>View 7 slides (jpg)</t>
        </is>
      </c>
      <c r="R42" s="11">
        <f>IMAGE("https://raw.githubusercontent.com/RepoKing23/InstagramCarousel/claude/serene-curie-xunco2/content/2026-10-15-real-lips-real-results/images/slide-1.jpg")</f>
        <v/>
      </c>
      <c r="S42" s="29" t="inlineStr">
        <is>
          <t>Ready</t>
        </is>
      </c>
      <c r="T42" s="54" t="n"/>
      <c r="U42" s="54" t="n"/>
      <c r="V42" s="54" t="n"/>
      <c r="W42" s="54" t="n"/>
      <c r="X42" s="54" t="n"/>
      <c r="Y42" s="54" t="n"/>
      <c r="Z42" s="11" t="inlineStr">
        <is>
          <t>Real lip filler results from the Oakville studio, shared with written client consent. Same lighting, same angle, no filter, no smoothing. Some are half a syringe. This is what the work actually looks like. On Instagram.</t>
        </is>
      </c>
      <c r="AA42" s="11" t="inlineStr">
        <is>
          <t>Learn more &gt; Instagram</t>
        </is>
      </c>
      <c r="AB42" s="11" t="inlineStr">
        <is>
          <t>View GBP image (jpg)</t>
        </is>
      </c>
      <c r="AC42" s="0" t="inlineStr">
        <is>
          <t>dermal fillers</t>
        </is>
      </c>
      <c r="AD42" s="61" t="inlineStr">
        <is>
          <t>Real lip filler results from an Oakville studio, four clients, no filter, shared with written consent</t>
        </is>
      </c>
    </row>
    <row r="43" ht="57" customHeight="1" s="42">
      <c r="A43" s="27" t="n">
        <v>46314</v>
      </c>
      <c r="B43" s="29" t="inlineStr">
        <is>
          <t>Mon</t>
        </is>
      </c>
      <c r="C43" s="29" t="n">
        <v>10</v>
      </c>
      <c r="D43" s="29" t="inlineStr">
        <is>
          <t>Botox &amp; Filler in Oakville</t>
        </is>
      </c>
      <c r="E43" s="29" t="inlineStr">
        <is>
          <t>Carousel</t>
        </is>
      </c>
      <c r="F43" s="11" t="inlineStr">
        <is>
          <t>Light</t>
        </is>
      </c>
      <c r="G43" s="29" t="inlineStr">
        <is>
          <t>Instagram feed + GBP</t>
        </is>
      </c>
      <c r="H43" s="29" t="inlineStr">
        <is>
          <t>Education</t>
        </is>
      </c>
      <c r="I43" s="29" t="inlineStr">
        <is>
          <t>Electrolysis vs Laser Hair Removal: Which One Is Permanent? | They are not the same treatment.</t>
        </is>
      </c>
      <c r="J43" s="29" t="inlineStr">
        <is>
          <t>Electrolysis or laser? They solve different problems. Laser reduces hair over large areas and needs dark hair to work. Electrolysis treats each follicle, works on every hair colour and skin tone, and is the one recognised for permanent removal. Here is how to choose.
#electrolysisoakville #oakvilleelectrolysis #facialelectrolysis #electrolysis #permanenthairremoval #hairremovaloakville #burlingtonelectrolysis #miltonontario #mississaugabeauty #haltonregion #luxurybeautybycleor #npcleo</t>
        </is>
      </c>
      <c r="K43" s="29" t="inlineStr">
        <is>
          <t>Save this comparison</t>
        </is>
      </c>
      <c r="L43" s="29" t="inlineStr">
        <is>
          <t>Set F</t>
        </is>
      </c>
      <c r="M43" s="29" t="inlineStr">
        <is>
          <t>DESIGNED, photo pending: 7 slides in this post's folder</t>
        </is>
      </c>
      <c r="N43" s="11" t="inlineStr">
        <is>
          <t>Photo pending. Unsplash search: woman smooth skin portrait neutral background</t>
        </is>
      </c>
      <c r="O43" s="17" t="inlineStr">
        <is>
          <t>Not needed</t>
        </is>
      </c>
      <c r="P43" s="32" t="inlineStr">
        <is>
          <t>Open folder</t>
        </is>
      </c>
      <c r="Q43" s="11" t="inlineStr">
        <is>
          <t>View 7 slides (jpg)</t>
        </is>
      </c>
      <c r="R43" s="11">
        <f>IMAGE("https://raw.githubusercontent.com/RepoKing23/InstagramCarousel/claude/serene-curie-xunco2/content/2026-10-19-electrolysis-vs-laser-hair-removal/images/slide-1.jpg")</f>
        <v/>
      </c>
      <c r="S43" s="29" t="inlineStr">
        <is>
          <t>Design</t>
        </is>
      </c>
      <c r="T43" s="54" t="n"/>
      <c r="U43" s="54" t="n"/>
      <c r="V43" s="54" t="n"/>
      <c r="W43" s="54" t="n"/>
      <c r="X43" s="54" t="n"/>
      <c r="Y43" s="54" t="n"/>
      <c r="Z43" s="11" t="inlineStr">
        <is>
          <t>Electrolysis or laser hair removal? Laser reduces hair and needs dark hair against lighter skin. Electrolysis treats each follicle, works on every hair colour and skin tone, and is recognised for permanent removal. On Instagram.</t>
        </is>
      </c>
      <c r="AA43" s="11" t="inlineStr">
        <is>
          <t>Learn more &gt; Instagram</t>
        </is>
      </c>
      <c r="AB43" s="11" t="inlineStr">
        <is>
          <t>View GBP image (jpg)</t>
        </is>
      </c>
      <c r="AC43" s="0" t="inlineStr">
        <is>
          <t>electrolysis oakville</t>
        </is>
      </c>
      <c r="AD43" s="61" t="inlineStr">
        <is>
          <t>Electrolysis versus laser hair removal comparison for Oakville clients: permanence, hair colour, skin tone</t>
        </is>
      </c>
    </row>
    <row r="44" ht="57" customHeight="1" s="42">
      <c r="A44" s="27" t="n">
        <v>46315</v>
      </c>
      <c r="B44" s="29" t="inlineStr">
        <is>
          <t>Tue</t>
        </is>
      </c>
      <c r="C44" s="29" t="n">
        <v>10</v>
      </c>
      <c r="D44" s="29" t="inlineStr">
        <is>
          <t>Botox &amp; Filler in Oakville</t>
        </is>
      </c>
      <c r="E44" s="29" t="inlineStr">
        <is>
          <t>Single Image</t>
        </is>
      </c>
      <c r="F44" s="11" t="inlineStr">
        <is>
          <t>Light</t>
        </is>
      </c>
      <c r="G44" s="29" t="inlineStr">
        <is>
          <t>IG + FB + TikTok photo + GBP</t>
        </is>
      </c>
      <c r="H44" s="29" t="inlineStr">
        <is>
          <t>Education</t>
        </is>
      </c>
      <c r="I44" s="29" t="inlineStr">
        <is>
          <t>How Long Do Dermal Fillers Last? | Longer than you think, and it depends where.</t>
        </is>
      </c>
      <c r="J44" s="29" t="inlineStr">
        <is>
          <t>How long do dermal fillers last? It depends on the area. Lips move constantly and break filler down faster. Cheeks and chin move less and hold longer. Your metabolism and the product matter too. Here is the honest range, and why top ups should be planned, not automatic.
#lipfilleroakville #fillersoakville #oakvillemedspa #burlingtonfiller #miltonlipfiller #mississaugamedspa #dermalfillers #naturallips #facialbalancing #aestheticnurse #luxurybeautybycleor #npcleo</t>
        </is>
      </c>
      <c r="K44" s="29" t="inlineStr">
        <is>
          <t>Save this</t>
        </is>
      </c>
      <c r="L44" s="29" t="inlineStr">
        <is>
          <t>Set B</t>
        </is>
      </c>
      <c r="M44" s="29" t="inlineStr">
        <is>
          <t>DESIGNED, photo pending: final image in this post's folder</t>
        </is>
      </c>
      <c r="N44" s="11" t="inlineStr">
        <is>
          <t>Photo pending. Unsplash search: woman cheekbones portrait natural light</t>
        </is>
      </c>
      <c r="O44" s="17" t="inlineStr">
        <is>
          <t>Not needed</t>
        </is>
      </c>
      <c r="P44" s="32" t="inlineStr">
        <is>
          <t>Open folder</t>
        </is>
      </c>
      <c r="Q44" s="11" t="inlineStr">
        <is>
          <t>View image (jpg)</t>
        </is>
      </c>
      <c r="R44" s="11">
        <f>IMAGE("https://raw.githubusercontent.com/RepoKing23/InstagramCarousel/claude/serene-curie-xunco2/content/2026-10-20-how-long-does-dermal-filler-last/images/post.jpg")</f>
        <v/>
      </c>
      <c r="S44" s="29" t="inlineStr">
        <is>
          <t>Design</t>
        </is>
      </c>
      <c r="T44" s="54" t="n"/>
      <c r="U44" s="54" t="n"/>
      <c r="V44" s="54" t="n"/>
      <c r="W44" s="54" t="n"/>
      <c r="X44" s="54" t="n"/>
      <c r="Y44" s="54" t="n"/>
      <c r="Z44" s="11" t="inlineStr">
        <is>
          <t>How long do dermal fillers last? Lips move all day and usually hold six to twelve months. Cheeks and chin often last a year or more. Your metabolism and the product matter too, so top ups should be planned, not automatic.</t>
        </is>
      </c>
      <c r="AA44" s="11" t="inlineStr">
        <is>
          <t>Learn more &gt; Instagram</t>
        </is>
      </c>
      <c r="AB44" s="11" t="inlineStr">
        <is>
          <t>View GBP image (jpg)</t>
        </is>
      </c>
      <c r="AC44" s="0" t="inlineStr">
        <is>
          <t>dermal fillers</t>
        </is>
      </c>
      <c r="AD44" s="61" t="inlineStr">
        <is>
          <t>How long dermal fillers last by area: lips, cheeks and chin, from an Oakville nurse practitioner</t>
        </is>
      </c>
    </row>
    <row r="45" ht="57" customHeight="1" s="42">
      <c r="A45" s="27" t="n">
        <v>46316</v>
      </c>
      <c r="B45" s="29" t="inlineStr">
        <is>
          <t>Wed</t>
        </is>
      </c>
      <c r="C45" s="29" t="n">
        <v>10</v>
      </c>
      <c r="D45" s="29" t="inlineStr">
        <is>
          <t>Botox &amp; Filler in Oakville</t>
        </is>
      </c>
      <c r="E45" s="29" t="inlineStr">
        <is>
          <t>Single Image</t>
        </is>
      </c>
      <c r="F45" s="11" t="inlineStr">
        <is>
          <t>Light</t>
        </is>
      </c>
      <c r="G45" s="29" t="inlineStr">
        <is>
          <t>IG + FB + TikTok photo + GBP</t>
        </is>
      </c>
      <c r="H45" s="29" t="inlineStr">
        <is>
          <t>Trust &amp; Proof</t>
        </is>
      </c>
      <c r="I45" s="29" t="inlineStr">
        <is>
          <t>A Luxury Med Spa in Oakville, Without the Rush | Luxury is time, not marble.</t>
        </is>
      </c>
      <c r="J45" s="29" t="inlineStr">
        <is>
          <t>What makes a luxury med spa in Oakville? Not the chandelier. It is time. One client at a time, a private room, a nurse practitioner who is never double booked, and no one pushing you out the door. That is what luxury means here.
#oakvillemedspa #burlingtonmedspa #miltonontario #mississaugabeauty #haltonregion #honestinjector #naturalresults #aestheticnurse #nursepractitioner #medspacanada #luxurybeautybycleor #npcleo</t>
        </is>
      </c>
      <c r="K45" s="29" t="inlineStr">
        <is>
          <t>Come see the studio</t>
        </is>
      </c>
      <c r="L45" s="29" t="inlineStr">
        <is>
          <t>Set C</t>
        </is>
      </c>
      <c r="M45" s="29" t="inlineStr">
        <is>
          <t>DESIGNED, photo pending: final image in this post's folder</t>
        </is>
      </c>
      <c r="N45" s="11" t="inlineStr">
        <is>
          <t>Photo pending. Unsplash search: calm spa room neutral interior</t>
        </is>
      </c>
      <c r="O45" s="17" t="inlineStr">
        <is>
          <t>Not needed</t>
        </is>
      </c>
      <c r="P45" s="32" t="inlineStr">
        <is>
          <t>Open folder</t>
        </is>
      </c>
      <c r="Q45" s="11" t="inlineStr">
        <is>
          <t>View image (jpg)</t>
        </is>
      </c>
      <c r="R45" s="11">
        <f>IMAGE("https://raw.githubusercontent.com/RepoKing23/InstagramCarousel/claude/serene-curie-xunco2/content/2026-10-21-luxury-med-spa-oakville/images/post.jpg")</f>
        <v/>
      </c>
      <c r="S45" s="29" t="inlineStr">
        <is>
          <t>Design</t>
        </is>
      </c>
      <c r="T45" s="54" t="n"/>
      <c r="U45" s="54" t="n"/>
      <c r="V45" s="54" t="n"/>
      <c r="W45" s="54" t="n"/>
      <c r="X45" s="54" t="n"/>
      <c r="Y45" s="54" t="n"/>
      <c r="Z45" s="11" t="inlineStr">
        <is>
          <t>Luxury at an Oakville med spa is not marble or a chandelier. It is time: a private studio, one client at a time, a nurse practitioner who is never double booked, and nobody rushing you out. See the studio on Instagram.</t>
        </is>
      </c>
      <c r="AA45" s="11" t="inlineStr">
        <is>
          <t>Learn more &gt; Instagram</t>
        </is>
      </c>
      <c r="AB45" s="11" t="inlineStr">
        <is>
          <t>View GBP image (jpg)</t>
        </is>
      </c>
      <c r="AC45" s="0" t="inlineStr">
        <is>
          <t>luxury spa oakville</t>
        </is>
      </c>
      <c r="AD45" s="61" t="inlineStr">
        <is>
          <t>Private luxury med spa studio in Oakville, one client at a time, calm treatment room</t>
        </is>
      </c>
    </row>
    <row r="46" ht="57" customHeight="1" s="42">
      <c r="A46" s="27" t="n">
        <v>46317</v>
      </c>
      <c r="B46" s="29" t="inlineStr">
        <is>
          <t>Thu</t>
        </is>
      </c>
      <c r="C46" s="29" t="n">
        <v>10</v>
      </c>
      <c r="D46" s="29" t="inlineStr">
        <is>
          <t>Botox &amp; Filler in Oakville</t>
        </is>
      </c>
      <c r="E46" s="29" t="inlineStr">
        <is>
          <t>Carousel</t>
        </is>
      </c>
      <c r="F46" s="11" t="inlineStr">
        <is>
          <t>Light</t>
        </is>
      </c>
      <c r="G46" s="29" t="inlineStr">
        <is>
          <t>Instagram feed + GBP</t>
        </is>
      </c>
      <c r="H46" s="29" t="inlineStr">
        <is>
          <t>Education</t>
        </is>
      </c>
      <c r="I46" s="29" t="inlineStr">
        <is>
          <t>Lip Filler Aftercare: Your First Week | Swelling is normal. Panic is optional.</t>
        </is>
      </c>
      <c r="J46" s="29" t="inlineStr">
        <is>
          <t>Lip filler aftercare, day by day. Day zero is swollen, and that is fine. Here is exactly what to do and avoid in your first week so your dermal filler settles well. Save it for after your Oakville appointment.
#lipfilleroakville #fillersoakville #oakvillemedspa #burlingtonfiller #miltonlipfiller #mississaugamedspa #dermalfillers #naturallips #facialbalancing #aestheticnurse #luxurybeautybycleor #npcleo</t>
        </is>
      </c>
      <c r="K46" s="29" t="inlineStr">
        <is>
          <t>Save for after your appointment</t>
        </is>
      </c>
      <c r="L46" s="29" t="inlineStr">
        <is>
          <t>Set B</t>
        </is>
      </c>
      <c r="M46" s="29" t="inlineStr">
        <is>
          <t>READY: 7 slides in this post's folder</t>
        </is>
      </c>
      <c r="N46" s="11" t="inlineStr">
        <is>
          <t>img_9848 (before) + img_9850 (right after); img_7715, whatsapp composite</t>
        </is>
      </c>
      <c r="O46" s="17" t="inlineStr">
        <is>
          <t>On file</t>
        </is>
      </c>
      <c r="P46" s="32" t="inlineStr">
        <is>
          <t>Open folder</t>
        </is>
      </c>
      <c r="Q46" s="11" t="inlineStr">
        <is>
          <t>View 7 slides (jpg)</t>
        </is>
      </c>
      <c r="R46" s="11">
        <f>IMAGE("https://raw.githubusercontent.com/RepoKing23/InstagramCarousel/claude/serene-curie-xunco2/content/2026-10-22-lip-filler-aftercare-your-first-week/images/slide-1.jpg")</f>
        <v/>
      </c>
      <c r="S46" s="29" t="inlineStr">
        <is>
          <t>Ready</t>
        </is>
      </c>
      <c r="T46" s="54" t="n"/>
      <c r="U46" s="54" t="n"/>
      <c r="V46" s="54" t="n"/>
      <c r="W46" s="54" t="n"/>
      <c r="X46" s="54" t="n"/>
      <c r="Y46" s="54" t="n"/>
      <c r="Z46" s="11" t="inlineStr">
        <is>
          <t>Lip filler aftercare for the first week. Ice on and off for the first day, sleep propped up, no gym, sauna or hot yoga for 48 hours, no pressing or massaging unless asked, and keep the water up. Save the post on Instagram.</t>
        </is>
      </c>
      <c r="AA46" s="11" t="inlineStr">
        <is>
          <t>Learn more &gt; Instagram</t>
        </is>
      </c>
      <c r="AB46" s="11" t="inlineStr">
        <is>
          <t>View GBP image (jpg)</t>
        </is>
      </c>
      <c r="AC46" s="0" t="inlineStr">
        <is>
          <t>dermal fillers</t>
        </is>
      </c>
      <c r="AD46" s="61" t="inlineStr">
        <is>
          <t>Lip filler aftercare carousel: day zero result and what to do in the first week after dermal filler</t>
        </is>
      </c>
    </row>
    <row r="47" ht="57" customHeight="1" s="42">
      <c r="A47" s="27" t="n">
        <v>46321</v>
      </c>
      <c r="B47" s="29" t="inlineStr">
        <is>
          <t>Mon</t>
        </is>
      </c>
      <c r="C47" s="29" t="n">
        <v>11</v>
      </c>
      <c r="D47" s="29" t="inlineStr">
        <is>
          <t>Botox &amp; Filler in Oakville</t>
        </is>
      </c>
      <c r="E47" s="29" t="inlineStr">
        <is>
          <t>Carousel</t>
        </is>
      </c>
      <c r="F47" s="11" t="inlineStr">
        <is>
          <t>Light</t>
        </is>
      </c>
      <c r="G47" s="29" t="inlineStr">
        <is>
          <t>Instagram feed + GBP</t>
        </is>
      </c>
      <c r="H47" s="29" t="inlineStr">
        <is>
          <t>Education</t>
        </is>
      </c>
      <c r="I47" s="29" t="inlineStr">
        <is>
          <t>Botox for Men in Oakville | Not a trend. A Tuesday.</t>
        </is>
      </c>
      <c r="J47" s="29" t="inlineStr">
        <is>
          <t>Botox for men is one of the most common appointments nobody talks about. Stronger muscles, different dosing, and a goal of looking less tired, not done. Here is what men in Oakville ask me most. Tag someone who keeps saying he is not the type.
#botoxoakville #oakvillemedspa #burlingtonbotox #miltonmedspa #mississaugainjector #haltonregion #preventativebotox #botoxcanada #nursepractitionerinjector #naturalresults #luxurybeautybycleor #npcleo</t>
        </is>
      </c>
      <c r="K47" s="29" t="inlineStr">
        <is>
          <t>Send this to him</t>
        </is>
      </c>
      <c r="L47" s="29" t="inlineStr">
        <is>
          <t>Set A</t>
        </is>
      </c>
      <c r="M47" s="29" t="inlineStr">
        <is>
          <t>DESIGNED, photo pending: 7 slides in this post's folder</t>
        </is>
      </c>
      <c r="N47" s="11" t="inlineStr">
        <is>
          <t>Photo pending. Unsplash search: man portrait natural light grooming</t>
        </is>
      </c>
      <c r="O47" s="17" t="inlineStr">
        <is>
          <t>Not needed</t>
        </is>
      </c>
      <c r="P47" s="32" t="inlineStr">
        <is>
          <t>Open folder</t>
        </is>
      </c>
      <c r="Q47" s="11" t="inlineStr">
        <is>
          <t>View 7 slides (jpg)</t>
        </is>
      </c>
      <c r="R47" s="11">
        <f>IMAGE("https://raw.githubusercontent.com/RepoKing23/InstagramCarousel/claude/serene-curie-xunco2/content/2026-10-26-botox-for-men-oakville/images/slide-1.jpg")</f>
        <v/>
      </c>
      <c r="S47" s="29" t="inlineStr">
        <is>
          <t>Design</t>
        </is>
      </c>
      <c r="T47" s="54" t="n"/>
      <c r="U47" s="54" t="n"/>
      <c r="V47" s="54" t="n"/>
      <c r="W47" s="54" t="n"/>
      <c r="X47" s="54" t="n"/>
      <c r="Y47" s="54" t="n"/>
      <c r="Z47" s="11" t="inlineStr">
        <is>
          <t>Botox for men in Oakville. Men usually need a different dose, the brows are kept low and masculine, and the goal is looking less tired, not treated. Ten minutes, no downtime, private studio. More on Instagram.</t>
        </is>
      </c>
      <c r="AA47" s="11" t="inlineStr">
        <is>
          <t>Learn more &gt; Instagram</t>
        </is>
      </c>
      <c r="AB47" s="11" t="inlineStr">
        <is>
          <t>View GBP image (jpg)</t>
        </is>
      </c>
      <c r="AC47" s="0" t="inlineStr">
        <is>
          <t>oakville botox</t>
        </is>
      </c>
      <c r="AD47" s="61" t="inlineStr">
        <is>
          <t>Botox for men in Oakville: dosing, natural results and the questions men ask most</t>
        </is>
      </c>
    </row>
    <row r="48" ht="57" customHeight="1" s="42">
      <c r="A48" s="27" t="n">
        <v>46322</v>
      </c>
      <c r="B48" s="29" t="inlineStr">
        <is>
          <t>Tue</t>
        </is>
      </c>
      <c r="C48" s="29" t="n">
        <v>11</v>
      </c>
      <c r="D48" s="29" t="inlineStr">
        <is>
          <t>Botox &amp; Filler in Oakville</t>
        </is>
      </c>
      <c r="E48" s="29" t="inlineStr">
        <is>
          <t>Single Image</t>
        </is>
      </c>
      <c r="F48" s="11" t="inlineStr">
        <is>
          <t>Dark</t>
        </is>
      </c>
      <c r="G48" s="29" t="inlineStr">
        <is>
          <t>IG + FB + TikTok photo + GBP</t>
        </is>
      </c>
      <c r="H48" s="29" t="inlineStr">
        <is>
          <t>Education</t>
        </is>
      </c>
      <c r="I48" s="29" t="inlineStr">
        <is>
          <t>How Many Electrolysis Sessions Will I Need? | The honest answer is a range, not a number.</t>
        </is>
      </c>
      <c r="J48" s="29" t="inlineStr">
        <is>
          <t>How many electrolysis sessions will you need? It is a course, not a single visit, because hair grows in cycles and only some follicles are active at once. Area, density, hormones and past waxing or tweezing all change the number. Tell me your area and I will give you an honest idea.
#electrolysisoakville #oakvilleelectrolysis #facialelectrolysis #electrolysis #permanenthairremoval #hairremovaloakville #burlingtonelectrolysis #miltonontario #mississaugabeauty #haltonregion #luxurybeautybycleor #npcleo</t>
        </is>
      </c>
      <c r="K48" s="29" t="inlineStr">
        <is>
          <t>Ask me your area</t>
        </is>
      </c>
      <c r="L48" s="29" t="inlineStr">
        <is>
          <t>Set F</t>
        </is>
      </c>
      <c r="M48" s="29" t="inlineStr">
        <is>
          <t>DESIGNED, photo pending: final image in this post's folder</t>
        </is>
      </c>
      <c r="N48" s="11" t="inlineStr">
        <is>
          <t>Photo pending. Unsplash search: woman calendar planning calm</t>
        </is>
      </c>
      <c r="O48" s="17" t="inlineStr">
        <is>
          <t>Not needed</t>
        </is>
      </c>
      <c r="P48" s="32" t="inlineStr">
        <is>
          <t>Open folder</t>
        </is>
      </c>
      <c r="Q48" s="11" t="inlineStr">
        <is>
          <t>View image (jpg)</t>
        </is>
      </c>
      <c r="R48" s="11">
        <f>IMAGE("https://raw.githubusercontent.com/RepoKing23/InstagramCarousel/claude/serene-curie-xunco2/content/2026-10-27-how-many-electrolysis-sessions/images/post.jpg")</f>
        <v/>
      </c>
      <c r="S48" s="29" t="inlineStr">
        <is>
          <t>Design</t>
        </is>
      </c>
      <c r="T48" s="54" t="n"/>
      <c r="U48" s="54" t="n"/>
      <c r="V48" s="54" t="n"/>
      <c r="W48" s="54" t="n"/>
      <c r="X48" s="54" t="n"/>
      <c r="Y48" s="54" t="n"/>
      <c r="Z48" s="11" t="inlineStr">
        <is>
          <t>How many electrolysis sessions will you need? It is a course, not one visit, because hair grows in cycles and not every follicle is active at once. Area, density and hormones change the number. Ask about your area on Instagram.</t>
        </is>
      </c>
      <c r="AA48" s="11" t="inlineStr">
        <is>
          <t>Learn more &gt; Instagram</t>
        </is>
      </c>
      <c r="AB48" s="11" t="inlineStr">
        <is>
          <t>View GBP image (jpg)</t>
        </is>
      </c>
      <c r="AC48" s="0" t="inlineStr">
        <is>
          <t>electrolysis oakville</t>
        </is>
      </c>
      <c r="AD48" s="61" t="inlineStr">
        <is>
          <t>How many electrolysis sessions are needed, explained for Oakville clients: hair growth cycles and a course of treatment</t>
        </is>
      </c>
    </row>
    <row r="49" ht="57" customHeight="1" s="42">
      <c r="A49" s="27" t="n">
        <v>46323</v>
      </c>
      <c r="B49" s="29" t="inlineStr">
        <is>
          <t>Wed</t>
        </is>
      </c>
      <c r="C49" s="29" t="n">
        <v>11</v>
      </c>
      <c r="D49" s="29" t="inlineStr">
        <is>
          <t>Botox &amp; Filler in Oakville</t>
        </is>
      </c>
      <c r="E49" s="29" t="inlineStr">
        <is>
          <t>Before/After</t>
        </is>
      </c>
      <c r="F49" s="11" t="inlineStr">
        <is>
          <t>Photo</t>
        </is>
      </c>
      <c r="G49" s="29" t="inlineStr">
        <is>
          <t>IG + FB + GBP</t>
        </is>
      </c>
      <c r="H49" s="29" t="inlineStr">
        <is>
          <t>Trust &amp; Proof</t>
        </is>
      </c>
      <c r="I49" s="29" t="inlineStr">
        <is>
          <t>Client Words: The Lip Glow-Up | Her words, her result.</t>
        </is>
      </c>
      <c r="J49" s="29" t="inlineStr">
        <is>
          <t>In her words: she wanted lips that looked like hers on a good day, and nobody at work has asked what she had done. That is the brief, met. Lip filler at the Oakville studio. Shared with written consent, individual results vary.
#oakvillemedspa #burlingtonmedspa #miltonontario #mississaugabeauty #haltonregion #honestinjector #naturalresults #aestheticnurse #nursepractitioner #medspacanada #luxurybeautybycleor #npcleo</t>
        </is>
      </c>
      <c r="K49" s="29" t="inlineStr">
        <is>
          <t>DM the word LIPS</t>
        </is>
      </c>
      <c r="L49" s="29" t="inlineStr">
        <is>
          <t>Set C</t>
        </is>
      </c>
      <c r="M49" s="29" t="inlineStr">
        <is>
          <t>READY: real client result, 1 image in this post's folder</t>
        </is>
      </c>
      <c r="N49" s="11" t="inlineStr">
        <is>
          <t>img_0962 (before), img_0998 (after)</t>
        </is>
      </c>
      <c r="O49" s="17" t="inlineStr">
        <is>
          <t>On file</t>
        </is>
      </c>
      <c r="P49" s="32" t="inlineStr">
        <is>
          <t>Open folder</t>
        </is>
      </c>
      <c r="Q49" s="11" t="inlineStr">
        <is>
          <t>View image (jpg)</t>
        </is>
      </c>
      <c r="R49" s="11">
        <f>IMAGE("https://raw.githubusercontent.com/RepoKing23/InstagramCarousel/claude/serene-curie-xunco2/content/2026-10-28-client-words-the-lip-glow-up/images/before-after-result.jpg")</f>
        <v/>
      </c>
      <c r="S49" s="29" t="inlineStr">
        <is>
          <t>Ready</t>
        </is>
      </c>
      <c r="T49" s="54" t="n"/>
      <c r="U49" s="54" t="n"/>
      <c r="V49" s="54" t="n"/>
      <c r="W49" s="54" t="n"/>
      <c r="X49" s="54" t="n"/>
      <c r="Y49" s="54" t="n"/>
      <c r="Z49" s="11" t="inlineStr">
        <is>
          <t>In her words, shared with consent: she wanted lips that looked like hers on a good day, and nobody at work has asked what she had done. That is the brief, met. Her result is on Instagram beside it.</t>
        </is>
      </c>
      <c r="AA49" s="11" t="inlineStr">
        <is>
          <t>Learn more &gt; Instagram</t>
        </is>
      </c>
      <c r="AB49" s="11" t="inlineStr">
        <is>
          <t>View GBP image (jpg)</t>
        </is>
      </c>
      <c r="AC49" s="0" t="inlineStr">
        <is>
          <t>dermal fillers</t>
        </is>
      </c>
      <c r="AD49" s="61" t="inlineStr">
        <is>
          <t>Client testimonial and lip filler result from an Oakville studio, shared with written consent</t>
        </is>
      </c>
    </row>
    <row r="50" ht="57" customHeight="1" s="42">
      <c r="A50" s="27" t="n">
        <v>46324</v>
      </c>
      <c r="B50" s="29" t="inlineStr">
        <is>
          <t>Thu</t>
        </is>
      </c>
      <c r="C50" s="29" t="n">
        <v>11</v>
      </c>
      <c r="D50" s="29" t="inlineStr">
        <is>
          <t>Botox &amp; Filler in Oakville</t>
        </is>
      </c>
      <c r="E50" s="29" t="inlineStr">
        <is>
          <t>Carousel</t>
        </is>
      </c>
      <c r="F50" s="11" t="inlineStr">
        <is>
          <t>Light</t>
        </is>
      </c>
      <c r="G50" s="29" t="inlineStr">
        <is>
          <t>Instagram feed + GBP</t>
        </is>
      </c>
      <c r="H50" s="29" t="inlineStr">
        <is>
          <t>Trust &amp; Proof</t>
        </is>
      </c>
      <c r="I50" s="29" t="inlineStr">
        <is>
          <t>Facial Balancing with Dermal Fillers: Faces, Not Lines | Chasing lines is old school.</t>
        </is>
      </c>
      <c r="J50" s="29" t="inlineStr">
        <is>
          <t>Facial balancing uses dermal fillers to bring your features into proportion with each other, instead of filling one line at a time. Often the lip you want to change looks better once the chin is supported. Here is how we think about a whole face in Oakville.
#lipfilleroakville #fillersoakville #oakvillemedspa #burlingtonfiller #miltonlipfiller #mississaugamedspa #dermalfillers #naturallips #facialbalancing #aestheticnurse #luxurybeautybycleor #npcleo</t>
        </is>
      </c>
      <c r="K50" s="29" t="inlineStr">
        <is>
          <t>Share this</t>
        </is>
      </c>
      <c r="L50" s="29" t="inlineStr">
        <is>
          <t>Set B</t>
        </is>
      </c>
      <c r="M50" s="29" t="inlineStr">
        <is>
          <t>DESIGNED, photo pending: 7 slides in this post's folder</t>
        </is>
      </c>
      <c r="N50" s="11" t="inlineStr">
        <is>
          <t>Photo pending. Unsplash search: woman side profile portrait neutral</t>
        </is>
      </c>
      <c r="O50" s="17" t="inlineStr">
        <is>
          <t>Not needed</t>
        </is>
      </c>
      <c r="P50" s="32" t="inlineStr">
        <is>
          <t>Open folder</t>
        </is>
      </c>
      <c r="Q50" s="11" t="inlineStr">
        <is>
          <t>View 7 slides (jpg)</t>
        </is>
      </c>
      <c r="R50" s="11">
        <f>IMAGE("https://raw.githubusercontent.com/RepoKing23/InstagramCarousel/claude/serene-curie-xunco2/content/2026-10-29-facial-balancing-dermal-fillers/images/slide-1.jpg")</f>
        <v/>
      </c>
      <c r="S50" s="29" t="inlineStr">
        <is>
          <t>Design</t>
        </is>
      </c>
      <c r="T50" s="54" t="n"/>
      <c r="U50" s="54" t="n"/>
      <c r="V50" s="54" t="n"/>
      <c r="W50" s="54" t="n"/>
      <c r="X50" s="54" t="n"/>
      <c r="Y50" s="54" t="n"/>
      <c r="Z50" s="11" t="inlineStr">
        <is>
          <t>Facial balancing with dermal fillers treats the whole face, not one line at a time. Supporting the chin or cheeks often changes how the lips and mouth read. Less product, placed in the right two or three places. On Instagram.</t>
        </is>
      </c>
      <c r="AA50" s="11" t="inlineStr">
        <is>
          <t>Learn more &gt; Instagram</t>
        </is>
      </c>
      <c r="AB50" s="11" t="inlineStr">
        <is>
          <t>View GBP image (jpg)</t>
        </is>
      </c>
      <c r="AC50" s="0" t="inlineStr">
        <is>
          <t>dermal fillers</t>
        </is>
      </c>
      <c r="AD50" s="61" t="inlineStr">
        <is>
          <t>Facial balancing with dermal fillers in Oakville: treating proportion across chin, cheeks, lips and jaw</t>
        </is>
      </c>
    </row>
    <row r="51" ht="57" customHeight="1" s="42">
      <c r="A51" s="27" t="n">
        <v>46328</v>
      </c>
      <c r="B51" s="29" t="inlineStr">
        <is>
          <t>Mon</t>
        </is>
      </c>
      <c r="C51" s="29" t="n">
        <v>12</v>
      </c>
      <c r="D51" s="29" t="inlineStr">
        <is>
          <t>Rested by the Holidays</t>
        </is>
      </c>
      <c r="E51" s="29" t="inlineStr">
        <is>
          <t>Carousel</t>
        </is>
      </c>
      <c r="F51" s="11" t="inlineStr">
        <is>
          <t>Light</t>
        </is>
      </c>
      <c r="G51" s="29" t="inlineStr">
        <is>
          <t>Instagram feed + GBP</t>
        </is>
      </c>
      <c r="H51" s="29" t="inlineStr">
        <is>
          <t>Promo &amp; CTA</t>
        </is>
      </c>
      <c r="I51" s="29" t="inlineStr">
        <is>
          <t>Botox Before the Holidays: Your Oakville Booking Timeline | Party season is closer than you think.</t>
        </is>
      </c>
      <c r="J51" s="29" t="inlineStr">
        <is>
          <t>Want Botox for a holiday party in Oakville? Work backwards. Results take two weeks to settle, and you want your review done before the event, not the day of. Here is the timeline, and the dates to book by. Save it and send it to your group chat.
#oakvillemedspa #burlingtonontario #miltonontario #mississaugabeauty #haltonregion #treatyourself #selfcare #giftcertificate #medspaspecial #bookyourappointment #luxurybeautybycleor #npcleo</t>
        </is>
      </c>
      <c r="K51" s="29" t="inlineStr">
        <is>
          <t>Book by your date</t>
        </is>
      </c>
      <c r="L51" s="29" t="inlineStr">
        <is>
          <t>Set E</t>
        </is>
      </c>
      <c r="M51" s="29" t="inlineStr">
        <is>
          <t>DESIGNED, photo pending: 7 slides in this post's folder</t>
        </is>
      </c>
      <c r="N51" s="11" t="inlineStr">
        <is>
          <t>Photo pending. Unsplash search: woman holiday lights portrait elegant</t>
        </is>
      </c>
      <c r="O51" s="17" t="inlineStr">
        <is>
          <t>Not needed</t>
        </is>
      </c>
      <c r="P51" s="32" t="inlineStr">
        <is>
          <t>Open folder</t>
        </is>
      </c>
      <c r="Q51" s="11" t="inlineStr">
        <is>
          <t>View 7 slides (jpg)</t>
        </is>
      </c>
      <c r="R51" s="11">
        <f>IMAGE("https://raw.githubusercontent.com/RepoKing23/InstagramCarousel/claude/serene-curie-xunco2/content/2026-11-02-botox-before-the-holidays-timeline/images/slide-1.jpg")</f>
        <v/>
      </c>
      <c r="S51" s="29" t="inlineStr">
        <is>
          <t>Design</t>
        </is>
      </c>
      <c r="T51" s="54" t="n"/>
      <c r="U51" s="54" t="n"/>
      <c r="V51" s="54" t="n"/>
      <c r="W51" s="54" t="n"/>
      <c r="X51" s="54" t="n"/>
      <c r="Y51" s="54" t="n"/>
      <c r="Z51" s="11" t="inlineStr">
        <is>
          <t>Planning Botox before a holiday event in Oakville? Results settle at two weeks, and you want your review done before the party. Book three to four weeks ahead, and four to six if it is your first time. Dates on Instagram.</t>
        </is>
      </c>
      <c r="AA51" s="11" t="inlineStr">
        <is>
          <t>Learn more &gt; Instagram</t>
        </is>
      </c>
      <c r="AB51" s="11" t="inlineStr">
        <is>
          <t>View GBP image (jpg)</t>
        </is>
      </c>
      <c r="AC51" s="0" t="inlineStr">
        <is>
          <t>oakville botox</t>
        </is>
      </c>
      <c r="AD51" s="61" t="inlineStr">
        <is>
          <t>Botox holiday booking timeline for Oakville: book at least three to four weeks before your event</t>
        </is>
      </c>
    </row>
    <row r="52" ht="57" customHeight="1" s="42">
      <c r="A52" s="27" t="n">
        <v>46329</v>
      </c>
      <c r="B52" s="29" t="inlineStr">
        <is>
          <t>Tue</t>
        </is>
      </c>
      <c r="C52" s="29" t="n">
        <v>12</v>
      </c>
      <c r="D52" s="29" t="inlineStr">
        <is>
          <t>Rested by the Holidays</t>
        </is>
      </c>
      <c r="E52" s="29" t="inlineStr">
        <is>
          <t>Single Image</t>
        </is>
      </c>
      <c r="F52" s="11" t="inlineStr">
        <is>
          <t>Dark</t>
        </is>
      </c>
      <c r="G52" s="29" t="inlineStr">
        <is>
          <t>IG + FB + TikTok photo + GBP</t>
        </is>
      </c>
      <c r="H52" s="29" t="inlineStr">
        <is>
          <t>Education</t>
        </is>
      </c>
      <c r="I52" s="29" t="inlineStr">
        <is>
          <t>Electrolysis Aftercare: The First 48 Hours | A little pink is normal.</t>
        </is>
      </c>
      <c r="J52" s="29" t="inlineStr">
        <is>
          <t>Electrolysis aftercare is simple. Some redness or small bumps for a few hours is normal. For 48 hours: clean hands only, no makeup on the area if you can, no heat, sun or exfoliating, and do not pick. Between sessions, trim or shave, never tweeze. Save it for after your appointment.
#electrolysisoakville #oakvilleelectrolysis #facialelectrolysis #electrolysis #permanenthairremoval #hairremovaloakville #burlingtonelectrolysis #miltonontario #mississaugabeauty #haltonregion #luxurybeautybycleor #npcleo</t>
        </is>
      </c>
      <c r="K52" s="29" t="inlineStr">
        <is>
          <t>Save this</t>
        </is>
      </c>
      <c r="L52" s="29" t="inlineStr">
        <is>
          <t>Set F</t>
        </is>
      </c>
      <c r="M52" s="29" t="inlineStr">
        <is>
          <t>DESIGNED, photo pending: final image in this post's folder</t>
        </is>
      </c>
      <c r="N52" s="11" t="inlineStr">
        <is>
          <t>Photo pending. Unsplash search: woman gentle skincare routine portrait</t>
        </is>
      </c>
      <c r="O52" s="17" t="inlineStr">
        <is>
          <t>Not needed</t>
        </is>
      </c>
      <c r="P52" s="32" t="inlineStr">
        <is>
          <t>Open folder</t>
        </is>
      </c>
      <c r="Q52" s="11" t="inlineStr">
        <is>
          <t>View image (jpg)</t>
        </is>
      </c>
      <c r="R52" s="11">
        <f>IMAGE("https://raw.githubusercontent.com/RepoKing23/InstagramCarousel/claude/serene-curie-xunco2/content/2026-11-03-electrolysis-aftercare/images/post.jpg")</f>
        <v/>
      </c>
      <c r="S52" s="29" t="inlineStr">
        <is>
          <t>Design</t>
        </is>
      </c>
      <c r="T52" s="54" t="n"/>
      <c r="U52" s="54" t="n"/>
      <c r="V52" s="54" t="n"/>
      <c r="W52" s="54" t="n"/>
      <c r="X52" s="54" t="n"/>
      <c r="Y52" s="54" t="n"/>
      <c r="Z52" s="11" t="inlineStr">
        <is>
          <t>Electrolysis aftercare for the first 48 hours: redness or small bumps are normal, keep hands off, skip makeup on the area if you can, and avoid heat, sun and exfoliating. Between sessions, trim or shave, never tweeze. On Instagram.</t>
        </is>
      </c>
      <c r="AA52" s="11" t="inlineStr">
        <is>
          <t>Learn more &gt; Instagram</t>
        </is>
      </c>
      <c r="AB52" s="11" t="inlineStr">
        <is>
          <t>View GBP image (jpg)</t>
        </is>
      </c>
      <c r="AC52" s="0" t="inlineStr">
        <is>
          <t>facial electrolysis</t>
        </is>
      </c>
      <c r="AD52" s="61" t="inlineStr">
        <is>
          <t>Electrolysis aftercare for the first 48 hours: redness is normal, avoid makeup, heat and tweezing</t>
        </is>
      </c>
    </row>
    <row r="53" ht="57" customHeight="1" s="42">
      <c r="A53" s="27" t="n">
        <v>46330</v>
      </c>
      <c r="B53" s="29" t="inlineStr">
        <is>
          <t>Wed</t>
        </is>
      </c>
      <c r="C53" s="29" t="n">
        <v>12</v>
      </c>
      <c r="D53" s="29" t="inlineStr">
        <is>
          <t>Rested by the Holidays</t>
        </is>
      </c>
      <c r="E53" s="29" t="inlineStr">
        <is>
          <t>Before/After</t>
        </is>
      </c>
      <c r="F53" s="11" t="inlineStr">
        <is>
          <t>Photo</t>
        </is>
      </c>
      <c r="G53" s="29" t="inlineStr">
        <is>
          <t>IG + FB + GBP</t>
        </is>
      </c>
      <c r="H53" s="29" t="inlineStr">
        <is>
          <t>Trust &amp; Proof</t>
        </is>
      </c>
      <c r="I53" s="29" t="inlineStr">
        <is>
          <t>One Syringe. Balanced Lips. | Faces, not lines.</t>
        </is>
      </c>
      <c r="J53" s="29" t="inlineStr">
        <is>
          <t>One syringe, one appointment, photographed two weeks apart in the same light. The upper lip was short against the lower, so the work was ratio, not volume. Lip filler at the Oakville studio. Shared with written consent, individual results vary.
#lipfilleroakville #fillersoakville #oakvillemedspa #burlingtonfiller #miltonlipfiller #mississaugamedspa #dermalfillers #naturallips #facialbalancing #aestheticnurse #luxurybeautybycleor #npcleo</t>
        </is>
      </c>
      <c r="K53" s="29" t="inlineStr">
        <is>
          <t>DM the word LIPS</t>
        </is>
      </c>
      <c r="L53" s="29" t="inlineStr">
        <is>
          <t>Set B</t>
        </is>
      </c>
      <c r="M53" s="29" t="inlineStr">
        <is>
          <t>READY: real client result, 1 image in this post's folder</t>
        </is>
      </c>
      <c r="N53" s="11" t="inlineStr">
        <is>
          <t>img_0221 (before), img_0233 (after)</t>
        </is>
      </c>
      <c r="O53" s="17" t="inlineStr">
        <is>
          <t>On file</t>
        </is>
      </c>
      <c r="P53" s="32" t="inlineStr">
        <is>
          <t>Open folder</t>
        </is>
      </c>
      <c r="Q53" s="11" t="inlineStr">
        <is>
          <t>View image (jpg)</t>
        </is>
      </c>
      <c r="R53" s="11">
        <f>IMAGE("https://raw.githubusercontent.com/RepoKing23/InstagramCarousel/claude/serene-curie-xunco2/content/2026-11-04-one-syringe-balanced-lips/images/before-after-result.jpg")</f>
        <v/>
      </c>
      <c r="S53" s="29" t="inlineStr">
        <is>
          <t>Ready</t>
        </is>
      </c>
      <c r="T53" s="54" t="n"/>
      <c r="U53" s="54" t="n"/>
      <c r="V53" s="54" t="n"/>
      <c r="W53" s="54" t="n"/>
      <c r="X53" s="54" t="n"/>
      <c r="Y53" s="54" t="n"/>
      <c r="Z53" s="11" t="inlineStr">
        <is>
          <t>One syringe, one appointment, photographed two weeks apart in the same light. The upper lip was short against the lower, so the work was ratio rather than volume. Shared with client consent on Instagram.</t>
        </is>
      </c>
      <c r="AA53" s="11" t="inlineStr">
        <is>
          <t>Learn more &gt; Instagram</t>
        </is>
      </c>
      <c r="AB53" s="11" t="inlineStr">
        <is>
          <t>View GBP image (jpg)</t>
        </is>
      </c>
      <c r="AC53" s="0" t="inlineStr">
        <is>
          <t>dermal fillers</t>
        </is>
      </c>
      <c r="AD53" s="61" t="inlineStr">
        <is>
          <t>One syringe lip filler result for balance, Oakville studio, same light two weeks apart, with consent</t>
        </is>
      </c>
    </row>
    <row r="54" ht="57" customHeight="1" s="42">
      <c r="A54" s="27" t="n">
        <v>46331</v>
      </c>
      <c r="B54" s="29" t="inlineStr">
        <is>
          <t>Thu</t>
        </is>
      </c>
      <c r="C54" s="29" t="n">
        <v>12</v>
      </c>
      <c r="D54" s="29" t="inlineStr">
        <is>
          <t>Rested by the Holidays</t>
        </is>
      </c>
      <c r="E54" s="29" t="inlineStr">
        <is>
          <t>Carousel</t>
        </is>
      </c>
      <c r="F54" s="11" t="inlineStr">
        <is>
          <t>Light</t>
        </is>
      </c>
      <c r="G54" s="29" t="inlineStr">
        <is>
          <t>Instagram feed + GBP</t>
        </is>
      </c>
      <c r="H54" s="29" t="inlineStr">
        <is>
          <t>Promo &amp; CTA</t>
        </is>
      </c>
      <c r="I54" s="29" t="inlineStr">
        <is>
          <t>Party Season Prep: Botox, Filler and Electrolysis, Planned Backwards | Your holiday glow, planned backwards.</t>
        </is>
      </c>
      <c r="J54" s="29" t="inlineStr">
        <is>
          <t>Party season prep at our Oakville studio, planned backwards from your event. Electrolysis first because it is a course, then filler, then Botox, then nothing new in the last week. Here is the order that actually works. Save it.
#oakvillemedspa #burlingtonontario #miltonontario #mississaugabeauty #haltonregion #treatyourself #selfcare #giftcertificate #medspaspecial #bookyourappointment #luxurybeautybycleor #npcleo</t>
        </is>
      </c>
      <c r="K54" s="29" t="inlineStr">
        <is>
          <t>Save your plan</t>
        </is>
      </c>
      <c r="L54" s="29" t="inlineStr">
        <is>
          <t>Set E</t>
        </is>
      </c>
      <c r="M54" s="29" t="inlineStr">
        <is>
          <t>DESIGNED, photo pending: 7 slides in this post's folder</t>
        </is>
      </c>
      <c r="N54" s="11" t="inlineStr">
        <is>
          <t>Photo pending. Unsplash search: elegant woman evening dress portrait</t>
        </is>
      </c>
      <c r="O54" s="17" t="inlineStr">
        <is>
          <t>Not needed</t>
        </is>
      </c>
      <c r="P54" s="32" t="inlineStr">
        <is>
          <t>Open folder</t>
        </is>
      </c>
      <c r="Q54" s="11" t="inlineStr">
        <is>
          <t>View 7 slides (jpg)</t>
        </is>
      </c>
      <c r="R54" s="11">
        <f>IMAGE("https://raw.githubusercontent.com/RepoKing23/InstagramCarousel/claude/serene-curie-xunco2/content/2026-11-05-party-season-prep-plan/images/slide-1.jpg")</f>
        <v/>
      </c>
      <c r="S54" s="29" t="inlineStr">
        <is>
          <t>Design</t>
        </is>
      </c>
      <c r="T54" s="54" t="n"/>
      <c r="U54" s="54" t="n"/>
      <c r="V54" s="54" t="n"/>
      <c r="W54" s="54" t="n"/>
      <c r="X54" s="54" t="n"/>
      <c r="Y54" s="54" t="n"/>
      <c r="Z54" s="11" t="inlineStr">
        <is>
          <t>Party season prep at an Oakville med spa, planned backwards: electrolysis eight weeks out, dermal filler four to six weeks, Botox three to four weeks, and nothing new in the final week. The full plan is on Instagram.</t>
        </is>
      </c>
      <c r="AA54" s="11" t="inlineStr">
        <is>
          <t>Learn more &gt; Instagram</t>
        </is>
      </c>
      <c r="AB54" s="11" t="inlineStr">
        <is>
          <t>View GBP image (jpg)</t>
        </is>
      </c>
      <c r="AC54" s="0" t="inlineStr">
        <is>
          <t>luxury spa oakville</t>
        </is>
      </c>
      <c r="AD54" s="61" t="inlineStr">
        <is>
          <t>Holiday party prep plan at an Oakville med spa: electrolysis, dermal filler and Botox timing</t>
        </is>
      </c>
    </row>
    <row r="55" ht="57" customHeight="1" s="42">
      <c r="A55" s="27" t="n">
        <v>46335</v>
      </c>
      <c r="B55" s="29" t="inlineStr">
        <is>
          <t>Mon</t>
        </is>
      </c>
      <c r="C55" s="29" t="n">
        <v>13</v>
      </c>
      <c r="D55" s="29" t="inlineStr">
        <is>
          <t>Rested by the Holidays</t>
        </is>
      </c>
      <c r="E55" s="29" t="inlineStr">
        <is>
          <t>Carousel</t>
        </is>
      </c>
      <c r="F55" s="11" t="inlineStr">
        <is>
          <t>Light</t>
        </is>
      </c>
      <c r="G55" s="29" t="inlineStr">
        <is>
          <t>Instagram feed + GBP</t>
        </is>
      </c>
      <c r="H55" s="29" t="inlineStr">
        <is>
          <t>Education</t>
        </is>
      </c>
      <c r="I55" s="29" t="inlineStr">
        <is>
          <t>Under-Eye Filler: The Honest Truth | The most requested, most misunderstood treatment.</t>
        </is>
      </c>
      <c r="J55" s="29" t="inlineStr">
        <is>
          <t>Under eye filler can look amazing, and it can be the wrong treatment entirely. Hollows respond well. Puffiness, dark pigment and loose skin usually do not. Here is how to tell which one you have before you book dermal fillers for your tear troughs.
#lipfilleroakville #fillersoakville #oakvillemedspa #burlingtonfiller #miltonlipfiller #mississaugamedspa #dermalfillers #naturallips #facialbalancing #aestheticnurse #luxurybeautybycleor #npcleo</t>
        </is>
      </c>
      <c r="K55" s="29" t="inlineStr">
        <is>
          <t>Share with a tired friend</t>
        </is>
      </c>
      <c r="L55" s="29" t="inlineStr">
        <is>
          <t>Set B</t>
        </is>
      </c>
      <c r="M55" s="29" t="inlineStr">
        <is>
          <t>DESIGNED, photo pending: 7 slides in this post's folder</t>
        </is>
      </c>
      <c r="N55" s="11" t="inlineStr">
        <is>
          <t>Photo pending. Unsplash search: woman eyes closeup natural light soft</t>
        </is>
      </c>
      <c r="O55" s="17" t="inlineStr">
        <is>
          <t>Not needed</t>
        </is>
      </c>
      <c r="P55" s="32" t="inlineStr">
        <is>
          <t>Open folder</t>
        </is>
      </c>
      <c r="Q55" s="11" t="inlineStr">
        <is>
          <t>View 7 slides (jpg)</t>
        </is>
      </c>
      <c r="R55" s="11">
        <f>IMAGE("https://raw.githubusercontent.com/RepoKing23/InstagramCarousel/claude/serene-curie-xunco2/content/2026-11-09-under-eye-filler-honest-truth/images/slide-1.jpg")</f>
        <v/>
      </c>
      <c r="S55" s="29" t="inlineStr">
        <is>
          <t>Design</t>
        </is>
      </c>
      <c r="T55" s="54" t="n"/>
      <c r="U55" s="54" t="n"/>
      <c r="V55" s="54" t="n"/>
      <c r="W55" s="54" t="n"/>
      <c r="X55" s="54" t="n"/>
      <c r="Y55" s="54" t="n"/>
      <c r="Z55" s="11" t="inlineStr">
        <is>
          <t>Under eye filler, honestly: it softens hollows and shadows well, but it does not fix puffy bags, dark pigment or loose skin, and can make puffiness worse. How to tell which you have before booking dermal fillers. On Instagram.</t>
        </is>
      </c>
      <c r="AA55" s="11" t="inlineStr">
        <is>
          <t>Learn more &gt; Instagram</t>
        </is>
      </c>
      <c r="AB55" s="11" t="inlineStr">
        <is>
          <t>View GBP image (jpg)</t>
        </is>
      </c>
      <c r="AC55" s="0" t="inlineStr">
        <is>
          <t>dermal fillers</t>
        </is>
      </c>
      <c r="AD55" s="61" t="inlineStr">
        <is>
          <t>Under eye filler honest guide: who is a candidate for tear trough dermal filler and who is not</t>
        </is>
      </c>
    </row>
    <row r="56" ht="57" customHeight="1" s="42">
      <c r="A56" s="27" t="n">
        <v>46336</v>
      </c>
      <c r="B56" s="29" t="inlineStr">
        <is>
          <t>Tue</t>
        </is>
      </c>
      <c r="C56" s="29" t="n">
        <v>13</v>
      </c>
      <c r="D56" s="29" t="inlineStr">
        <is>
          <t>Rested by the Holidays</t>
        </is>
      </c>
      <c r="E56" s="29" t="inlineStr">
        <is>
          <t>Single Image</t>
        </is>
      </c>
      <c r="F56" s="11" t="inlineStr">
        <is>
          <t>Dark</t>
        </is>
      </c>
      <c r="G56" s="29" t="inlineStr">
        <is>
          <t>IG + FB + TikTok photo + GBP</t>
        </is>
      </c>
      <c r="H56" s="29" t="inlineStr">
        <is>
          <t>Promo &amp; CTA</t>
        </is>
      </c>
      <c r="I56" s="29" t="inlineStr">
        <is>
          <t>Gift Certificates at Our Oakville Med Spa | The present nobody returns.</t>
        </is>
      </c>
      <c r="J56" s="29" t="inlineStr">
        <is>
          <t>Gift certificates are here at Luxury Beauty by Cleo R in Oakville. Any amount, for any treatment, and they always start with a consult so the person you love gets exactly what suits them. The present nobody returns. DM GIFT to order.
#oakvillemedspa #burlingtonontario #miltonontario #mississaugabeauty #haltonregion #treatyourself #selfcare #giftcertificate #medspaspecial #bookyourappointment #luxurybeautybycleor #npcleo</t>
        </is>
      </c>
      <c r="K56" s="29" t="inlineStr">
        <is>
          <t>DM the word GIFT</t>
        </is>
      </c>
      <c r="L56" s="29" t="inlineStr">
        <is>
          <t>Set E</t>
        </is>
      </c>
      <c r="M56" s="29" t="inlineStr">
        <is>
          <t>DESIGNED, photo pending: final image in this post's folder</t>
        </is>
      </c>
      <c r="N56" s="11" t="inlineStr">
        <is>
          <t>Photo pending. Unsplash search: gift box ribbon neutral tones minimal</t>
        </is>
      </c>
      <c r="O56" s="17" t="inlineStr">
        <is>
          <t>Not needed</t>
        </is>
      </c>
      <c r="P56" s="32" t="inlineStr">
        <is>
          <t>Open folder</t>
        </is>
      </c>
      <c r="Q56" s="11" t="inlineStr">
        <is>
          <t>View image (jpg)</t>
        </is>
      </c>
      <c r="R56" s="11">
        <f>IMAGE("https://raw.githubusercontent.com/RepoKing23/InstagramCarousel/claude/serene-curie-xunco2/content/2026-11-10-gift-certificates-oakville-med-spa/images/post.jpg")</f>
        <v/>
      </c>
      <c r="S56" s="29" t="inlineStr">
        <is>
          <t>Design</t>
        </is>
      </c>
      <c r="T56" s="54" t="n"/>
      <c r="U56" s="54" t="n"/>
      <c r="V56" s="54" t="n"/>
      <c r="W56" s="54" t="n"/>
      <c r="X56" s="54" t="n"/>
      <c r="Y56" s="54" t="n"/>
      <c r="Z56" s="11" t="inlineStr">
        <is>
          <t>Gift certificates are now available at Luxury Beauty by Cleo R, a luxury med spa in Oakville. Any amount, for Botox, dermal filler or electrolysis, always starting with a consult. The present nobody returns. Order on Instagram.</t>
        </is>
      </c>
      <c r="AA56" s="11" t="inlineStr">
        <is>
          <t>Learn more &gt; Instagram</t>
        </is>
      </c>
      <c r="AB56" s="11" t="inlineStr">
        <is>
          <t>View GBP image (jpg)</t>
        </is>
      </c>
      <c r="AC56" s="0" t="inlineStr">
        <is>
          <t>luxury spa oakville</t>
        </is>
      </c>
      <c r="AD56" s="61" t="inlineStr">
        <is>
          <t>Gift certificates at a luxury med spa in Oakville, any amount, for Botox, filler or electrolysis</t>
        </is>
      </c>
    </row>
    <row r="57" ht="57" customHeight="1" s="42">
      <c r="A57" s="27" t="n">
        <v>46337</v>
      </c>
      <c r="B57" s="29" t="inlineStr">
        <is>
          <t>Wed</t>
        </is>
      </c>
      <c r="C57" s="29" t="n">
        <v>13</v>
      </c>
      <c r="D57" s="29" t="inlineStr">
        <is>
          <t>Rested by the Holidays</t>
        </is>
      </c>
      <c r="E57" s="29" t="inlineStr">
        <is>
          <t>Single Image</t>
        </is>
      </c>
      <c r="F57" s="11" t="inlineStr">
        <is>
          <t>Light</t>
        </is>
      </c>
      <c r="G57" s="29" t="inlineStr">
        <is>
          <t>IG + FB + TikTok photo + GBP</t>
        </is>
      </c>
      <c r="H57" s="29" t="inlineStr">
        <is>
          <t>Trust &amp; Proof</t>
        </is>
      </c>
      <c r="I57" s="29" t="inlineStr">
        <is>
          <t>Why Cleo Says No | No is sometimes the treatment plan.</t>
        </is>
      </c>
      <c r="J57" s="29" t="inlineStr">
        <is>
          <t>I say no more often than people expect. Not yet, not this, or not with me. It is the part of my job that protects your face most. If you want an injector in Oakville who will tell you the truth, you are in the right place.
#oakvillemedspa #burlingtonmedspa #miltonontario #mississaugabeauty #haltonregion #honestinjector #naturalresults #aestheticnurse #nursepractitioner #medspacanada #luxurybeautybycleor #npcleo</t>
        </is>
      </c>
      <c r="K57" s="29" t="inlineStr">
        <is>
          <t>Book an honest consult</t>
        </is>
      </c>
      <c r="L57" s="29" t="inlineStr">
        <is>
          <t>Set C</t>
        </is>
      </c>
      <c r="M57" s="29" t="inlineStr">
        <is>
          <t>DESIGNED, photo pending: final image in this post's folder</t>
        </is>
      </c>
      <c r="N57" s="11" t="inlineStr">
        <is>
          <t>NEEDED: new photo of Cleo, save as design/photos/octnov/2026-11-11-ig.jpg</t>
        </is>
      </c>
      <c r="O57" s="17" t="inlineStr">
        <is>
          <t>Not needed</t>
        </is>
      </c>
      <c r="P57" s="32" t="inlineStr">
        <is>
          <t>Open folder</t>
        </is>
      </c>
      <c r="Q57" s="11" t="inlineStr">
        <is>
          <t>View image (jpg)</t>
        </is>
      </c>
      <c r="R57" s="11">
        <f>IMAGE("https://raw.githubusercontent.com/RepoKing23/InstagramCarousel/claude/serene-curie-xunco2/content/2026-11-11-why-cleo-says-no/images/post.jpg")</f>
        <v/>
      </c>
      <c r="S57" s="29" t="inlineStr">
        <is>
          <t>Design</t>
        </is>
      </c>
      <c r="T57" s="54" t="n"/>
      <c r="U57" s="54" t="n"/>
      <c r="V57" s="54" t="n"/>
      <c r="W57" s="54" t="n"/>
      <c r="X57" s="54" t="n"/>
      <c r="Y57" s="54" t="n"/>
      <c r="Z57" s="11" t="inlineStr">
        <is>
          <t>Cleo, the nurse practitioner at Luxury Beauty by Cleo R in Oakville, says no more often than people expect: not yet, not this, or not with me. It is the part of the job that protects your face most. More on Instagram.</t>
        </is>
      </c>
      <c r="AA57" s="11" t="inlineStr">
        <is>
          <t>Learn more &gt; Instagram</t>
        </is>
      </c>
      <c r="AB57" s="11" t="inlineStr">
        <is>
          <t>View GBP image (jpg)</t>
        </is>
      </c>
      <c r="AC57" s="0" t="inlineStr">
        <is>
          <t>cleo oakville</t>
        </is>
      </c>
      <c r="AD57" s="61" t="inlineStr">
        <is>
          <t>Cleo, nurse practitioner injector in Oakville, on why saying no protects clients</t>
        </is>
      </c>
    </row>
    <row r="58" ht="57" customHeight="1" s="42">
      <c r="A58" s="27" t="n">
        <v>46338</v>
      </c>
      <c r="B58" s="29" t="inlineStr">
        <is>
          <t>Thu</t>
        </is>
      </c>
      <c r="C58" s="29" t="n">
        <v>13</v>
      </c>
      <c r="D58" s="29" t="inlineStr">
        <is>
          <t>Rested by the Holidays</t>
        </is>
      </c>
      <c r="E58" s="29" t="inlineStr">
        <is>
          <t>Carousel</t>
        </is>
      </c>
      <c r="F58" s="11" t="inlineStr">
        <is>
          <t>Photo</t>
        </is>
      </c>
      <c r="G58" s="29" t="inlineStr">
        <is>
          <t>IG + FB + GBP</t>
        </is>
      </c>
      <c r="H58" s="29" t="inlineStr">
        <is>
          <t>Trust &amp; Proof</t>
        </is>
      </c>
      <c r="I58" s="29" t="inlineStr">
        <is>
          <t>One Result, Every Angle | No flattering angle. Every angle.</t>
        </is>
      </c>
      <c r="J58" s="29" t="inlineStr">
        <is>
          <t>One healed lip filler result, from every angle. Front, three quarter, profile, smiling, at rest. If it only looks good from one side, it is not a good result. Dermal filler at the Oakville studio. Shared with written consent, individual results vary.
#lipfilleroakville #fillersoakville #oakvillemedspa #burlingtonfiller #miltonlipfiller #mississaugamedspa #dermalfillers #naturallips #facialbalancing #aestheticnurse #luxurybeautybycleor #npcleo</t>
        </is>
      </c>
      <c r="K58" s="29" t="inlineStr">
        <is>
          <t>DM the word LIPS</t>
        </is>
      </c>
      <c r="L58" s="29" t="inlineStr">
        <is>
          <t>Set B</t>
        </is>
      </c>
      <c r="M58" s="29" t="inlineStr">
        <is>
          <t>READY: real client result, 7 slides in this post's folder</t>
        </is>
      </c>
      <c r="N58" s="11" t="inlineStr">
        <is>
          <t>img_4775, 4777, 4778, 4780, 4781, 4782</t>
        </is>
      </c>
      <c r="O58" s="17" t="inlineStr">
        <is>
          <t>On file</t>
        </is>
      </c>
      <c r="P58" s="32" t="inlineStr">
        <is>
          <t>Open folder</t>
        </is>
      </c>
      <c r="Q58" s="11" t="inlineStr">
        <is>
          <t>View 7 slides (jpg)</t>
        </is>
      </c>
      <c r="R58" s="11">
        <f>IMAGE("https://raw.githubusercontent.com/RepoKing23/InstagramCarousel/claude/serene-curie-xunco2/content/2026-11-12-one-result-every-angle/images/slide-1.jpg")</f>
        <v/>
      </c>
      <c r="S58" s="29" t="inlineStr">
        <is>
          <t>Ready</t>
        </is>
      </c>
      <c r="T58" s="54" t="n"/>
      <c r="U58" s="54" t="n"/>
      <c r="V58" s="54" t="n"/>
      <c r="W58" s="54" t="n"/>
      <c r="X58" s="54" t="n"/>
      <c r="Y58" s="54" t="n"/>
      <c r="Z58" s="11" t="inlineStr">
        <is>
          <t>One healed lip filler result, shown from every angle: front, three quarter, profile, smiling and at rest. If filler only looks good from one side, it is not a good result. Shared with client consent on Instagram.</t>
        </is>
      </c>
      <c r="AA58" s="11" t="inlineStr">
        <is>
          <t>Learn more &gt; Instagram</t>
        </is>
      </c>
      <c r="AB58" s="11" t="inlineStr">
        <is>
          <t>View GBP image (jpg)</t>
        </is>
      </c>
      <c r="AC58" s="0" t="inlineStr">
        <is>
          <t>dermal fillers</t>
        </is>
      </c>
      <c r="AD58" s="61" t="inlineStr">
        <is>
          <t>One healed lip filler result shown from every angle, Oakville studio, shared with written consent</t>
        </is>
      </c>
    </row>
    <row r="59" ht="57" customHeight="1" s="42">
      <c r="A59" s="27" t="n">
        <v>46342</v>
      </c>
      <c r="B59" s="29" t="inlineStr">
        <is>
          <t>Mon</t>
        </is>
      </c>
      <c r="C59" s="29" t="n">
        <v>14</v>
      </c>
      <c r="D59" s="29" t="inlineStr">
        <is>
          <t>Gift Season</t>
        </is>
      </c>
      <c r="E59" s="29" t="inlineStr">
        <is>
          <t>Carousel</t>
        </is>
      </c>
      <c r="F59" s="11" t="inlineStr">
        <is>
          <t>Light</t>
        </is>
      </c>
      <c r="G59" s="29" t="inlineStr">
        <is>
          <t>Instagram feed + GBP</t>
        </is>
      </c>
      <c r="H59" s="29" t="inlineStr">
        <is>
          <t>Education</t>
        </is>
      </c>
      <c r="I59" s="29" t="inlineStr">
        <is>
          <t>Electrolysis for PCOS and Hormonal Facial Hair | You are not alone, and it is treatable.</t>
        </is>
      </c>
      <c r="J59" s="29" t="inlineStr">
        <is>
          <t>Hormonal facial hair, including with PCOS, is far more common than anyone admits. Facial electrolysis works on the coarse chin and jaw hairs and on the fine light ones laser misses. It works best alongside your doctor's care for the hormones themselves. Here is what to know.
#electrolysisoakville #oakvilleelectrolysis #facialelectrolysis #electrolysis #permanenthairremoval #hairremovaloakville #burlingtonelectrolysis #miltonontario #mississaugabeauty #haltonregion #luxurybeautybycleor #npcleo</t>
        </is>
      </c>
      <c r="K59" s="29" t="inlineStr">
        <is>
          <t>Send to someone who needs it</t>
        </is>
      </c>
      <c r="L59" s="29" t="inlineStr">
        <is>
          <t>Set F</t>
        </is>
      </c>
      <c r="M59" s="29" t="inlineStr">
        <is>
          <t>DESIGNED, photo pending: 7 slides in this post's folder</t>
        </is>
      </c>
      <c r="N59" s="11" t="inlineStr">
        <is>
          <t>Photo pending. Unsplash search: woman gentle portrait looking away soft</t>
        </is>
      </c>
      <c r="O59" s="17" t="inlineStr">
        <is>
          <t>Not needed</t>
        </is>
      </c>
      <c r="P59" s="32" t="inlineStr">
        <is>
          <t>Open folder</t>
        </is>
      </c>
      <c r="Q59" s="11" t="inlineStr">
        <is>
          <t>View 7 slides (jpg)</t>
        </is>
      </c>
      <c r="R59" s="11">
        <f>IMAGE("https://raw.githubusercontent.com/RepoKing23/InstagramCarousel/claude/serene-curie-xunco2/content/2026-11-16-electrolysis-for-hormonal-facial-hair/images/slide-1.jpg")</f>
        <v/>
      </c>
      <c r="S59" s="29" t="inlineStr">
        <is>
          <t>Design</t>
        </is>
      </c>
      <c r="T59" s="54" t="n"/>
      <c r="U59" s="54" t="n"/>
      <c r="V59" s="54" t="n"/>
      <c r="W59" s="54" t="n"/>
      <c r="X59" s="54" t="n"/>
      <c r="Y59" s="54" t="n"/>
      <c r="Z59" s="11" t="inlineStr">
        <is>
          <t>Hormonal facial hair, including with PCOS, is common and treatable. Facial electrolysis treats coarse chin and jaw hairs and the fine light ones laser misses, best alongside your doctor's care. Private appointments in Oakville.</t>
        </is>
      </c>
      <c r="AA59" s="11" t="inlineStr">
        <is>
          <t>Learn more &gt; Instagram</t>
        </is>
      </c>
      <c r="AB59" s="11" t="inlineStr">
        <is>
          <t>View GBP image (jpg)</t>
        </is>
      </c>
      <c r="AC59" s="0" t="inlineStr">
        <is>
          <t>facial electrolysis</t>
        </is>
      </c>
      <c r="AD59" s="61" t="inlineStr">
        <is>
          <t>Facial electrolysis for PCOS and hormonal facial hair in Oakville: how it helps and what to expect</t>
        </is>
      </c>
    </row>
    <row r="60" ht="57" customHeight="1" s="42">
      <c r="A60" s="27" t="n">
        <v>46343</v>
      </c>
      <c r="B60" s="29" t="inlineStr">
        <is>
          <t>Tue</t>
        </is>
      </c>
      <c r="C60" s="29" t="n">
        <v>14</v>
      </c>
      <c r="D60" s="29" t="inlineStr">
        <is>
          <t>Gift Season</t>
        </is>
      </c>
      <c r="E60" s="29" t="inlineStr">
        <is>
          <t>Single Image</t>
        </is>
      </c>
      <c r="F60" s="11" t="inlineStr">
        <is>
          <t>Dark</t>
        </is>
      </c>
      <c r="G60" s="29" t="inlineStr">
        <is>
          <t>IG + FB + TikTok photo + GBP</t>
        </is>
      </c>
      <c r="H60" s="29" t="inlineStr">
        <is>
          <t>Education</t>
        </is>
      </c>
      <c r="I60" s="29" t="inlineStr">
        <is>
          <t>Frown Lines, Forehead Lines, Crow's Feet: Where Botox Works | Three areas, three different plans.</t>
        </is>
      </c>
      <c r="J60" s="29" t="inlineStr">
        <is>
          <t>Frown lines, forehead lines and crow's feet are the three classic Botox areas, and each one needs a different plan. Frown lines first for most people, forehead lines lightly so the brows still lift, crow's feet softened so your smile still reaches your eyes. Which one bothers you?
#botoxoakville #oakvillemedspa #burlingtonbotox #miltonmedspa #mississaugainjector #haltonregion #preventativebotox #botoxcanada #nursepractitionerinjector #naturalresults #luxurybeautybycleor #npcleo</t>
        </is>
      </c>
      <c r="K60" s="29" t="inlineStr">
        <is>
          <t>Which one is yours?</t>
        </is>
      </c>
      <c r="L60" s="29" t="inlineStr">
        <is>
          <t>Set A</t>
        </is>
      </c>
      <c r="M60" s="29" t="inlineStr">
        <is>
          <t>DESIGNED, photo pending: final image in this post's folder</t>
        </is>
      </c>
      <c r="N60" s="11" t="inlineStr">
        <is>
          <t>Photo pending. Unsplash search: woman laughing eyes crinkle portrait</t>
        </is>
      </c>
      <c r="O60" s="17" t="inlineStr">
        <is>
          <t>Not needed</t>
        </is>
      </c>
      <c r="P60" s="32" t="inlineStr">
        <is>
          <t>Open folder</t>
        </is>
      </c>
      <c r="Q60" s="11" t="inlineStr">
        <is>
          <t>View image (jpg)</t>
        </is>
      </c>
      <c r="R60" s="11">
        <f>IMAGE("https://raw.githubusercontent.com/RepoKing23/InstagramCarousel/claude/serene-curie-xunco2/content/2026-11-17-frown-lines-forehead-crows-feet/images/post.jpg")</f>
        <v/>
      </c>
      <c r="S60" s="29" t="inlineStr">
        <is>
          <t>Design</t>
        </is>
      </c>
      <c r="T60" s="54" t="n"/>
      <c r="U60" s="54" t="n"/>
      <c r="V60" s="54" t="n"/>
      <c r="W60" s="54" t="n"/>
      <c r="X60" s="54" t="n"/>
      <c r="Y60" s="54" t="n"/>
      <c r="Z60" s="11" t="inlineStr">
        <is>
          <t>The three classic Botox areas, explained: frown lines are usually first, forehead lines are treated lightly so brows still lift, and crow's feet are softened so your smile still reaches your eyes. Botox in Oakville, on Instagram.</t>
        </is>
      </c>
      <c r="AA60" s="11" t="inlineStr">
        <is>
          <t>Learn more &gt; Instagram</t>
        </is>
      </c>
      <c r="AB60" s="11" t="inlineStr">
        <is>
          <t>View GBP image (jpg)</t>
        </is>
      </c>
      <c r="AC60" s="0" t="inlineStr">
        <is>
          <t>botox therapy treatment oakville</t>
        </is>
      </c>
      <c r="AD60" s="61" t="inlineStr">
        <is>
          <t>Botox areas explained for Oakville: frown lines, forehead lines and crow's feet</t>
        </is>
      </c>
    </row>
    <row r="61" ht="57" customHeight="1" s="42">
      <c r="A61" s="27" t="n">
        <v>46344</v>
      </c>
      <c r="B61" s="29" t="inlineStr">
        <is>
          <t>Wed</t>
        </is>
      </c>
      <c r="C61" s="29" t="n">
        <v>14</v>
      </c>
      <c r="D61" s="29" t="inlineStr">
        <is>
          <t>Gift Season</t>
        </is>
      </c>
      <c r="E61" s="29" t="inlineStr">
        <is>
          <t>Single Image</t>
        </is>
      </c>
      <c r="F61" s="11" t="inlineStr">
        <is>
          <t>Light</t>
        </is>
      </c>
      <c r="G61" s="29" t="inlineStr">
        <is>
          <t>IG + FB + TikTok photo + GBP</t>
        </is>
      </c>
      <c r="H61" s="29" t="inlineStr">
        <is>
          <t>Education</t>
        </is>
      </c>
      <c r="I61" s="29" t="inlineStr">
        <is>
          <t>Lip Filler vs Lip Flip: Which One Fits You? | Volume or show?</t>
        </is>
      </c>
      <c r="J61" s="29" t="inlineStr">
        <is>
          <t>Lip filler or lip flip? Filler adds volume and shape with dermal filler. A lip flip uses a few units of Botox to relax the muscle so the upper lip shows a little more. Different problems, different tools. Which one sounds like you?
#lipfilleroakville #fillersoakville #oakvillemedspa #burlingtonfiller #miltonlipfiller #mississaugamedspa #dermalfillers #naturallips #facialbalancing #aestheticnurse #luxurybeautybycleor #npcleo</t>
        </is>
      </c>
      <c r="K61" s="29" t="inlineStr">
        <is>
          <t>Tell me which</t>
        </is>
      </c>
      <c r="L61" s="29" t="inlineStr">
        <is>
          <t>Set B</t>
        </is>
      </c>
      <c r="M61" s="29" t="inlineStr">
        <is>
          <t>DESIGNED, photo pending: final image in this post's folder</t>
        </is>
      </c>
      <c r="N61" s="11" t="inlineStr">
        <is>
          <t>Photo pending. Unsplash search: woman lips smile closeup natural</t>
        </is>
      </c>
      <c r="O61" s="17" t="inlineStr">
        <is>
          <t>Not needed</t>
        </is>
      </c>
      <c r="P61" s="32" t="inlineStr">
        <is>
          <t>Open folder</t>
        </is>
      </c>
      <c r="Q61" s="11" t="inlineStr">
        <is>
          <t>View image (jpg)</t>
        </is>
      </c>
      <c r="R61" s="11">
        <f>IMAGE("https://raw.githubusercontent.com/RepoKing23/InstagramCarousel/claude/serene-curie-xunco2/content/2026-11-18-lip-filler-vs-lip-flip/images/post.jpg")</f>
        <v/>
      </c>
      <c r="S61" s="29" t="inlineStr">
        <is>
          <t>Design</t>
        </is>
      </c>
      <c r="T61" s="54" t="n"/>
      <c r="U61" s="54" t="n"/>
      <c r="V61" s="54" t="n"/>
      <c r="W61" s="54" t="n"/>
      <c r="X61" s="54" t="n"/>
      <c r="Y61" s="54" t="n"/>
      <c r="Z61" s="11" t="inlineStr">
        <is>
          <t>Lip filler or lip flip? Dermal filler adds volume and shape. A lip flip uses a few units of Botox to relax the muscle so more upper lip shows when you smile. Different problems, different tools. On Instagram.</t>
        </is>
      </c>
      <c r="AA61" s="11" t="inlineStr">
        <is>
          <t>Learn more &gt; Instagram</t>
        </is>
      </c>
      <c r="AB61" s="11" t="inlineStr">
        <is>
          <t>View GBP image (jpg)</t>
        </is>
      </c>
      <c r="AC61" s="0" t="inlineStr">
        <is>
          <t>dermal fillers</t>
        </is>
      </c>
      <c r="AD61" s="61" t="inlineStr">
        <is>
          <t>Lip filler versus lip flip comparison: dermal filler for volume, Botox lip flip for upper lip show</t>
        </is>
      </c>
    </row>
    <row r="62" ht="57" customHeight="1" s="42">
      <c r="A62" s="27" t="n">
        <v>46345</v>
      </c>
      <c r="B62" s="29" t="inlineStr">
        <is>
          <t>Thu</t>
        </is>
      </c>
      <c r="C62" s="29" t="n">
        <v>14</v>
      </c>
      <c r="D62" s="29" t="inlineStr">
        <is>
          <t>Gift Season</t>
        </is>
      </c>
      <c r="E62" s="29" t="inlineStr">
        <is>
          <t>Carousel</t>
        </is>
      </c>
      <c r="F62" s="11" t="inlineStr">
        <is>
          <t>Light</t>
        </is>
      </c>
      <c r="G62" s="29" t="inlineStr">
        <is>
          <t>Instagram feed + GBP</t>
        </is>
      </c>
      <c r="H62" s="29" t="inlineStr">
        <is>
          <t>Trust &amp; Proof</t>
        </is>
      </c>
      <c r="I62" s="29" t="inlineStr">
        <is>
          <t>What to Look for in a Luxury Med Spa in Oakville | Five questions to ask before you book.</t>
        </is>
      </c>
      <c r="J62" s="29" t="inlineStr">
        <is>
          <t>Looking for a luxury med spa in Oakville? The finish on the walls tells you nothing. These five questions tell you everything: who injects, how long you get, what happens if you are unhappy, and whether anyone will ever say no. Save this before you book anywhere.
#oakvillemedspa #burlingtonmedspa #miltonontario #mississaugabeauty #haltonregion #honestinjector #naturalresults #aestheticnurse #nursepractitioner #medspacanada #luxurybeautybycleor #npcleo</t>
        </is>
      </c>
      <c r="K62" s="29" t="inlineStr">
        <is>
          <t>Save before you book</t>
        </is>
      </c>
      <c r="L62" s="29" t="inlineStr">
        <is>
          <t>Set C</t>
        </is>
      </c>
      <c r="M62" s="29" t="inlineStr">
        <is>
          <t>DESIGNED, photo pending: 7 slides in this post's folder</t>
        </is>
      </c>
      <c r="N62" s="11" t="inlineStr">
        <is>
          <t>Photo pending. Unsplash search: luxury minimal interior soft light</t>
        </is>
      </c>
      <c r="O62" s="17" t="inlineStr">
        <is>
          <t>Not needed</t>
        </is>
      </c>
      <c r="P62" s="32" t="inlineStr">
        <is>
          <t>Open folder</t>
        </is>
      </c>
      <c r="Q62" s="11" t="inlineStr">
        <is>
          <t>View 7 slides (jpg)</t>
        </is>
      </c>
      <c r="R62" s="11">
        <f>IMAGE("https://raw.githubusercontent.com/RepoKing23/InstagramCarousel/claude/serene-curie-xunco2/content/2026-11-19-choosing-a-luxury-med-spa-oakville/images/slide-1.jpg")</f>
        <v/>
      </c>
      <c r="S62" s="29" t="inlineStr">
        <is>
          <t>Design</t>
        </is>
      </c>
      <c r="T62" s="54" t="n"/>
      <c r="U62" s="54" t="n"/>
      <c r="V62" s="54" t="n"/>
      <c r="W62" s="54" t="n"/>
      <c r="X62" s="54" t="n"/>
      <c r="Y62" s="54" t="n"/>
      <c r="Z62" s="11" t="inlineStr">
        <is>
          <t>Choosing a luxury med spa in Oakville? Ask who injects you, how long your appointment is, whether they ever say no, what happens if you are unhappy, and whether the room is private. The full list is on Instagram.</t>
        </is>
      </c>
      <c r="AA62" s="11" t="inlineStr">
        <is>
          <t>Learn more &gt; Instagram</t>
        </is>
      </c>
      <c r="AB62" s="11" t="inlineStr">
        <is>
          <t>View GBP image (jpg)</t>
        </is>
      </c>
      <c r="AC62" s="0" t="inlineStr">
        <is>
          <t>luxury spa oakville</t>
        </is>
      </c>
      <c r="AD62" s="61" t="inlineStr">
        <is>
          <t>How to choose a luxury med spa in Oakville: five questions to ask before booking injectables</t>
        </is>
      </c>
    </row>
    <row r="63" ht="57" customHeight="1" s="42">
      <c r="A63" s="27" t="n">
        <v>46349</v>
      </c>
      <c r="B63" s="29" t="inlineStr">
        <is>
          <t>Mon</t>
        </is>
      </c>
      <c r="C63" s="29" t="n">
        <v>15</v>
      </c>
      <c r="D63" s="29" t="inlineStr">
        <is>
          <t>Gift Season</t>
        </is>
      </c>
      <c r="E63" s="29" t="inlineStr">
        <is>
          <t>Carousel</t>
        </is>
      </c>
      <c r="F63" s="11" t="inlineStr">
        <is>
          <t>Light</t>
        </is>
      </c>
      <c r="G63" s="29" t="inlineStr">
        <is>
          <t>Instagram feed + GBP</t>
        </is>
      </c>
      <c r="H63" s="29" t="inlineStr">
        <is>
          <t>Education</t>
        </is>
      </c>
      <c r="I63" s="29" t="inlineStr">
        <is>
          <t>Skincare, Botox or Filler First? The Right Order | Do this before you spend a dollar on filler.</t>
        </is>
      </c>
      <c r="J63" s="29" t="inlineStr">
        <is>
          <t>Skincare, Botox or dermal filler first? For most people the order is skin, then movement, then volume. Get the foundation right and you often need less of everything else. Here is the order I recommend in Oakville, and why.
#botoxoakville #oakvillemedspa #burlingtonbotox #miltonmedspa #mississaugainjector #haltonregion #preventativebotox #botoxcanada #nursepractitionerinjector #naturalresults #luxurybeautybycleor #npcleo</t>
        </is>
      </c>
      <c r="K63" s="29" t="inlineStr">
        <is>
          <t>Save your order</t>
        </is>
      </c>
      <c r="L63" s="29" t="inlineStr">
        <is>
          <t>Set A</t>
        </is>
      </c>
      <c r="M63" s="29" t="inlineStr">
        <is>
          <t>DESIGNED, photo pending: 7 slides in this post's folder</t>
        </is>
      </c>
      <c r="N63" s="11" t="inlineStr">
        <is>
          <t>Photo pending. Unsplash search: woman applying sunscreen skincare morning</t>
        </is>
      </c>
      <c r="O63" s="17" t="inlineStr">
        <is>
          <t>Not needed</t>
        </is>
      </c>
      <c r="P63" s="32" t="inlineStr">
        <is>
          <t>Open folder</t>
        </is>
      </c>
      <c r="Q63" s="11" t="inlineStr">
        <is>
          <t>View 7 slides (jpg)</t>
        </is>
      </c>
      <c r="R63" s="11">
        <f>IMAGE("https://raw.githubusercontent.com/RepoKing23/InstagramCarousel/claude/serene-curie-xunco2/content/2026-11-23-skincare-botox-filler-right-order/images/slide-1.jpg")</f>
        <v/>
      </c>
      <c r="S63" s="29" t="inlineStr">
        <is>
          <t>Design</t>
        </is>
      </c>
      <c r="T63" s="54" t="n"/>
      <c r="U63" s="54" t="n"/>
      <c r="V63" s="54" t="n"/>
      <c r="W63" s="54" t="n"/>
      <c r="X63" s="54" t="n"/>
      <c r="Y63" s="54" t="n"/>
      <c r="Z63" s="11" t="inlineStr">
        <is>
          <t>Skincare, Botox or filler first? For most faces: skin first, then Botox for movement, then dermal filler for volume. Getting the order right often means you need less of everything. The full plan is on Instagram.</t>
        </is>
      </c>
      <c r="AA63" s="11" t="inlineStr">
        <is>
          <t>Learn more &gt; Instagram</t>
        </is>
      </c>
      <c r="AB63" s="11" t="inlineStr">
        <is>
          <t>View GBP image (jpg)</t>
        </is>
      </c>
      <c r="AC63" s="0" t="inlineStr">
        <is>
          <t>botox therapy treatment oakville</t>
        </is>
      </c>
      <c r="AD63" s="61" t="inlineStr">
        <is>
          <t>The right order for skincare, Botox and dermal filler, explained by an Oakville nurse practitioner</t>
        </is>
      </c>
    </row>
    <row r="64" ht="57" customHeight="1" s="42">
      <c r="A64" s="27" t="n">
        <v>46350</v>
      </c>
      <c r="B64" s="29" t="inlineStr">
        <is>
          <t>Tue</t>
        </is>
      </c>
      <c r="C64" s="29" t="n">
        <v>15</v>
      </c>
      <c r="D64" s="29" t="inlineStr">
        <is>
          <t>Gift Season</t>
        </is>
      </c>
      <c r="E64" s="29" t="inlineStr">
        <is>
          <t>Single Image</t>
        </is>
      </c>
      <c r="F64" s="11" t="inlineStr">
        <is>
          <t>Dark</t>
        </is>
      </c>
      <c r="G64" s="29" t="inlineStr">
        <is>
          <t>IG + FB + TikTok photo + GBP</t>
        </is>
      </c>
      <c r="H64" s="29" t="inlineStr">
        <is>
          <t>Promo &amp; CTA</t>
        </is>
      </c>
      <c r="I64" s="29" t="inlineStr">
        <is>
          <t>Black Friday, Done Honestly | The needle is never on sale. The gift can be.</t>
        </is>
      </c>
      <c r="J64" s="29" t="inlineStr">
        <is>
          <t>Black Friday, done honestly. I do not discount injectables, because cheap units are how corners get cut. What I can do is make gifting easier: order a gift certificate this week and it is ready well before the holidays. DM GIFT.
#oakvillemedspa #burlingtonontario #miltonontario #mississaugabeauty #haltonregion #treatyourself #selfcare #giftcertificate #medspaspecial #bookyourappointment #luxurybeautybycleor #npcleo</t>
        </is>
      </c>
      <c r="K64" s="29" t="inlineStr">
        <is>
          <t>DM the word GIFT</t>
        </is>
      </c>
      <c r="L64" s="29" t="inlineStr">
        <is>
          <t>Set E</t>
        </is>
      </c>
      <c r="M64" s="29" t="inlineStr">
        <is>
          <t>DESIGNED, photo pending: final image in this post's folder</t>
        </is>
      </c>
      <c r="N64" s="11" t="inlineStr">
        <is>
          <t>Photo pending. Unsplash search: elegant gift wrapping neutral ribbon</t>
        </is>
      </c>
      <c r="O64" s="17" t="inlineStr">
        <is>
          <t>Not needed</t>
        </is>
      </c>
      <c r="P64" s="32" t="inlineStr">
        <is>
          <t>Open folder</t>
        </is>
      </c>
      <c r="Q64" s="11" t="inlineStr">
        <is>
          <t>View image (jpg)</t>
        </is>
      </c>
      <c r="R64" s="11">
        <f>IMAGE("https://raw.githubusercontent.com/RepoKing23/InstagramCarousel/claude/serene-curie-xunco2/content/2026-11-24-black-friday-done-honestly/images/post.jpg")</f>
        <v/>
      </c>
      <c r="S64" s="29" t="inlineStr">
        <is>
          <t>Design</t>
        </is>
      </c>
      <c r="T64" s="54" t="n"/>
      <c r="U64" s="54" t="n"/>
      <c r="V64" s="54" t="n"/>
      <c r="W64" s="54" t="n"/>
      <c r="X64" s="54" t="n"/>
      <c r="Y64" s="54" t="n"/>
      <c r="Z64" s="11" t="inlineStr">
        <is>
          <t>Black Friday, done honestly at an Oakville med spa: injectables are never discounted, because cheap units are how corners get cut. Gift certificates, in any amount, are ready this week for the holidays. Order on Instagram.</t>
        </is>
      </c>
      <c r="AA64" s="11" t="inlineStr">
        <is>
          <t>Learn more &gt; Instagram</t>
        </is>
      </c>
      <c r="AB64" s="11" t="inlineStr">
        <is>
          <t>View GBP image (jpg)</t>
        </is>
      </c>
      <c r="AC64" s="0" t="inlineStr">
        <is>
          <t>luxury spa oakville</t>
        </is>
      </c>
      <c r="AD64" s="61" t="inlineStr">
        <is>
          <t>Honest Black Friday at an Oakville med spa: no discounted injectables, gift certificates available</t>
        </is>
      </c>
    </row>
    <row r="65" ht="57" customHeight="1" s="42">
      <c r="A65" s="27" t="n">
        <v>46351</v>
      </c>
      <c r="B65" s="29" t="inlineStr">
        <is>
          <t>Wed</t>
        </is>
      </c>
      <c r="C65" s="29" t="n">
        <v>15</v>
      </c>
      <c r="D65" s="29" t="inlineStr">
        <is>
          <t>Gift Season</t>
        </is>
      </c>
      <c r="E65" s="29" t="inlineStr">
        <is>
          <t>Single Image</t>
        </is>
      </c>
      <c r="F65" s="11" t="inlineStr">
        <is>
          <t>Light</t>
        </is>
      </c>
      <c r="G65" s="29" t="inlineStr">
        <is>
          <t>IG + FB + TikTok photo + GBP</t>
        </is>
      </c>
      <c r="H65" s="29" t="inlineStr">
        <is>
          <t>Education</t>
        </is>
      </c>
      <c r="I65" s="29" t="inlineStr">
        <is>
          <t>Electrolysis FAQ: Does It Hurt? | The honest answer.</t>
        </is>
      </c>
      <c r="J65" s="29" t="inlineStr">
        <is>
          <t>Does electrolysis hurt? Most people describe a quick warm sting or pinch per hair, and the upper lip is usually the most sensitive. It is short, it gets easier as the course goes on, and we pace every session to you. Any other questions? Ask below.
#electrolysisoakville #oakvilleelectrolysis #facialelectrolysis #electrolysis #permanenthairremoval #hairremovaloakville #burlingtonelectrolysis #miltonontario #mississaugabeauty #haltonregion #luxurybeautybycleor #npcleo</t>
        </is>
      </c>
      <c r="K65" s="29" t="inlineStr">
        <is>
          <t>Ask your question</t>
        </is>
      </c>
      <c r="L65" s="29" t="inlineStr">
        <is>
          <t>Set F</t>
        </is>
      </c>
      <c r="M65" s="29" t="inlineStr">
        <is>
          <t>DESIGNED, photo pending: final image in this post's folder</t>
        </is>
      </c>
      <c r="N65" s="11" t="inlineStr">
        <is>
          <t>Photo pending. Unsplash search: woman relaxed calm eyes closed portrait</t>
        </is>
      </c>
      <c r="O65" s="17" t="inlineStr">
        <is>
          <t>Not needed</t>
        </is>
      </c>
      <c r="P65" s="32" t="inlineStr">
        <is>
          <t>Open folder</t>
        </is>
      </c>
      <c r="Q65" s="11" t="inlineStr">
        <is>
          <t>View image (jpg)</t>
        </is>
      </c>
      <c r="R65" s="11">
        <f>IMAGE("https://raw.githubusercontent.com/RepoKing23/InstagramCarousel/claude/serene-curie-xunco2/content/2026-11-25-does-electrolysis-hurt/images/post.jpg")</f>
        <v/>
      </c>
      <c r="S65" s="29" t="inlineStr">
        <is>
          <t>Design</t>
        </is>
      </c>
      <c r="T65" s="54" t="n"/>
      <c r="U65" s="54" t="n"/>
      <c r="V65" s="54" t="n"/>
      <c r="W65" s="54" t="n"/>
      <c r="X65" s="54" t="n"/>
      <c r="Y65" s="54" t="n"/>
      <c r="Z65" s="11" t="inlineStr">
        <is>
          <t>Does electrolysis hurt? Most people feel a quick warm sting or pinch per hair, most noticeable on the upper lip. Sessions are short, paced to you, and usually get easier as the course goes on. Questions answered on Instagram.</t>
        </is>
      </c>
      <c r="AA65" s="11" t="inlineStr">
        <is>
          <t>Learn more &gt; Instagram</t>
        </is>
      </c>
      <c r="AB65" s="11" t="inlineStr">
        <is>
          <t>View GBP image (jpg)</t>
        </is>
      </c>
      <c r="AC65" s="0" t="inlineStr">
        <is>
          <t>electrolysis oakville</t>
        </is>
      </c>
      <c r="AD65" s="61" t="inlineStr">
        <is>
          <t>Does electrolysis hurt: honest answer for Oakville clients about sensation and comfort</t>
        </is>
      </c>
    </row>
    <row r="66" ht="57" customHeight="1" s="42">
      <c r="A66" s="27" t="n">
        <v>46352</v>
      </c>
      <c r="B66" s="29" t="inlineStr">
        <is>
          <t>Thu</t>
        </is>
      </c>
      <c r="C66" s="29" t="n">
        <v>15</v>
      </c>
      <c r="D66" s="29" t="inlineStr">
        <is>
          <t>Gift Season</t>
        </is>
      </c>
      <c r="E66" s="29" t="inlineStr">
        <is>
          <t>Carousel</t>
        </is>
      </c>
      <c r="F66" s="11" t="inlineStr">
        <is>
          <t>Light</t>
        </is>
      </c>
      <c r="G66" s="29" t="inlineStr">
        <is>
          <t>Instagram feed + GBP</t>
        </is>
      </c>
      <c r="H66" s="29" t="inlineStr">
        <is>
          <t>Promo &amp; CTA</t>
        </is>
      </c>
      <c r="I66" s="29" t="inlineStr">
        <is>
          <t>The Gift of Glow: Holiday Gift Certificates | The present nobody returns.</t>
        </is>
      </c>
      <c r="J66" s="29" t="inlineStr">
        <is>
          <t>The gift of glow. Holiday gift certificates for our Oakville luxury med spa, in any amount, for any treatment. Here is how they work, and how to drop the hint if you want one yourself. Tag the person who deserves one.
#oakvillemedspa #burlingtonontario #miltonontario #mississaugabeauty #haltonregion #treatyourself #selfcare #giftcertificate #medspaspecial #bookyourappointment #luxurybeautybycleor #npcleo</t>
        </is>
      </c>
      <c r="K66" s="29" t="inlineStr">
        <is>
          <t>Tag who deserves one</t>
        </is>
      </c>
      <c r="L66" s="29" t="inlineStr">
        <is>
          <t>Set E</t>
        </is>
      </c>
      <c r="M66" s="29" t="inlineStr">
        <is>
          <t>DESIGNED, photo pending: 7 slides in this post's folder</t>
        </is>
      </c>
      <c r="N66" s="11" t="inlineStr">
        <is>
          <t>Photo pending. Unsplash search: holiday gift neutral tones elegant</t>
        </is>
      </c>
      <c r="O66" s="17" t="inlineStr">
        <is>
          <t>Not needed</t>
        </is>
      </c>
      <c r="P66" s="32" t="inlineStr">
        <is>
          <t>Open folder</t>
        </is>
      </c>
      <c r="Q66" s="11" t="inlineStr">
        <is>
          <t>View 7 slides (jpg)</t>
        </is>
      </c>
      <c r="R66" s="11">
        <f>IMAGE("https://raw.githubusercontent.com/RepoKing23/InstagramCarousel/claude/serene-curie-xunco2/content/2026-11-26-gift-of-glow-holiday-gift-certificates/images/slide-1.jpg")</f>
        <v/>
      </c>
      <c r="S66" s="29" t="inlineStr">
        <is>
          <t>Design</t>
        </is>
      </c>
      <c r="T66" s="54" t="n"/>
      <c r="U66" s="54" t="n"/>
      <c r="V66" s="54" t="n"/>
      <c r="W66" s="54" t="n"/>
      <c r="X66" s="54" t="n"/>
      <c r="Y66" s="54" t="n"/>
      <c r="Z66" s="11" t="inlineStr">
        <is>
          <t>Holiday gift certificates for Luxury Beauty by Cleo R, a luxury med spa in Oakville. Any amount, for Botox, filler or electrolysis, always starting with a consult. Sent by email or ready to pick up. Order on Instagram.</t>
        </is>
      </c>
      <c r="AA66" s="11" t="inlineStr">
        <is>
          <t>Learn more &gt; Instagram</t>
        </is>
      </c>
      <c r="AB66" s="11" t="inlineStr">
        <is>
          <t>View GBP image (jpg)</t>
        </is>
      </c>
      <c r="AC66" s="0" t="inlineStr">
        <is>
          <t>luxury spa oakville</t>
        </is>
      </c>
      <c r="AD66" s="61" t="inlineStr">
        <is>
          <t>Holiday gift certificates for a luxury med spa in Oakville: how they work and how to order</t>
        </is>
      </c>
    </row>
    <row r="67" ht="57" customHeight="1" s="42">
      <c r="A67" s="27" t="n">
        <v>46356</v>
      </c>
      <c r="B67" s="29" t="inlineStr">
        <is>
          <t>Mon</t>
        </is>
      </c>
      <c r="C67" s="29" t="n">
        <v>16</v>
      </c>
      <c r="D67" s="29" t="inlineStr">
        <is>
          <t>Gift Season</t>
        </is>
      </c>
      <c r="E67" s="29" t="inlineStr">
        <is>
          <t>Carousel</t>
        </is>
      </c>
      <c r="F67" s="11" t="inlineStr">
        <is>
          <t>Light</t>
        </is>
      </c>
      <c r="G67" s="29" t="inlineStr">
        <is>
          <t>Instagram feed + GBP</t>
        </is>
      </c>
      <c r="H67" s="29" t="inlineStr">
        <is>
          <t>Promo &amp; CTA</t>
        </is>
      </c>
      <c r="I67" s="29" t="inlineStr">
        <is>
          <t>Your December Botox Plan: Last Call for Party Season | Book this week, settle by the parties.</t>
        </is>
      </c>
      <c r="J67" s="29" t="inlineStr">
        <is>
          <t>Last call for party season Botox in Oakville. Book this week and it settles, with your review, before mid December. After that, we plan for New Year's instead. Here is your December plan, week by week.
#oakvillemedspa #burlingtonontario #miltonontario #mississaugabeauty #haltonregion #treatyourself #selfcare #giftcertificate #medspaspecial #bookyourappointment #luxurybeautybycleor #npcleo</t>
        </is>
      </c>
      <c r="K67" s="29" t="inlineStr">
        <is>
          <t>Book this week</t>
        </is>
      </c>
      <c r="L67" s="29" t="inlineStr">
        <is>
          <t>Set E</t>
        </is>
      </c>
      <c r="M67" s="29" t="inlineStr">
        <is>
          <t>DESIGNED, photo pending: 7 slides in this post's folder</t>
        </is>
      </c>
      <c r="N67" s="11" t="inlineStr">
        <is>
          <t>Photo pending. Unsplash search: woman winter evening elegant portrait</t>
        </is>
      </c>
      <c r="O67" s="17" t="inlineStr">
        <is>
          <t>Not needed</t>
        </is>
      </c>
      <c r="P67" s="32" t="inlineStr">
        <is>
          <t>Open folder</t>
        </is>
      </c>
      <c r="Q67" s="11" t="inlineStr">
        <is>
          <t>View 7 slides (jpg)</t>
        </is>
      </c>
      <c r="R67" s="11">
        <f>IMAGE("https://raw.githubusercontent.com/RepoKing23/InstagramCarousel/claude/serene-curie-xunco2/content/2026-11-30-december-botox-last-call/images/slide-1.jpg")</f>
        <v/>
      </c>
      <c r="S67" s="29" t="inlineStr">
        <is>
          <t>Design</t>
        </is>
      </c>
      <c r="T67" s="54" t="n"/>
      <c r="U67" s="54" t="n"/>
      <c r="V67" s="54" t="n"/>
      <c r="W67" s="54" t="n"/>
      <c r="X67" s="54" t="n"/>
      <c r="Y67" s="54" t="n"/>
      <c r="Z67" s="11" t="inlineStr">
        <is>
          <t>Last call for party season Botox in Oakville. Book this week and it settles, with your two week review, before mid December. After that, the plan shifts to New Year's Eve. The week by week plan is on Instagram.</t>
        </is>
      </c>
      <c r="AA67" s="11" t="inlineStr">
        <is>
          <t>Learn more &gt; Instagram</t>
        </is>
      </c>
      <c r="AB67" s="11" t="inlineStr">
        <is>
          <t>View GBP image (jpg)</t>
        </is>
      </c>
      <c r="AC67" s="0" t="inlineStr">
        <is>
          <t>oakville botox</t>
        </is>
      </c>
      <c r="AD67" s="61" t="inlineStr">
        <is>
          <t>December Botox plan for Oakville: last call to book for holiday parties, week by week</t>
        </is>
      </c>
    </row>
    <row r="68" ht="15.75" customHeight="1" s="42"/>
    <row r="69" ht="15.75" customHeight="1" s="42"/>
    <row r="70" ht="15.75" customHeight="1" s="42"/>
    <row r="71" ht="15.75" customHeight="1" s="42"/>
    <row r="72" ht="15.75" customHeight="1" s="42"/>
    <row r="73" ht="15.75" customHeight="1" s="42"/>
    <row r="74" ht="15.75" customHeight="1" s="42"/>
    <row r="75" ht="15.75" customHeight="1" s="42"/>
    <row r="76" ht="15.75" customHeight="1" s="42"/>
    <row r="77" ht="15.75" customHeight="1" s="42"/>
    <row r="78" ht="15.75" customHeight="1" s="42"/>
    <row r="79" ht="15.75" customHeight="1" s="42"/>
    <row r="80" ht="15.75" customHeight="1" s="42"/>
    <row r="81" ht="15.75" customHeight="1" s="42"/>
    <row r="82" ht="15.75" customHeight="1" s="42"/>
    <row r="83" ht="15.75" customHeight="1" s="42"/>
    <row r="84" ht="15.75" customHeight="1" s="42"/>
    <row r="85" ht="15.75" customHeight="1" s="42"/>
    <row r="86" ht="15.75" customHeight="1" s="42"/>
    <row r="87" ht="15.75" customHeight="1" s="42"/>
    <row r="88" ht="15.75" customHeight="1" s="42"/>
    <row r="89" ht="15.75" customHeight="1" s="42"/>
    <row r="90" ht="15.75" customHeight="1" s="42"/>
    <row r="91" ht="15.75" customHeight="1" s="42"/>
    <row r="92" ht="15.75" customHeight="1" s="42"/>
    <row r="93" ht="15.75" customHeight="1" s="42"/>
    <row r="94" ht="15.75" customHeight="1" s="42"/>
    <row r="95" ht="15.75" customHeight="1" s="42"/>
    <row r="96" ht="15.75" customHeight="1" s="42"/>
    <row r="97" ht="15.75" customHeight="1" s="42"/>
    <row r="98" ht="15.75" customHeight="1" s="42"/>
    <row r="99" ht="15.75" customHeight="1" s="42"/>
    <row r="100" ht="15.75" customHeight="1" s="42"/>
    <row r="101" ht="15.75" customHeight="1" s="42"/>
    <row r="102" ht="15.75" customHeight="1" s="42"/>
    <row r="103" ht="15.75" customHeight="1" s="42"/>
    <row r="104" ht="15.75" customHeight="1" s="42"/>
    <row r="105" ht="15.75" customHeight="1" s="42"/>
    <row r="106" ht="15.75" customHeight="1" s="42"/>
    <row r="107" ht="15.75" customHeight="1" s="42"/>
    <row r="108" ht="15.75" customHeight="1" s="42"/>
    <row r="109" ht="15.75" customHeight="1" s="42"/>
    <row r="110" ht="15.75" customHeight="1" s="42"/>
    <row r="111" ht="15.75" customHeight="1" s="42"/>
    <row r="112" ht="15.75" customHeight="1" s="42"/>
    <row r="113" ht="15.75" customHeight="1" s="42"/>
    <row r="114" ht="15.75" customHeight="1" s="42"/>
    <row r="115" ht="15.75" customHeight="1" s="42"/>
    <row r="116" ht="15.75" customHeight="1" s="42"/>
    <row r="117" ht="15.75" customHeight="1" s="42"/>
    <row r="118" ht="15.75" customHeight="1" s="42"/>
    <row r="119" ht="15.75" customHeight="1" s="42"/>
    <row r="120" ht="15.75" customHeight="1" s="42"/>
    <row r="121" ht="15.75" customHeight="1" s="42"/>
    <row r="122" ht="15.75" customHeight="1" s="42"/>
    <row r="123" ht="15.75" customHeight="1" s="42"/>
    <row r="124" ht="15.75" customHeight="1" s="42"/>
    <row r="125" ht="15.75" customHeight="1" s="42"/>
    <row r="126" ht="15.75" customHeight="1" s="42"/>
    <row r="127" ht="15.75" customHeight="1" s="42"/>
    <row r="128" ht="15.75" customHeight="1" s="42"/>
    <row r="129" ht="15.75" customHeight="1" s="42"/>
    <row r="130" ht="15.75" customHeight="1" s="42"/>
    <row r="131" ht="15.75" customHeight="1" s="42"/>
    <row r="132" ht="15.75" customHeight="1" s="42"/>
    <row r="133" ht="15.75" customHeight="1" s="42"/>
    <row r="134" ht="15.75" customHeight="1" s="42"/>
    <row r="135" ht="15.75" customHeight="1" s="42"/>
    <row r="136" ht="15.75" customHeight="1" s="42"/>
    <row r="137" ht="15.75" customHeight="1" s="42"/>
    <row r="138" ht="15.75" customHeight="1" s="42"/>
    <row r="139" ht="15.75" customHeight="1" s="42"/>
    <row r="140" ht="15.75" customHeight="1" s="42"/>
    <row r="141" ht="15.75" customHeight="1" s="42"/>
    <row r="142" ht="15.75" customHeight="1" s="42"/>
    <row r="143" ht="15.75" customHeight="1" s="42"/>
    <row r="144" ht="15.75" customHeight="1" s="42"/>
    <row r="145" ht="15.75" customHeight="1" s="42"/>
    <row r="146" ht="15.75" customHeight="1" s="42"/>
    <row r="147" ht="15.75" customHeight="1" s="42"/>
    <row r="148" ht="15.75" customHeight="1" s="42"/>
    <row r="149" ht="15.75" customHeight="1" s="42"/>
    <row r="150" ht="15.75" customHeight="1" s="42"/>
    <row r="151" ht="15.75" customHeight="1" s="42"/>
    <row r="152" ht="15.75" customHeight="1" s="42"/>
    <row r="153" ht="15.75" customHeight="1" s="42"/>
    <row r="154" ht="15.75" customHeight="1" s="42"/>
    <row r="155" ht="15.75" customHeight="1" s="42"/>
    <row r="156" ht="15.75" customHeight="1" s="42"/>
    <row r="157" ht="15.75" customHeight="1" s="42"/>
    <row r="158" ht="15.75" customHeight="1" s="42"/>
    <row r="159" ht="15.75" customHeight="1" s="42"/>
    <row r="160" ht="15.75" customHeight="1" s="42"/>
    <row r="161" ht="15.75" customHeight="1" s="42"/>
    <row r="162" ht="15.75" customHeight="1" s="42"/>
    <row r="163" ht="15.75" customHeight="1" s="42"/>
    <row r="164" ht="15.75" customHeight="1" s="42"/>
    <row r="165" ht="15.75" customHeight="1" s="42"/>
    <row r="166" ht="15.75" customHeight="1" s="42"/>
    <row r="167" ht="15.75" customHeight="1" s="42"/>
    <row r="168" ht="15.75" customHeight="1" s="42"/>
    <row r="169" ht="15.75" customHeight="1" s="42"/>
    <row r="170" ht="15.75" customHeight="1" s="42"/>
    <row r="171" ht="15.75" customHeight="1" s="42"/>
    <row r="172" ht="15.75" customHeight="1" s="42"/>
    <row r="173" ht="15.75" customHeight="1" s="42"/>
    <row r="174" ht="15.75" customHeight="1" s="42"/>
    <row r="175" ht="15.75" customHeight="1" s="42"/>
    <row r="176" ht="15.75" customHeight="1" s="42"/>
    <row r="177" ht="15.75" customHeight="1" s="42"/>
    <row r="178" ht="15.75" customHeight="1" s="42"/>
    <row r="179" ht="15.75" customHeight="1" s="42"/>
    <row r="180" ht="15.75" customHeight="1" s="42"/>
    <row r="181" ht="15.75" customHeight="1" s="42"/>
    <row r="182" ht="15.75" customHeight="1" s="42"/>
    <row r="183" ht="15.75" customHeight="1" s="42"/>
    <row r="184" ht="15.75" customHeight="1" s="42"/>
    <row r="185" ht="15.75" customHeight="1" s="42"/>
    <row r="186" ht="15.75" customHeight="1" s="42"/>
    <row r="187" ht="15.75" customHeight="1" s="42"/>
    <row r="188" ht="15.75" customHeight="1" s="42"/>
    <row r="189" ht="15.75" customHeight="1" s="42"/>
    <row r="190" ht="15.75" customHeight="1" s="42"/>
    <row r="191" ht="15.75" customHeight="1" s="42"/>
    <row r="192" ht="15.75" customHeight="1" s="42"/>
    <row r="193" ht="15.75" customHeight="1" s="42"/>
    <row r="194" ht="15.75" customHeight="1" s="42"/>
    <row r="195" ht="15.75" customHeight="1" s="42"/>
    <row r="196" ht="15.75" customHeight="1" s="42"/>
    <row r="197" ht="15.75" customHeight="1" s="42"/>
    <row r="198" ht="15.75" customHeight="1" s="42"/>
    <row r="199" ht="15.75" customHeight="1" s="42"/>
    <row r="200" ht="15.75" customHeight="1" s="42"/>
    <row r="201" ht="15.75" customHeight="1" s="42"/>
    <row r="202" ht="15.75" customHeight="1" s="42"/>
    <row r="203" ht="15.75" customHeight="1" s="42"/>
    <row r="204" ht="15.75" customHeight="1" s="42"/>
    <row r="205" ht="15.75" customHeight="1" s="42"/>
    <row r="206" ht="15.75" customHeight="1" s="42"/>
    <row r="207" ht="15.75" customHeight="1" s="42"/>
    <row r="208" ht="15.75" customHeight="1" s="42"/>
    <row r="209" ht="15.75" customHeight="1" s="42"/>
    <row r="210" ht="15.75" customHeight="1" s="42"/>
    <row r="211" ht="15.75" customHeight="1" s="42"/>
    <row r="212" ht="15.75" customHeight="1" s="42"/>
    <row r="213" ht="15.75" customHeight="1" s="42"/>
    <row r="214" ht="15.75" customHeight="1" s="42"/>
    <row r="215" ht="15.75" customHeight="1" s="42"/>
    <row r="216" ht="15.75" customHeight="1" s="42"/>
    <row r="217" ht="15.75" customHeight="1" s="42"/>
    <row r="218" ht="15.75" customHeight="1" s="42"/>
    <row r="219" ht="15.75" customHeight="1" s="42"/>
    <row r="220" ht="15.75" customHeight="1" s="42"/>
    <row r="221" ht="15.75" customHeight="1" s="42"/>
    <row r="222" ht="15.75" customHeight="1" s="42"/>
    <row r="223" ht="15.75" customHeight="1" s="42"/>
    <row r="224" ht="15.75" customHeight="1" s="42"/>
    <row r="225" ht="15.75" customHeight="1" s="42"/>
    <row r="226" ht="15.75" customHeight="1" s="42"/>
    <row r="227" ht="15.75" customHeight="1" s="42"/>
    <row r="228" ht="15.75" customHeight="1" s="42"/>
    <row r="229" ht="15.75" customHeight="1" s="42"/>
    <row r="230" ht="15.75" customHeight="1" s="42"/>
    <row r="231" ht="15.75" customHeight="1" s="42"/>
    <row r="232" ht="15.75" customHeight="1" s="42"/>
    <row r="233" ht="15.75" customHeight="1" s="42"/>
    <row r="234" ht="15.75" customHeight="1" s="42"/>
    <row r="235" ht="15.75" customHeight="1" s="42"/>
    <row r="236" ht="15.75" customHeight="1" s="42"/>
    <row r="237" ht="15.75" customHeight="1" s="42"/>
    <row r="238" ht="15.75" customHeight="1" s="42"/>
    <row r="239" ht="15.75" customHeight="1" s="42"/>
    <row r="240" ht="15.75" customHeight="1" s="42"/>
    <row r="241" ht="15.75" customHeight="1" s="42"/>
    <row r="242" ht="15.75" customHeight="1" s="42"/>
    <row r="243" ht="15.75" customHeight="1" s="42"/>
    <row r="244" ht="15.75" customHeight="1" s="42"/>
    <row r="245" ht="15.75" customHeight="1" s="42"/>
    <row r="246" ht="15.75" customHeight="1" s="42"/>
    <row r="247" ht="15.75" customHeight="1" s="42"/>
    <row r="248" ht="15.75" customHeight="1" s="42"/>
    <row r="249" ht="15.75" customHeight="1" s="42"/>
    <row r="250" ht="15.75" customHeight="1" s="42"/>
    <row r="251" ht="15.75" customHeight="1" s="42"/>
    <row r="252" ht="15.75" customHeight="1" s="42"/>
    <row r="253" ht="15.75" customHeight="1" s="42"/>
    <row r="254" ht="15.75" customHeight="1" s="42"/>
    <row r="255" ht="15.75" customHeight="1" s="42"/>
    <row r="256" ht="15.75" customHeight="1" s="42"/>
    <row r="257" ht="15.75" customHeight="1" s="42"/>
    <row r="258" ht="15.75" customHeight="1" s="42"/>
    <row r="259" ht="15.75" customHeight="1" s="42"/>
    <row r="260" ht="15.75" customHeight="1" s="42"/>
    <row r="261" ht="15.75" customHeight="1" s="42"/>
    <row r="262" ht="15.75" customHeight="1" s="42"/>
    <row r="263" ht="15.75" customHeight="1" s="42"/>
    <row r="264" ht="15.75" customHeight="1" s="42"/>
    <row r="265" ht="15.75" customHeight="1" s="42"/>
    <row r="266" ht="15.75" customHeight="1" s="42"/>
    <row r="267" ht="15.75" customHeight="1" s="42"/>
    <row r="268" ht="15.75" customHeight="1" s="42"/>
    <row r="269" ht="15.75" customHeight="1" s="42"/>
    <row r="270" ht="15.75" customHeight="1" s="42"/>
    <row r="271" ht="15.75" customHeight="1" s="42"/>
    <row r="272" ht="15.75" customHeight="1" s="42"/>
    <row r="273" ht="15.75" customHeight="1" s="42"/>
    <row r="274" ht="15.75" customHeight="1" s="42"/>
    <row r="275" ht="15.75" customHeight="1" s="42"/>
    <row r="276" ht="15.75" customHeight="1" s="42"/>
    <row r="277" ht="15.75" customHeight="1" s="42"/>
    <row r="278" ht="15.75" customHeight="1" s="42"/>
    <row r="279" ht="15.75" customHeight="1" s="42"/>
    <row r="280" ht="15.75" customHeight="1" s="42"/>
    <row r="281" ht="15.75" customHeight="1" s="42"/>
    <row r="282" ht="15.75" customHeight="1" s="42"/>
    <row r="283" ht="15.75" customHeight="1" s="42"/>
    <row r="284" ht="15.75" customHeight="1" s="42"/>
    <row r="285" ht="15.75" customHeight="1" s="42"/>
    <row r="286" ht="15.75" customHeight="1" s="42"/>
    <row r="287" ht="15.75" customHeight="1" s="42"/>
    <row r="288" ht="15.75" customHeight="1" s="42"/>
    <row r="289" ht="15.75" customHeight="1" s="42"/>
    <row r="290" ht="15.75" customHeight="1" s="42"/>
    <row r="291" ht="15.75" customHeight="1" s="42"/>
    <row r="292" ht="15.75" customHeight="1" s="42"/>
    <row r="293" ht="15.75" customHeight="1" s="42"/>
    <row r="294" ht="15.75" customHeight="1" s="42"/>
    <row r="295" ht="15.75" customHeight="1" s="42"/>
    <row r="296" ht="15.75" customHeight="1" s="42"/>
    <row r="297" ht="15.75" customHeight="1" s="42"/>
    <row r="298" ht="15.75" customHeight="1" s="42"/>
    <row r="299" ht="15.75" customHeight="1" s="42"/>
    <row r="300" ht="15.75" customHeight="1" s="42"/>
    <row r="301" ht="15.75" customHeight="1" s="42"/>
    <row r="302" ht="15.75" customHeight="1" s="42"/>
    <row r="303" ht="15.75" customHeight="1" s="42"/>
    <row r="304" ht="15.75" customHeight="1" s="42"/>
    <row r="305" ht="15.75" customHeight="1" s="42"/>
    <row r="306" ht="15.75" customHeight="1" s="42"/>
    <row r="307" ht="15.75" customHeight="1" s="42"/>
    <row r="308" ht="15.75" customHeight="1" s="42"/>
    <row r="309" ht="15.75" customHeight="1" s="42"/>
    <row r="310" ht="15.75" customHeight="1" s="42"/>
    <row r="311" ht="15.75" customHeight="1" s="42"/>
    <row r="312" ht="15.75" customHeight="1" s="42"/>
    <row r="313" ht="15.75" customHeight="1" s="42"/>
    <row r="314" ht="15.75" customHeight="1" s="42"/>
    <row r="315" ht="15.75" customHeight="1" s="42"/>
    <row r="316" ht="15.75" customHeight="1" s="42"/>
    <row r="317" ht="15.75" customHeight="1" s="42"/>
    <row r="318" ht="15.75" customHeight="1" s="42"/>
    <row r="319" ht="15.75" customHeight="1" s="42"/>
    <row r="320" ht="15.75" customHeight="1" s="42"/>
    <row r="321" ht="15.75" customHeight="1" s="42"/>
    <row r="322" ht="15.75" customHeight="1" s="42"/>
    <row r="323" ht="15.75" customHeight="1" s="42"/>
    <row r="324" ht="15.75" customHeight="1" s="42"/>
    <row r="325" ht="15.75" customHeight="1" s="42"/>
    <row r="326" ht="15.75" customHeight="1" s="42"/>
    <row r="327" ht="15.75" customHeight="1" s="42"/>
    <row r="328" ht="15.75" customHeight="1" s="42"/>
    <row r="329" ht="15.75" customHeight="1" s="42"/>
    <row r="330" ht="15.75" customHeight="1" s="42"/>
    <row r="331" ht="15.75" customHeight="1" s="42"/>
    <row r="332" ht="15.75" customHeight="1" s="42"/>
    <row r="333" ht="15.75" customHeight="1" s="42"/>
    <row r="334" ht="15.75" customHeight="1" s="42"/>
    <row r="335" ht="15.75" customHeight="1" s="42"/>
    <row r="336" ht="15.75" customHeight="1" s="42"/>
    <row r="337" ht="15.75" customHeight="1" s="42"/>
    <row r="338" ht="15.75" customHeight="1" s="42"/>
    <row r="339" ht="15.75" customHeight="1" s="42"/>
    <row r="340" ht="15.75" customHeight="1" s="42"/>
    <row r="341" ht="15.75" customHeight="1" s="42"/>
    <row r="342" ht="15.75" customHeight="1" s="42"/>
    <row r="343" ht="15.75" customHeight="1" s="42"/>
    <row r="344" ht="15.75" customHeight="1" s="42"/>
    <row r="345" ht="15.75" customHeight="1" s="42"/>
    <row r="346" ht="15.75" customHeight="1" s="42"/>
    <row r="347" ht="15.75" customHeight="1" s="42"/>
    <row r="348" ht="15.75" customHeight="1" s="42"/>
    <row r="349" ht="15.75" customHeight="1" s="42"/>
    <row r="350" ht="15.75" customHeight="1" s="42"/>
    <row r="351" ht="15.75" customHeight="1" s="42"/>
    <row r="352" ht="15.75" customHeight="1" s="42"/>
    <row r="353" ht="15.75" customHeight="1" s="42"/>
    <row r="354" ht="15.75" customHeight="1" s="42"/>
    <row r="355" ht="15.75" customHeight="1" s="42"/>
    <row r="356" ht="15.75" customHeight="1" s="42"/>
    <row r="357" ht="15.75" customHeight="1" s="42"/>
    <row r="358" ht="15.75" customHeight="1" s="42"/>
    <row r="359" ht="15.75" customHeight="1" s="42"/>
    <row r="360" ht="15.75" customHeight="1" s="42"/>
    <row r="361" ht="15.75" customHeight="1" s="42"/>
    <row r="362" ht="15.75" customHeight="1" s="42"/>
    <row r="363" ht="15.75" customHeight="1" s="42"/>
    <row r="364" ht="15.75" customHeight="1" s="42"/>
    <row r="365" ht="15.75" customHeight="1" s="42"/>
    <row r="366" ht="15.75" customHeight="1" s="42"/>
    <row r="367" ht="15.75" customHeight="1" s="42"/>
    <row r="368" ht="15.75" customHeight="1" s="42"/>
    <row r="369" ht="15.75" customHeight="1" s="42"/>
    <row r="370" ht="15.75" customHeight="1" s="42"/>
    <row r="371" ht="15.75" customHeight="1" s="42"/>
    <row r="372" ht="15.75" customHeight="1" s="42"/>
    <row r="373" ht="15.75" customHeight="1" s="42"/>
    <row r="374" ht="15.75" customHeight="1" s="42"/>
    <row r="375" ht="15.75" customHeight="1" s="42"/>
    <row r="376" ht="15.75" customHeight="1" s="42"/>
    <row r="377" ht="15.75" customHeight="1" s="42"/>
    <row r="378" ht="15.75" customHeight="1" s="42"/>
    <row r="379" ht="15.75" customHeight="1" s="42"/>
    <row r="380" ht="15.75" customHeight="1" s="42"/>
    <row r="381" ht="15.75" customHeight="1" s="42"/>
    <row r="382" ht="15.75" customHeight="1" s="42"/>
    <row r="383" ht="15.75" customHeight="1" s="42"/>
    <row r="384" ht="15.75" customHeight="1" s="42"/>
    <row r="385" ht="15.75" customHeight="1" s="42"/>
    <row r="386" ht="15.75" customHeight="1" s="42"/>
    <row r="387" ht="15.75" customHeight="1" s="42"/>
    <row r="388" ht="15.75" customHeight="1" s="42"/>
    <row r="389" ht="15.75" customHeight="1" s="42"/>
    <row r="390" ht="15.75" customHeight="1" s="42"/>
    <row r="391" ht="15.75" customHeight="1" s="42"/>
    <row r="392" ht="15.75" customHeight="1" s="42"/>
    <row r="393" ht="15.75" customHeight="1" s="42"/>
    <row r="394" ht="15.75" customHeight="1" s="42"/>
    <row r="395" ht="15.75" customHeight="1" s="42"/>
    <row r="396" ht="15.75" customHeight="1" s="42"/>
    <row r="397" ht="15.75" customHeight="1" s="42"/>
    <row r="398" ht="15.75" customHeight="1" s="42"/>
    <row r="399" ht="15.75" customHeight="1" s="42"/>
    <row r="400" ht="15.75" customHeight="1" s="42"/>
    <row r="401" ht="15.75" customHeight="1" s="42"/>
    <row r="402" ht="15.75" customHeight="1" s="42"/>
    <row r="403" ht="15.75" customHeight="1" s="42"/>
    <row r="404" ht="15.75" customHeight="1" s="42"/>
    <row r="405" ht="15.75" customHeight="1" s="42"/>
    <row r="406" ht="15.75" customHeight="1" s="42"/>
    <row r="407" ht="15.75" customHeight="1" s="42"/>
    <row r="408" ht="15.75" customHeight="1" s="42"/>
    <row r="409" ht="15.75" customHeight="1" s="42"/>
    <row r="410" ht="15.75" customHeight="1" s="42"/>
    <row r="411" ht="15.75" customHeight="1" s="42"/>
    <row r="412" ht="15.75" customHeight="1" s="42"/>
    <row r="413" ht="15.75" customHeight="1" s="42"/>
    <row r="414" ht="15.75" customHeight="1" s="42"/>
    <row r="415" ht="15.75" customHeight="1" s="42"/>
    <row r="416" ht="15.75" customHeight="1" s="42"/>
    <row r="417" ht="15.75" customHeight="1" s="42"/>
    <row r="418" ht="15.75" customHeight="1" s="42"/>
    <row r="419" ht="15.75" customHeight="1" s="42"/>
    <row r="420" ht="15.75" customHeight="1" s="42"/>
    <row r="421" ht="15.75" customHeight="1" s="42"/>
    <row r="422" ht="15.75" customHeight="1" s="42"/>
    <row r="423" ht="15.75" customHeight="1" s="42"/>
    <row r="424" ht="15.75" customHeight="1" s="42"/>
    <row r="425" ht="15.75" customHeight="1" s="42"/>
    <row r="426" ht="15.75" customHeight="1" s="42"/>
    <row r="427" ht="15.75" customHeight="1" s="42"/>
    <row r="428" ht="15.75" customHeight="1" s="42"/>
    <row r="429" ht="15.75" customHeight="1" s="42"/>
    <row r="430" ht="15.75" customHeight="1" s="42"/>
    <row r="431" ht="15.75" customHeight="1" s="42"/>
    <row r="432" ht="15.75" customHeight="1" s="42"/>
    <row r="433" ht="15.75" customHeight="1" s="42"/>
    <row r="434" ht="15.75" customHeight="1" s="42"/>
    <row r="435" ht="15.75" customHeight="1" s="42"/>
    <row r="436" ht="15.75" customHeight="1" s="42"/>
    <row r="437" ht="15.75" customHeight="1" s="42"/>
    <row r="438" ht="15.75" customHeight="1" s="42"/>
    <row r="439" ht="15.75" customHeight="1" s="42"/>
    <row r="440" ht="15.75" customHeight="1" s="42"/>
    <row r="441" ht="15.75" customHeight="1" s="42"/>
    <row r="442" ht="15.75" customHeight="1" s="42"/>
    <row r="443" ht="15.75" customHeight="1" s="42"/>
    <row r="444" ht="15.75" customHeight="1" s="42"/>
    <row r="445" ht="15.75" customHeight="1" s="42"/>
    <row r="446" ht="15.75" customHeight="1" s="42"/>
    <row r="447" ht="15.75" customHeight="1" s="42"/>
    <row r="448" ht="15.75" customHeight="1" s="42"/>
    <row r="449" ht="15.75" customHeight="1" s="42"/>
    <row r="450" ht="15.75" customHeight="1" s="42"/>
    <row r="451" ht="15.75" customHeight="1" s="42"/>
    <row r="452" ht="15.75" customHeight="1" s="42"/>
    <row r="453" ht="15.75" customHeight="1" s="42"/>
    <row r="454" ht="15.75" customHeight="1" s="42"/>
    <row r="455" ht="15.75" customHeight="1" s="42"/>
    <row r="456" ht="15.75" customHeight="1" s="42"/>
    <row r="457" ht="15.75" customHeight="1" s="42"/>
    <row r="458" ht="15.75" customHeight="1" s="42"/>
    <row r="459" ht="15.75" customHeight="1" s="42"/>
    <row r="460" ht="15.75" customHeight="1" s="42"/>
    <row r="461" ht="15.75" customHeight="1" s="42"/>
    <row r="462" ht="15.75" customHeight="1" s="42"/>
    <row r="463" ht="15.75" customHeight="1" s="42"/>
    <row r="464" ht="15.75" customHeight="1" s="42"/>
    <row r="465" ht="15.75" customHeight="1" s="42"/>
    <row r="466" ht="15.75" customHeight="1" s="42"/>
    <row r="467" ht="15.75" customHeight="1" s="42"/>
    <row r="468" ht="15.75" customHeight="1" s="42"/>
    <row r="469" ht="15.75" customHeight="1" s="42"/>
    <row r="470" ht="15.75" customHeight="1" s="42"/>
    <row r="471" ht="15.75" customHeight="1" s="42"/>
    <row r="472" ht="15.75" customHeight="1" s="42"/>
    <row r="473" ht="15.75" customHeight="1" s="42"/>
    <row r="474" ht="15.75" customHeight="1" s="42"/>
    <row r="475" ht="15.75" customHeight="1" s="42"/>
    <row r="476" ht="15.75" customHeight="1" s="42"/>
    <row r="477" ht="15.75" customHeight="1" s="42"/>
    <row r="478" ht="15.75" customHeight="1" s="42"/>
    <row r="479" ht="15.75" customHeight="1" s="42"/>
    <row r="480" ht="15.75" customHeight="1" s="42"/>
    <row r="481" ht="15.75" customHeight="1" s="42"/>
    <row r="482" ht="15.75" customHeight="1" s="42"/>
    <row r="483" ht="15.75" customHeight="1" s="42"/>
    <row r="484" ht="15.75" customHeight="1" s="42"/>
    <row r="485" ht="15.75" customHeight="1" s="42"/>
    <row r="486" ht="15.75" customHeight="1" s="42"/>
    <row r="487" ht="15.75" customHeight="1" s="42"/>
    <row r="488" ht="15.75" customHeight="1" s="42"/>
    <row r="489" ht="15.75" customHeight="1" s="42"/>
    <row r="490" ht="15.75" customHeight="1" s="42"/>
    <row r="491" ht="15.75" customHeight="1" s="42"/>
    <row r="492" ht="15.75" customHeight="1" s="42"/>
    <row r="493" ht="15.75" customHeight="1" s="42"/>
    <row r="494" ht="15.75" customHeight="1" s="42"/>
    <row r="495" ht="15.75" customHeight="1" s="42"/>
    <row r="496" ht="15.75" customHeight="1" s="42"/>
    <row r="497" ht="15.75" customHeight="1" s="42"/>
    <row r="498" ht="15.75" customHeight="1" s="42"/>
    <row r="499" ht="15.75" customHeight="1" s="42"/>
    <row r="500" ht="15.75" customHeight="1" s="42"/>
    <row r="501" ht="15.75" customHeight="1" s="42"/>
    <row r="502" ht="15.75" customHeight="1" s="42"/>
    <row r="503" ht="15.75" customHeight="1" s="42"/>
    <row r="504" ht="15.75" customHeight="1" s="42"/>
    <row r="505" ht="15.75" customHeight="1" s="42"/>
    <row r="506" ht="15.75" customHeight="1" s="42"/>
    <row r="507" ht="15.75" customHeight="1" s="42"/>
    <row r="508" ht="15.75" customHeight="1" s="42"/>
    <row r="509" ht="15.75" customHeight="1" s="42"/>
    <row r="510" ht="15.75" customHeight="1" s="42"/>
    <row r="511" ht="15.75" customHeight="1" s="42"/>
    <row r="512" ht="15.75" customHeight="1" s="42"/>
    <row r="513" ht="15.75" customHeight="1" s="42"/>
    <row r="514" ht="15.75" customHeight="1" s="42"/>
    <row r="515" ht="15.75" customHeight="1" s="42"/>
    <row r="516" ht="15.75" customHeight="1" s="42"/>
    <row r="517" ht="15.75" customHeight="1" s="42"/>
    <row r="518" ht="15.75" customHeight="1" s="42"/>
    <row r="519" ht="15.75" customHeight="1" s="42"/>
    <row r="520" ht="15.75" customHeight="1" s="42"/>
    <row r="521" ht="15.75" customHeight="1" s="42"/>
    <row r="522" ht="15.75" customHeight="1" s="42"/>
    <row r="523" ht="15.75" customHeight="1" s="42"/>
    <row r="524" ht="15.75" customHeight="1" s="42"/>
    <row r="525" ht="15.75" customHeight="1" s="42"/>
    <row r="526" ht="15.75" customHeight="1" s="42"/>
    <row r="527" ht="15.75" customHeight="1" s="42"/>
    <row r="528" ht="15.75" customHeight="1" s="42"/>
    <row r="529" ht="15.75" customHeight="1" s="42"/>
    <row r="530" ht="15.75" customHeight="1" s="42"/>
    <row r="531" ht="15.75" customHeight="1" s="42"/>
    <row r="532" ht="15.75" customHeight="1" s="42"/>
    <row r="533" ht="15.75" customHeight="1" s="42"/>
    <row r="534" ht="15.75" customHeight="1" s="42"/>
    <row r="535" ht="15.75" customHeight="1" s="42"/>
    <row r="536" ht="15.75" customHeight="1" s="42"/>
    <row r="537" ht="15.75" customHeight="1" s="42"/>
    <row r="538" ht="15.75" customHeight="1" s="42"/>
    <row r="539" ht="15.75" customHeight="1" s="42"/>
    <row r="540" ht="15.75" customHeight="1" s="42"/>
    <row r="541" ht="15.75" customHeight="1" s="42"/>
    <row r="542" ht="15.75" customHeight="1" s="42"/>
    <row r="543" ht="15.75" customHeight="1" s="42"/>
    <row r="544" ht="15.75" customHeight="1" s="42"/>
    <row r="545" ht="15.75" customHeight="1" s="42"/>
    <row r="546" ht="15.75" customHeight="1" s="42"/>
    <row r="547" ht="15.75" customHeight="1" s="42"/>
    <row r="548" ht="15.75" customHeight="1" s="42"/>
    <row r="549" ht="15.75" customHeight="1" s="42"/>
    <row r="550" ht="15.75" customHeight="1" s="42"/>
    <row r="551" ht="15.75" customHeight="1" s="42"/>
    <row r="552" ht="15.75" customHeight="1" s="42"/>
    <row r="553" ht="15.75" customHeight="1" s="42"/>
    <row r="554" ht="15.75" customHeight="1" s="42"/>
    <row r="555" ht="15.75" customHeight="1" s="42"/>
    <row r="556" ht="15.75" customHeight="1" s="42"/>
    <row r="557" ht="15.75" customHeight="1" s="42"/>
    <row r="558" ht="15.75" customHeight="1" s="42"/>
    <row r="559" ht="15.75" customHeight="1" s="42"/>
    <row r="560" ht="15.75" customHeight="1" s="42"/>
    <row r="561" ht="15.75" customHeight="1" s="42"/>
    <row r="562" ht="15.75" customHeight="1" s="42"/>
    <row r="563" ht="15.75" customHeight="1" s="42"/>
    <row r="564" ht="15.75" customHeight="1" s="42"/>
    <row r="565" ht="15.75" customHeight="1" s="42"/>
    <row r="566" ht="15.75" customHeight="1" s="42"/>
    <row r="567" ht="15.75" customHeight="1" s="42"/>
    <row r="568" ht="15.75" customHeight="1" s="42"/>
    <row r="569" ht="15.75" customHeight="1" s="42"/>
    <row r="570" ht="15.75" customHeight="1" s="42"/>
    <row r="571" ht="15.75" customHeight="1" s="42"/>
    <row r="572" ht="15.75" customHeight="1" s="42"/>
    <row r="573" ht="15.75" customHeight="1" s="42"/>
    <row r="574" ht="15.75" customHeight="1" s="42"/>
    <row r="575" ht="15.75" customHeight="1" s="42"/>
    <row r="576" ht="15.75" customHeight="1" s="42"/>
    <row r="577" ht="15.75" customHeight="1" s="42"/>
    <row r="578" ht="15.75" customHeight="1" s="42"/>
    <row r="579" ht="15.75" customHeight="1" s="42"/>
    <row r="580" ht="15.75" customHeight="1" s="42"/>
    <row r="581" ht="15.75" customHeight="1" s="42"/>
    <row r="582" ht="15.75" customHeight="1" s="42"/>
    <row r="583" ht="15.75" customHeight="1" s="42"/>
    <row r="584" ht="15.75" customHeight="1" s="42"/>
    <row r="585" ht="15.75" customHeight="1" s="42"/>
    <row r="586" ht="15.75" customHeight="1" s="42"/>
    <row r="587" ht="15.75" customHeight="1" s="42"/>
    <row r="588" ht="15.75" customHeight="1" s="42"/>
    <row r="589" ht="15.75" customHeight="1" s="42"/>
    <row r="590" ht="15.75" customHeight="1" s="42"/>
    <row r="591" ht="15.75" customHeight="1" s="42"/>
    <row r="592" ht="15.75" customHeight="1" s="42"/>
    <row r="593" ht="15.75" customHeight="1" s="42"/>
    <row r="594" ht="15.75" customHeight="1" s="42"/>
    <row r="595" ht="15.75" customHeight="1" s="42"/>
    <row r="596" ht="15.75" customHeight="1" s="42"/>
    <row r="597" ht="15.75" customHeight="1" s="42"/>
    <row r="598" ht="15.75" customHeight="1" s="42"/>
    <row r="599" ht="15.75" customHeight="1" s="42"/>
    <row r="600" ht="15.75" customHeight="1" s="42"/>
    <row r="601" ht="15.75" customHeight="1" s="42"/>
    <row r="602" ht="15.75" customHeight="1" s="42"/>
    <row r="603" ht="15.75" customHeight="1" s="42"/>
    <row r="604" ht="15.75" customHeight="1" s="42"/>
    <row r="605" ht="15.75" customHeight="1" s="42"/>
    <row r="606" ht="15.75" customHeight="1" s="42"/>
    <row r="607" ht="15.75" customHeight="1" s="42"/>
    <row r="608" ht="15.75" customHeight="1" s="42"/>
    <row r="609" ht="15.75" customHeight="1" s="42"/>
    <row r="610" ht="15.75" customHeight="1" s="42"/>
    <row r="611" ht="15.75" customHeight="1" s="42"/>
    <row r="612" ht="15.75" customHeight="1" s="42"/>
    <row r="613" ht="15.75" customHeight="1" s="42"/>
    <row r="614" ht="15.75" customHeight="1" s="42"/>
    <row r="615" ht="15.75" customHeight="1" s="42"/>
    <row r="616" ht="15.75" customHeight="1" s="42"/>
    <row r="617" ht="15.75" customHeight="1" s="42"/>
    <row r="618" ht="15.75" customHeight="1" s="42"/>
    <row r="619" ht="15.75" customHeight="1" s="42"/>
    <row r="620" ht="15.75" customHeight="1" s="42"/>
    <row r="621" ht="15.75" customHeight="1" s="42"/>
    <row r="622" ht="15.75" customHeight="1" s="42"/>
    <row r="623" ht="15.75" customHeight="1" s="42"/>
    <row r="624" ht="15.75" customHeight="1" s="42"/>
    <row r="625" ht="15.75" customHeight="1" s="42"/>
    <row r="626" ht="15.75" customHeight="1" s="42"/>
    <row r="627" ht="15.75" customHeight="1" s="42"/>
    <row r="628" ht="15.75" customHeight="1" s="42"/>
    <row r="629" ht="15.75" customHeight="1" s="42"/>
    <row r="630" ht="15.75" customHeight="1" s="42"/>
    <row r="631" ht="15.75" customHeight="1" s="42"/>
    <row r="632" ht="15.75" customHeight="1" s="42"/>
    <row r="633" ht="15.75" customHeight="1" s="42"/>
    <row r="634" ht="15.75" customHeight="1" s="42"/>
    <row r="635" ht="15.75" customHeight="1" s="42"/>
    <row r="636" ht="15.75" customHeight="1" s="42"/>
    <row r="637" ht="15.75" customHeight="1" s="42"/>
    <row r="638" ht="15.75" customHeight="1" s="42"/>
    <row r="639" ht="15.75" customHeight="1" s="42"/>
    <row r="640" ht="15.75" customHeight="1" s="42"/>
    <row r="641" ht="15.75" customHeight="1" s="42"/>
    <row r="642" ht="15.75" customHeight="1" s="42"/>
    <row r="643" ht="15.75" customHeight="1" s="42"/>
    <row r="644" ht="15.75" customHeight="1" s="42"/>
    <row r="645" ht="15.75" customHeight="1" s="42"/>
    <row r="646" ht="15.75" customHeight="1" s="42"/>
    <row r="647" ht="15.75" customHeight="1" s="42"/>
    <row r="648" ht="15.75" customHeight="1" s="42"/>
    <row r="649" ht="15.75" customHeight="1" s="42"/>
    <row r="650" ht="15.75" customHeight="1" s="42"/>
    <row r="651" ht="15.75" customHeight="1" s="42"/>
    <row r="652" ht="15.75" customHeight="1" s="42"/>
    <row r="653" ht="15.75" customHeight="1" s="42"/>
    <row r="654" ht="15.75" customHeight="1" s="42"/>
    <row r="655" ht="15.75" customHeight="1" s="42"/>
    <row r="656" ht="15.75" customHeight="1" s="42"/>
    <row r="657" ht="15.75" customHeight="1" s="42"/>
    <row r="658" ht="15.75" customHeight="1" s="42"/>
    <row r="659" ht="15.75" customHeight="1" s="42"/>
    <row r="660" ht="15.75" customHeight="1" s="42"/>
    <row r="661" ht="15.75" customHeight="1" s="42"/>
    <row r="662" ht="15.75" customHeight="1" s="42"/>
    <row r="663" ht="15.75" customHeight="1" s="42"/>
    <row r="664" ht="15.75" customHeight="1" s="42"/>
    <row r="665" ht="15.75" customHeight="1" s="42"/>
    <row r="666" ht="15.75" customHeight="1" s="42"/>
    <row r="667" ht="15.75" customHeight="1" s="42"/>
    <row r="668" ht="15.75" customHeight="1" s="42"/>
    <row r="669" ht="15.75" customHeight="1" s="42"/>
    <row r="670" ht="15.75" customHeight="1" s="42"/>
    <row r="671" ht="15.75" customHeight="1" s="42"/>
    <row r="672" ht="15.75" customHeight="1" s="42"/>
    <row r="673" ht="15.75" customHeight="1" s="42"/>
    <row r="674" ht="15.75" customHeight="1" s="42"/>
    <row r="675" ht="15.75" customHeight="1" s="42"/>
    <row r="676" ht="15.75" customHeight="1" s="42"/>
    <row r="677" ht="15.75" customHeight="1" s="42"/>
    <row r="678" ht="15.75" customHeight="1" s="42"/>
    <row r="679" ht="15.75" customHeight="1" s="42"/>
    <row r="680" ht="15.75" customHeight="1" s="42"/>
    <row r="681" ht="15.75" customHeight="1" s="42"/>
    <row r="682" ht="15.75" customHeight="1" s="42"/>
    <row r="683" ht="15.75" customHeight="1" s="42"/>
    <row r="684" ht="15.75" customHeight="1" s="42"/>
    <row r="685" ht="15.75" customHeight="1" s="42"/>
    <row r="686" ht="15.75" customHeight="1" s="42"/>
    <row r="687" ht="15.75" customHeight="1" s="42"/>
    <row r="688" ht="15.75" customHeight="1" s="42"/>
    <row r="689" ht="15.75" customHeight="1" s="42"/>
    <row r="690" ht="15.75" customHeight="1" s="42"/>
    <row r="691" ht="15.75" customHeight="1" s="42"/>
    <row r="692" ht="15.75" customHeight="1" s="42"/>
    <row r="693" ht="15.75" customHeight="1" s="42"/>
    <row r="694" ht="15.75" customHeight="1" s="42"/>
    <row r="695" ht="15.75" customHeight="1" s="42"/>
    <row r="696" ht="15.75" customHeight="1" s="42"/>
    <row r="697" ht="15.75" customHeight="1" s="42"/>
    <row r="698" ht="15.75" customHeight="1" s="42"/>
    <row r="699" ht="15.75" customHeight="1" s="42"/>
    <row r="700" ht="15.75" customHeight="1" s="42"/>
    <row r="701" ht="15.75" customHeight="1" s="42"/>
    <row r="702" ht="15.75" customHeight="1" s="42"/>
    <row r="703" ht="15.75" customHeight="1" s="42"/>
    <row r="704" ht="15.75" customHeight="1" s="42"/>
    <row r="705" ht="15.75" customHeight="1" s="42"/>
    <row r="706" ht="15.75" customHeight="1" s="42"/>
    <row r="707" ht="15.75" customHeight="1" s="42"/>
    <row r="708" ht="15.75" customHeight="1" s="42"/>
    <row r="709" ht="15.75" customHeight="1" s="42"/>
    <row r="710" ht="15.75" customHeight="1" s="42"/>
    <row r="711" ht="15.75" customHeight="1" s="42"/>
    <row r="712" ht="15.75" customHeight="1" s="42"/>
    <row r="713" ht="15.75" customHeight="1" s="42"/>
    <row r="714" ht="15.75" customHeight="1" s="42"/>
    <row r="715" ht="15.75" customHeight="1" s="42"/>
    <row r="716" ht="15.75" customHeight="1" s="42"/>
    <row r="717" ht="15.75" customHeight="1" s="42"/>
    <row r="718" ht="15.75" customHeight="1" s="42"/>
    <row r="719" ht="15.75" customHeight="1" s="42"/>
    <row r="720" ht="15.75" customHeight="1" s="42"/>
    <row r="721" ht="15.75" customHeight="1" s="42"/>
    <row r="722" ht="15.75" customHeight="1" s="42"/>
    <row r="723" ht="15.75" customHeight="1" s="42"/>
    <row r="724" ht="15.75" customHeight="1" s="42"/>
    <row r="725" ht="15.75" customHeight="1" s="42"/>
    <row r="726" ht="15.75" customHeight="1" s="42"/>
    <row r="727" ht="15.75" customHeight="1" s="42"/>
    <row r="728" ht="15.75" customHeight="1" s="42"/>
    <row r="729" ht="15.75" customHeight="1" s="42"/>
    <row r="730" ht="15.75" customHeight="1" s="42"/>
    <row r="731" ht="15.75" customHeight="1" s="42"/>
    <row r="732" ht="15.75" customHeight="1" s="42"/>
    <row r="733" ht="15.75" customHeight="1" s="42"/>
    <row r="734" ht="15.75" customHeight="1" s="42"/>
    <row r="735" ht="15.75" customHeight="1" s="42"/>
    <row r="736" ht="15.75" customHeight="1" s="42"/>
    <row r="737" ht="15.75" customHeight="1" s="42"/>
    <row r="738" ht="15.75" customHeight="1" s="42"/>
    <row r="739" ht="15.75" customHeight="1" s="42"/>
    <row r="740" ht="15.75" customHeight="1" s="42"/>
    <row r="741" ht="15.75" customHeight="1" s="42"/>
    <row r="742" ht="15.75" customHeight="1" s="42"/>
    <row r="743" ht="15.75" customHeight="1" s="42"/>
    <row r="744" ht="15.75" customHeight="1" s="42"/>
    <row r="745" ht="15.75" customHeight="1" s="42"/>
    <row r="746" ht="15.75" customHeight="1" s="42"/>
    <row r="747" ht="15.75" customHeight="1" s="42"/>
    <row r="748" ht="15.75" customHeight="1" s="42"/>
    <row r="749" ht="15.75" customHeight="1" s="42"/>
    <row r="750" ht="15.75" customHeight="1" s="42"/>
    <row r="751" ht="15.75" customHeight="1" s="42"/>
    <row r="752" ht="15.75" customHeight="1" s="42"/>
    <row r="753" ht="15.75" customHeight="1" s="42"/>
    <row r="754" ht="15.75" customHeight="1" s="42"/>
    <row r="755" ht="15.75" customHeight="1" s="42"/>
    <row r="756" ht="15.75" customHeight="1" s="42"/>
    <row r="757" ht="15.75" customHeight="1" s="42"/>
    <row r="758" ht="15.75" customHeight="1" s="42"/>
    <row r="759" ht="15.75" customHeight="1" s="42"/>
    <row r="760" ht="15.75" customHeight="1" s="42"/>
    <row r="761" ht="15.75" customHeight="1" s="42"/>
    <row r="762" ht="15.75" customHeight="1" s="42"/>
    <row r="763" ht="15.75" customHeight="1" s="42"/>
    <row r="764" ht="15.75" customHeight="1" s="42"/>
    <row r="765" ht="15.75" customHeight="1" s="42"/>
    <row r="766" ht="15.75" customHeight="1" s="42"/>
    <row r="767" ht="15.75" customHeight="1" s="42"/>
    <row r="768" ht="15.75" customHeight="1" s="42"/>
    <row r="769" ht="15.75" customHeight="1" s="42"/>
    <row r="770" ht="15.75" customHeight="1" s="42"/>
    <row r="771" ht="15.75" customHeight="1" s="42"/>
    <row r="772" ht="15.75" customHeight="1" s="42"/>
    <row r="773" ht="15.75" customHeight="1" s="42"/>
    <row r="774" ht="15.75" customHeight="1" s="42"/>
    <row r="775" ht="15.75" customHeight="1" s="42"/>
    <row r="776" ht="15.75" customHeight="1" s="42"/>
    <row r="777" ht="15.75" customHeight="1" s="42"/>
    <row r="778" ht="15.75" customHeight="1" s="42"/>
    <row r="779" ht="15.75" customHeight="1" s="42"/>
    <row r="780" ht="15.75" customHeight="1" s="42"/>
    <row r="781" ht="15.75" customHeight="1" s="42"/>
    <row r="782" ht="15.75" customHeight="1" s="42"/>
    <row r="783" ht="15.75" customHeight="1" s="42"/>
    <row r="784" ht="15.75" customHeight="1" s="42"/>
    <row r="785" ht="15.75" customHeight="1" s="42"/>
    <row r="786" ht="15.75" customHeight="1" s="42"/>
    <row r="787" ht="15.75" customHeight="1" s="42"/>
    <row r="788" ht="15.75" customHeight="1" s="42"/>
    <row r="789" ht="15.75" customHeight="1" s="42"/>
    <row r="790" ht="15.75" customHeight="1" s="42"/>
    <row r="791" ht="15.75" customHeight="1" s="42"/>
    <row r="792" ht="15.75" customHeight="1" s="42"/>
    <row r="793" ht="15.75" customHeight="1" s="42"/>
    <row r="794" ht="15.75" customHeight="1" s="42"/>
    <row r="795" ht="15.75" customHeight="1" s="42"/>
    <row r="796" ht="15.75" customHeight="1" s="42"/>
    <row r="797" ht="15.75" customHeight="1" s="42"/>
    <row r="798" ht="15.75" customHeight="1" s="42"/>
    <row r="799" ht="15.75" customHeight="1" s="42"/>
    <row r="800" ht="15.75" customHeight="1" s="42"/>
    <row r="801" ht="15.75" customHeight="1" s="42"/>
    <row r="802" ht="15.75" customHeight="1" s="42"/>
    <row r="803" ht="15.75" customHeight="1" s="42"/>
    <row r="804" ht="15.75" customHeight="1" s="42"/>
    <row r="805" ht="15.75" customHeight="1" s="42"/>
    <row r="806" ht="15.75" customHeight="1" s="42"/>
    <row r="807" ht="15.75" customHeight="1" s="42"/>
    <row r="808" ht="15.75" customHeight="1" s="42"/>
    <row r="809" ht="15.75" customHeight="1" s="42"/>
    <row r="810" ht="15.75" customHeight="1" s="42"/>
    <row r="811" ht="15.75" customHeight="1" s="42"/>
    <row r="812" ht="15.75" customHeight="1" s="42"/>
    <row r="813" ht="15.75" customHeight="1" s="42"/>
    <row r="814" ht="15.75" customHeight="1" s="42"/>
    <row r="815" ht="15.75" customHeight="1" s="42"/>
    <row r="816" ht="15.75" customHeight="1" s="42"/>
    <row r="817" ht="15.75" customHeight="1" s="42"/>
    <row r="818" ht="15.75" customHeight="1" s="42"/>
    <row r="819" ht="15.75" customHeight="1" s="42"/>
    <row r="820" ht="15.75" customHeight="1" s="42"/>
    <row r="821" ht="15.75" customHeight="1" s="42"/>
    <row r="822" ht="15.75" customHeight="1" s="42"/>
    <row r="823" ht="15.75" customHeight="1" s="42"/>
    <row r="824" ht="15.75" customHeight="1" s="42"/>
    <row r="825" ht="15.75" customHeight="1" s="42"/>
    <row r="826" ht="15.75" customHeight="1" s="42"/>
    <row r="827" ht="15.75" customHeight="1" s="42"/>
    <row r="828" ht="15.75" customHeight="1" s="42"/>
    <row r="829" ht="15.75" customHeight="1" s="42"/>
    <row r="830" ht="15.75" customHeight="1" s="42"/>
    <row r="831" ht="15.75" customHeight="1" s="42"/>
    <row r="832" ht="15.75" customHeight="1" s="42"/>
    <row r="833" ht="15.75" customHeight="1" s="42"/>
    <row r="834" ht="15.75" customHeight="1" s="42"/>
    <row r="835" ht="15.75" customHeight="1" s="42"/>
    <row r="836" ht="15.75" customHeight="1" s="42"/>
    <row r="837" ht="15.75" customHeight="1" s="42"/>
    <row r="838" ht="15.75" customHeight="1" s="42"/>
    <row r="839" ht="15.75" customHeight="1" s="42"/>
    <row r="840" ht="15.75" customHeight="1" s="42"/>
    <row r="841" ht="15.75" customHeight="1" s="42"/>
    <row r="842" ht="15.75" customHeight="1" s="42"/>
    <row r="843" ht="15.75" customHeight="1" s="42"/>
    <row r="844" ht="15.75" customHeight="1" s="42"/>
    <row r="845" ht="15.75" customHeight="1" s="42"/>
    <row r="846" ht="15.75" customHeight="1" s="42"/>
    <row r="847" ht="15.75" customHeight="1" s="42"/>
    <row r="848" ht="15.75" customHeight="1" s="42"/>
    <row r="849" ht="15.75" customHeight="1" s="42"/>
    <row r="850" ht="15.75" customHeight="1" s="42"/>
    <row r="851" ht="15.75" customHeight="1" s="42"/>
    <row r="852" ht="15.75" customHeight="1" s="42"/>
    <row r="853" ht="15.75" customHeight="1" s="42"/>
    <row r="854" ht="15.75" customHeight="1" s="42"/>
    <row r="855" ht="15.75" customHeight="1" s="42"/>
    <row r="856" ht="15.75" customHeight="1" s="42"/>
    <row r="857" ht="15.75" customHeight="1" s="42"/>
    <row r="858" ht="15.75" customHeight="1" s="42"/>
    <row r="859" ht="15.75" customHeight="1" s="42"/>
    <row r="860" ht="15.75" customHeight="1" s="42"/>
    <row r="861" ht="15.75" customHeight="1" s="42"/>
    <row r="862" ht="15.75" customHeight="1" s="42"/>
    <row r="863" ht="15.75" customHeight="1" s="42"/>
    <row r="864" ht="15.75" customHeight="1" s="42"/>
    <row r="865" ht="15.75" customHeight="1" s="42"/>
    <row r="866" ht="15.75" customHeight="1" s="42"/>
    <row r="867" ht="15.75" customHeight="1" s="42"/>
    <row r="868" ht="15.75" customHeight="1" s="42"/>
    <row r="869" ht="15.75" customHeight="1" s="42"/>
    <row r="870" ht="15.75" customHeight="1" s="42"/>
    <row r="871" ht="15.75" customHeight="1" s="42"/>
    <row r="872" ht="15.75" customHeight="1" s="42"/>
    <row r="873" ht="15.75" customHeight="1" s="42"/>
    <row r="874" ht="15.75" customHeight="1" s="42"/>
    <row r="875" ht="15.75" customHeight="1" s="42"/>
    <row r="876" ht="15.75" customHeight="1" s="42"/>
    <row r="877" ht="15.75" customHeight="1" s="42"/>
    <row r="878" ht="15.75" customHeight="1" s="42"/>
    <row r="879" ht="15.75" customHeight="1" s="42"/>
    <row r="880" ht="15.75" customHeight="1" s="42"/>
    <row r="881" ht="15.75" customHeight="1" s="42"/>
    <row r="882" ht="15.75" customHeight="1" s="42"/>
    <row r="883" ht="15.75" customHeight="1" s="42"/>
    <row r="884" ht="15.75" customHeight="1" s="42"/>
    <row r="885" ht="15.75" customHeight="1" s="42"/>
    <row r="886" ht="15.75" customHeight="1" s="42"/>
    <row r="887" ht="15.75" customHeight="1" s="42"/>
    <row r="888" ht="15.75" customHeight="1" s="42"/>
    <row r="889" ht="15.75" customHeight="1" s="42"/>
    <row r="890" ht="15.75" customHeight="1" s="42"/>
    <row r="891" ht="15.75" customHeight="1" s="42"/>
    <row r="892" ht="15.75" customHeight="1" s="42"/>
    <row r="893" ht="15.75" customHeight="1" s="42"/>
    <row r="894" ht="15.75" customHeight="1" s="42"/>
    <row r="895" ht="15.75" customHeight="1" s="42"/>
    <row r="896" ht="15.75" customHeight="1" s="42"/>
    <row r="897" ht="15.75" customHeight="1" s="42"/>
    <row r="898" ht="15.75" customHeight="1" s="42"/>
    <row r="899" ht="15.75" customHeight="1" s="42"/>
    <row r="900" ht="15.75" customHeight="1" s="42"/>
    <row r="901" ht="15.75" customHeight="1" s="42"/>
    <row r="902" ht="15.75" customHeight="1" s="42"/>
    <row r="903" ht="15.75" customHeight="1" s="42"/>
    <row r="904" ht="15.75" customHeight="1" s="42"/>
    <row r="905" ht="15.75" customHeight="1" s="42"/>
    <row r="906" ht="15.75" customHeight="1" s="42"/>
    <row r="907" ht="15.75" customHeight="1" s="42"/>
    <row r="908" ht="15.75" customHeight="1" s="42"/>
    <row r="909" ht="15.75" customHeight="1" s="42"/>
    <row r="910" ht="15.75" customHeight="1" s="42"/>
    <row r="911" ht="15.75" customHeight="1" s="42"/>
    <row r="912" ht="15.75" customHeight="1" s="42"/>
    <row r="913" ht="15.75" customHeight="1" s="42"/>
    <row r="914" ht="15.75" customHeight="1" s="42"/>
    <row r="915" ht="15.75" customHeight="1" s="42"/>
    <row r="916" ht="15.75" customHeight="1" s="42"/>
    <row r="917" ht="15.75" customHeight="1" s="42"/>
    <row r="918" ht="15.75" customHeight="1" s="42"/>
    <row r="919" ht="15.75" customHeight="1" s="42"/>
    <row r="920" ht="15.75" customHeight="1" s="42"/>
    <row r="921" ht="15.75" customHeight="1" s="42"/>
    <row r="922" ht="15.75" customHeight="1" s="42"/>
    <row r="923" ht="15.75" customHeight="1" s="42"/>
    <row r="924" ht="15.75" customHeight="1" s="42"/>
    <row r="925" ht="15.75" customHeight="1" s="42"/>
    <row r="926" ht="15.75" customHeight="1" s="42"/>
    <row r="927" ht="15.75" customHeight="1" s="42"/>
    <row r="928" ht="15.75" customHeight="1" s="42"/>
    <row r="929" ht="15.75" customHeight="1" s="42"/>
    <row r="930" ht="15.75" customHeight="1" s="42"/>
    <row r="931" ht="15.75" customHeight="1" s="42"/>
    <row r="932" ht="15.75" customHeight="1" s="42"/>
    <row r="933" ht="15.75" customHeight="1" s="42"/>
    <row r="934" ht="15.75" customHeight="1" s="42"/>
    <row r="935" ht="15.75" customHeight="1" s="42"/>
    <row r="936" ht="15.75" customHeight="1" s="42"/>
    <row r="937" ht="15.75" customHeight="1" s="42"/>
    <row r="938" ht="15.75" customHeight="1" s="42"/>
    <row r="939" ht="15.75" customHeight="1" s="42"/>
    <row r="940" ht="15.75" customHeight="1" s="42"/>
    <row r="941" ht="15.75" customHeight="1" s="42"/>
    <row r="942" ht="15.75" customHeight="1" s="42"/>
    <row r="943" ht="15.75" customHeight="1" s="42"/>
    <row r="944" ht="15.75" customHeight="1" s="42"/>
    <row r="945" ht="15.75" customHeight="1" s="42"/>
    <row r="946" ht="15.75" customHeight="1" s="42"/>
    <row r="947" ht="15.75" customHeight="1" s="42"/>
    <row r="948" ht="15.75" customHeight="1" s="42"/>
    <row r="949" ht="15.75" customHeight="1" s="42"/>
    <row r="950" ht="15.75" customHeight="1" s="42"/>
    <row r="951" ht="15.75" customHeight="1" s="42"/>
    <row r="952" ht="15.75" customHeight="1" s="42"/>
    <row r="953" ht="15.75" customHeight="1" s="42"/>
    <row r="954" ht="15.75" customHeight="1" s="42"/>
    <row r="955" ht="15.75" customHeight="1" s="42"/>
    <row r="956" ht="15.75" customHeight="1" s="42"/>
    <row r="957" ht="15.75" customHeight="1" s="42"/>
    <row r="958" ht="15.75" customHeight="1" s="42"/>
    <row r="959" ht="15.75" customHeight="1" s="42"/>
    <row r="960" ht="15.75" customHeight="1" s="42"/>
    <row r="961" ht="15.75" customHeight="1" s="42"/>
    <row r="962" ht="15.75" customHeight="1" s="42"/>
    <row r="963" ht="15.75" customHeight="1" s="42"/>
    <row r="964" ht="15.75" customHeight="1" s="42"/>
    <row r="965" ht="15.75" customHeight="1" s="42"/>
    <row r="966" ht="15.75" customHeight="1" s="42"/>
    <row r="967" ht="15.75" customHeight="1" s="42"/>
    <row r="968" ht="15.75" customHeight="1" s="42"/>
    <row r="969" ht="15.75" customHeight="1" s="42"/>
    <row r="970" ht="15.75" customHeight="1" s="42"/>
    <row r="971" ht="15.75" customHeight="1" s="42"/>
    <row r="972" ht="15.75" customHeight="1" s="42"/>
    <row r="973" ht="15.75" customHeight="1" s="42"/>
    <row r="974" ht="15.75" customHeight="1" s="42"/>
    <row r="975" ht="15.75" customHeight="1" s="42"/>
    <row r="976" ht="15.75" customHeight="1" s="42"/>
    <row r="977" ht="15.75" customHeight="1" s="42"/>
    <row r="978" ht="15.75" customHeight="1" s="42"/>
    <row r="979" ht="15.75" customHeight="1" s="42"/>
    <row r="980" ht="15.75" customHeight="1" s="42"/>
    <row r="981" ht="15.75" customHeight="1" s="42"/>
    <row r="982" ht="15.75" customHeight="1" s="42"/>
    <row r="983" ht="15.75" customHeight="1" s="42"/>
    <row r="984" ht="15.75" customHeight="1" s="42"/>
    <row r="985" ht="15.75" customHeight="1" s="42"/>
    <row r="986" ht="15.75" customHeight="1" s="42"/>
    <row r="987" ht="15.75" customHeight="1" s="42"/>
    <row r="988" ht="15.75" customHeight="1" s="42"/>
    <row r="989" ht="15.75" customHeight="1" s="42"/>
    <row r="990" ht="15.75" customHeight="1" s="42"/>
    <row r="991" ht="15.75" customHeight="1" s="42"/>
    <row r="992" ht="15.75" customHeight="1" s="42"/>
    <row r="993" ht="15.75" customHeight="1" s="42"/>
    <row r="994" ht="15.75" customHeight="1" s="42"/>
    <row r="995" ht="15.75" customHeight="1" s="42"/>
    <row r="996" ht="15.75" customHeight="1" s="42"/>
    <row r="997" ht="15.75" customHeight="1" s="42"/>
    <row r="998" ht="15.75" customHeight="1" s="42"/>
    <row r="999" ht="15.75" customHeight="1" s="42"/>
    <row r="1000" ht="15.75" customHeight="1" s="42"/>
  </sheetData>
  <autoFilter ref="A1:AD67"/>
  <dataValidations count="1">
    <dataValidation sqref="S2:S67" showDropDown="0" showInputMessage="0" showErrorMessage="0" allowBlank="1" type="list">
      <formula1>"Idea,Design,Ready,Scheduled,Published,Hold"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P34" r:id="rId78"/>
    <hyperlink xmlns:r="http://schemas.openxmlformats.org/officeDocument/2006/relationships" ref="Q34" r:id="rId79"/>
    <hyperlink xmlns:r="http://schemas.openxmlformats.org/officeDocument/2006/relationships" ref="AA34" r:id="rId80"/>
    <hyperlink xmlns:r="http://schemas.openxmlformats.org/officeDocument/2006/relationships" ref="AB34" r:id="rId81"/>
    <hyperlink xmlns:r="http://schemas.openxmlformats.org/officeDocument/2006/relationships" ref="O35" r:id="rId82"/>
    <hyperlink xmlns:r="http://schemas.openxmlformats.org/officeDocument/2006/relationships" ref="P35" r:id="rId83"/>
    <hyperlink xmlns:r="http://schemas.openxmlformats.org/officeDocument/2006/relationships" ref="Q35" r:id="rId84"/>
    <hyperlink xmlns:r="http://schemas.openxmlformats.org/officeDocument/2006/relationships" ref="AA35" r:id="rId85"/>
    <hyperlink xmlns:r="http://schemas.openxmlformats.org/officeDocument/2006/relationships" ref="AB35" r:id="rId86"/>
    <hyperlink xmlns:r="http://schemas.openxmlformats.org/officeDocument/2006/relationships" ref="O36" r:id="rId87"/>
    <hyperlink xmlns:r="http://schemas.openxmlformats.org/officeDocument/2006/relationships" ref="P36" r:id="rId88"/>
    <hyperlink xmlns:r="http://schemas.openxmlformats.org/officeDocument/2006/relationships" ref="Q36" r:id="rId89"/>
    <hyperlink xmlns:r="http://schemas.openxmlformats.org/officeDocument/2006/relationships" ref="AA36" r:id="rId90"/>
    <hyperlink xmlns:r="http://schemas.openxmlformats.org/officeDocument/2006/relationships" ref="AB36" r:id="rId91"/>
    <hyperlink xmlns:r="http://schemas.openxmlformats.org/officeDocument/2006/relationships" ref="O37" r:id="rId92"/>
    <hyperlink xmlns:r="http://schemas.openxmlformats.org/officeDocument/2006/relationships" ref="P37" r:id="rId93"/>
    <hyperlink xmlns:r="http://schemas.openxmlformats.org/officeDocument/2006/relationships" ref="Q37" r:id="rId94"/>
    <hyperlink xmlns:r="http://schemas.openxmlformats.org/officeDocument/2006/relationships" ref="AA37" r:id="rId95"/>
    <hyperlink xmlns:r="http://schemas.openxmlformats.org/officeDocument/2006/relationships" ref="AB37" r:id="rId96"/>
    <hyperlink xmlns:r="http://schemas.openxmlformats.org/officeDocument/2006/relationships" ref="O38" r:id="rId97"/>
    <hyperlink xmlns:r="http://schemas.openxmlformats.org/officeDocument/2006/relationships" ref="P38" r:id="rId98"/>
    <hyperlink xmlns:r="http://schemas.openxmlformats.org/officeDocument/2006/relationships" ref="Q38" r:id="rId99"/>
    <hyperlink xmlns:r="http://schemas.openxmlformats.org/officeDocument/2006/relationships" ref="AA38" r:id="rId100"/>
    <hyperlink xmlns:r="http://schemas.openxmlformats.org/officeDocument/2006/relationships" ref="AB38" r:id="rId101"/>
    <hyperlink xmlns:r="http://schemas.openxmlformats.org/officeDocument/2006/relationships" ref="O39" r:id="rId102"/>
    <hyperlink xmlns:r="http://schemas.openxmlformats.org/officeDocument/2006/relationships" ref="P39" r:id="rId103"/>
    <hyperlink xmlns:r="http://schemas.openxmlformats.org/officeDocument/2006/relationships" ref="Q39" r:id="rId104"/>
    <hyperlink xmlns:r="http://schemas.openxmlformats.org/officeDocument/2006/relationships" ref="AA39" r:id="rId105"/>
    <hyperlink xmlns:r="http://schemas.openxmlformats.org/officeDocument/2006/relationships" ref="AB39" r:id="rId106"/>
    <hyperlink xmlns:r="http://schemas.openxmlformats.org/officeDocument/2006/relationships" ref="O40" r:id="rId107"/>
    <hyperlink xmlns:r="http://schemas.openxmlformats.org/officeDocument/2006/relationships" ref="P40" r:id="rId108"/>
    <hyperlink xmlns:r="http://schemas.openxmlformats.org/officeDocument/2006/relationships" ref="Q40" r:id="rId109"/>
    <hyperlink xmlns:r="http://schemas.openxmlformats.org/officeDocument/2006/relationships" ref="AA40" r:id="rId110"/>
    <hyperlink xmlns:r="http://schemas.openxmlformats.org/officeDocument/2006/relationships" ref="AB40" r:id="rId111"/>
    <hyperlink xmlns:r="http://schemas.openxmlformats.org/officeDocument/2006/relationships" ref="O41" r:id="rId112"/>
    <hyperlink xmlns:r="http://schemas.openxmlformats.org/officeDocument/2006/relationships" ref="P41" r:id="rId113"/>
    <hyperlink xmlns:r="http://schemas.openxmlformats.org/officeDocument/2006/relationships" ref="Q41" r:id="rId114"/>
    <hyperlink xmlns:r="http://schemas.openxmlformats.org/officeDocument/2006/relationships" ref="AA41" r:id="rId115"/>
    <hyperlink xmlns:r="http://schemas.openxmlformats.org/officeDocument/2006/relationships" ref="AB41" r:id="rId116"/>
    <hyperlink xmlns:r="http://schemas.openxmlformats.org/officeDocument/2006/relationships" ref="O42" r:id="rId117"/>
    <hyperlink xmlns:r="http://schemas.openxmlformats.org/officeDocument/2006/relationships" ref="P42" r:id="rId118"/>
    <hyperlink xmlns:r="http://schemas.openxmlformats.org/officeDocument/2006/relationships" ref="Q42" r:id="rId119"/>
    <hyperlink xmlns:r="http://schemas.openxmlformats.org/officeDocument/2006/relationships" ref="AA42" r:id="rId120"/>
    <hyperlink xmlns:r="http://schemas.openxmlformats.org/officeDocument/2006/relationships" ref="AB42" r:id="rId121"/>
    <hyperlink xmlns:r="http://schemas.openxmlformats.org/officeDocument/2006/relationships" ref="O43" r:id="rId122"/>
    <hyperlink xmlns:r="http://schemas.openxmlformats.org/officeDocument/2006/relationships" ref="P43" r:id="rId123"/>
    <hyperlink xmlns:r="http://schemas.openxmlformats.org/officeDocument/2006/relationships" ref="Q43" r:id="rId124"/>
    <hyperlink xmlns:r="http://schemas.openxmlformats.org/officeDocument/2006/relationships" ref="AA43" r:id="rId125"/>
    <hyperlink xmlns:r="http://schemas.openxmlformats.org/officeDocument/2006/relationships" ref="AB43" r:id="rId126"/>
    <hyperlink xmlns:r="http://schemas.openxmlformats.org/officeDocument/2006/relationships" ref="O44" r:id="rId127"/>
    <hyperlink xmlns:r="http://schemas.openxmlformats.org/officeDocument/2006/relationships" ref="P44" r:id="rId128"/>
    <hyperlink xmlns:r="http://schemas.openxmlformats.org/officeDocument/2006/relationships" ref="Q44" r:id="rId129"/>
    <hyperlink xmlns:r="http://schemas.openxmlformats.org/officeDocument/2006/relationships" ref="AA44" r:id="rId130"/>
    <hyperlink xmlns:r="http://schemas.openxmlformats.org/officeDocument/2006/relationships" ref="AB44" r:id="rId131"/>
    <hyperlink xmlns:r="http://schemas.openxmlformats.org/officeDocument/2006/relationships" ref="O45" r:id="rId132"/>
    <hyperlink xmlns:r="http://schemas.openxmlformats.org/officeDocument/2006/relationships" ref="P45" r:id="rId133"/>
    <hyperlink xmlns:r="http://schemas.openxmlformats.org/officeDocument/2006/relationships" ref="Q45" r:id="rId134"/>
    <hyperlink xmlns:r="http://schemas.openxmlformats.org/officeDocument/2006/relationships" ref="AA45" r:id="rId135"/>
    <hyperlink xmlns:r="http://schemas.openxmlformats.org/officeDocument/2006/relationships" ref="AB45" r:id="rId136"/>
    <hyperlink xmlns:r="http://schemas.openxmlformats.org/officeDocument/2006/relationships" ref="O46" r:id="rId137"/>
    <hyperlink xmlns:r="http://schemas.openxmlformats.org/officeDocument/2006/relationships" ref="P46" r:id="rId138"/>
    <hyperlink xmlns:r="http://schemas.openxmlformats.org/officeDocument/2006/relationships" ref="Q46" r:id="rId139"/>
    <hyperlink xmlns:r="http://schemas.openxmlformats.org/officeDocument/2006/relationships" ref="AA46" r:id="rId140"/>
    <hyperlink xmlns:r="http://schemas.openxmlformats.org/officeDocument/2006/relationships" ref="AB46" r:id="rId141"/>
    <hyperlink xmlns:r="http://schemas.openxmlformats.org/officeDocument/2006/relationships" ref="O47" r:id="rId142"/>
    <hyperlink xmlns:r="http://schemas.openxmlformats.org/officeDocument/2006/relationships" ref="P47" r:id="rId143"/>
    <hyperlink xmlns:r="http://schemas.openxmlformats.org/officeDocument/2006/relationships" ref="Q47" r:id="rId144"/>
    <hyperlink xmlns:r="http://schemas.openxmlformats.org/officeDocument/2006/relationships" ref="AA47" r:id="rId145"/>
    <hyperlink xmlns:r="http://schemas.openxmlformats.org/officeDocument/2006/relationships" ref="AB47" r:id="rId146"/>
    <hyperlink xmlns:r="http://schemas.openxmlformats.org/officeDocument/2006/relationships" ref="O48" r:id="rId147"/>
    <hyperlink xmlns:r="http://schemas.openxmlformats.org/officeDocument/2006/relationships" ref="P48" r:id="rId148"/>
    <hyperlink xmlns:r="http://schemas.openxmlformats.org/officeDocument/2006/relationships" ref="Q48" r:id="rId149"/>
    <hyperlink xmlns:r="http://schemas.openxmlformats.org/officeDocument/2006/relationships" ref="AA48" r:id="rId150"/>
    <hyperlink xmlns:r="http://schemas.openxmlformats.org/officeDocument/2006/relationships" ref="AB48" r:id="rId151"/>
    <hyperlink xmlns:r="http://schemas.openxmlformats.org/officeDocument/2006/relationships" ref="O49" r:id="rId152"/>
    <hyperlink xmlns:r="http://schemas.openxmlformats.org/officeDocument/2006/relationships" ref="P49" r:id="rId153"/>
    <hyperlink xmlns:r="http://schemas.openxmlformats.org/officeDocument/2006/relationships" ref="Q49" r:id="rId154"/>
    <hyperlink xmlns:r="http://schemas.openxmlformats.org/officeDocument/2006/relationships" ref="AA49" r:id="rId155"/>
    <hyperlink xmlns:r="http://schemas.openxmlformats.org/officeDocument/2006/relationships" ref="AB49" r:id="rId156"/>
    <hyperlink xmlns:r="http://schemas.openxmlformats.org/officeDocument/2006/relationships" ref="O50" r:id="rId157"/>
    <hyperlink xmlns:r="http://schemas.openxmlformats.org/officeDocument/2006/relationships" ref="P50" r:id="rId158"/>
    <hyperlink xmlns:r="http://schemas.openxmlformats.org/officeDocument/2006/relationships" ref="Q50" r:id="rId159"/>
    <hyperlink xmlns:r="http://schemas.openxmlformats.org/officeDocument/2006/relationships" ref="AA50" r:id="rId160"/>
    <hyperlink xmlns:r="http://schemas.openxmlformats.org/officeDocument/2006/relationships" ref="AB50" r:id="rId161"/>
    <hyperlink xmlns:r="http://schemas.openxmlformats.org/officeDocument/2006/relationships" ref="O51" r:id="rId162"/>
    <hyperlink xmlns:r="http://schemas.openxmlformats.org/officeDocument/2006/relationships" ref="P51" r:id="rId163"/>
    <hyperlink xmlns:r="http://schemas.openxmlformats.org/officeDocument/2006/relationships" ref="Q51" r:id="rId164"/>
    <hyperlink xmlns:r="http://schemas.openxmlformats.org/officeDocument/2006/relationships" ref="AA51" r:id="rId165"/>
    <hyperlink xmlns:r="http://schemas.openxmlformats.org/officeDocument/2006/relationships" ref="AB51" r:id="rId166"/>
    <hyperlink xmlns:r="http://schemas.openxmlformats.org/officeDocument/2006/relationships" ref="O52" r:id="rId167"/>
    <hyperlink xmlns:r="http://schemas.openxmlformats.org/officeDocument/2006/relationships" ref="P52" r:id="rId168"/>
    <hyperlink xmlns:r="http://schemas.openxmlformats.org/officeDocument/2006/relationships" ref="Q52" r:id="rId169"/>
    <hyperlink xmlns:r="http://schemas.openxmlformats.org/officeDocument/2006/relationships" ref="AA52" r:id="rId170"/>
    <hyperlink xmlns:r="http://schemas.openxmlformats.org/officeDocument/2006/relationships" ref="AB52" r:id="rId171"/>
    <hyperlink xmlns:r="http://schemas.openxmlformats.org/officeDocument/2006/relationships" ref="O53" r:id="rId172"/>
    <hyperlink xmlns:r="http://schemas.openxmlformats.org/officeDocument/2006/relationships" ref="P53" r:id="rId173"/>
    <hyperlink xmlns:r="http://schemas.openxmlformats.org/officeDocument/2006/relationships" ref="Q53" r:id="rId174"/>
    <hyperlink xmlns:r="http://schemas.openxmlformats.org/officeDocument/2006/relationships" ref="AA53" r:id="rId175"/>
    <hyperlink xmlns:r="http://schemas.openxmlformats.org/officeDocument/2006/relationships" ref="AB53" r:id="rId176"/>
    <hyperlink xmlns:r="http://schemas.openxmlformats.org/officeDocument/2006/relationships" ref="O54" r:id="rId177"/>
    <hyperlink xmlns:r="http://schemas.openxmlformats.org/officeDocument/2006/relationships" ref="P54" r:id="rId178"/>
    <hyperlink xmlns:r="http://schemas.openxmlformats.org/officeDocument/2006/relationships" ref="Q54" r:id="rId179"/>
    <hyperlink xmlns:r="http://schemas.openxmlformats.org/officeDocument/2006/relationships" ref="AA54" r:id="rId180"/>
    <hyperlink xmlns:r="http://schemas.openxmlformats.org/officeDocument/2006/relationships" ref="AB54" r:id="rId181"/>
    <hyperlink xmlns:r="http://schemas.openxmlformats.org/officeDocument/2006/relationships" ref="O55" r:id="rId182"/>
    <hyperlink xmlns:r="http://schemas.openxmlformats.org/officeDocument/2006/relationships" ref="P55" r:id="rId183"/>
    <hyperlink xmlns:r="http://schemas.openxmlformats.org/officeDocument/2006/relationships" ref="Q55" r:id="rId184"/>
    <hyperlink xmlns:r="http://schemas.openxmlformats.org/officeDocument/2006/relationships" ref="AA55" r:id="rId185"/>
    <hyperlink xmlns:r="http://schemas.openxmlformats.org/officeDocument/2006/relationships" ref="AB55" r:id="rId186"/>
    <hyperlink xmlns:r="http://schemas.openxmlformats.org/officeDocument/2006/relationships" ref="O56" r:id="rId187"/>
    <hyperlink xmlns:r="http://schemas.openxmlformats.org/officeDocument/2006/relationships" ref="P56" r:id="rId188"/>
    <hyperlink xmlns:r="http://schemas.openxmlformats.org/officeDocument/2006/relationships" ref="Q56" r:id="rId189"/>
    <hyperlink xmlns:r="http://schemas.openxmlformats.org/officeDocument/2006/relationships" ref="AA56" r:id="rId190"/>
    <hyperlink xmlns:r="http://schemas.openxmlformats.org/officeDocument/2006/relationships" ref="AB56" r:id="rId191"/>
    <hyperlink xmlns:r="http://schemas.openxmlformats.org/officeDocument/2006/relationships" ref="O57" r:id="rId192"/>
    <hyperlink xmlns:r="http://schemas.openxmlformats.org/officeDocument/2006/relationships" ref="P57" r:id="rId193"/>
    <hyperlink xmlns:r="http://schemas.openxmlformats.org/officeDocument/2006/relationships" ref="Q57" r:id="rId194"/>
    <hyperlink xmlns:r="http://schemas.openxmlformats.org/officeDocument/2006/relationships" ref="AA57" r:id="rId195"/>
    <hyperlink xmlns:r="http://schemas.openxmlformats.org/officeDocument/2006/relationships" ref="AB57" r:id="rId196"/>
    <hyperlink xmlns:r="http://schemas.openxmlformats.org/officeDocument/2006/relationships" ref="O58" r:id="rId197"/>
    <hyperlink xmlns:r="http://schemas.openxmlformats.org/officeDocument/2006/relationships" ref="P58" r:id="rId198"/>
    <hyperlink xmlns:r="http://schemas.openxmlformats.org/officeDocument/2006/relationships" ref="Q58" r:id="rId199"/>
    <hyperlink xmlns:r="http://schemas.openxmlformats.org/officeDocument/2006/relationships" ref="AA58" r:id="rId200"/>
    <hyperlink xmlns:r="http://schemas.openxmlformats.org/officeDocument/2006/relationships" ref="AB58" r:id="rId201"/>
    <hyperlink xmlns:r="http://schemas.openxmlformats.org/officeDocument/2006/relationships" ref="O59" r:id="rId202"/>
    <hyperlink xmlns:r="http://schemas.openxmlformats.org/officeDocument/2006/relationships" ref="P59" r:id="rId203"/>
    <hyperlink xmlns:r="http://schemas.openxmlformats.org/officeDocument/2006/relationships" ref="Q59" r:id="rId204"/>
    <hyperlink xmlns:r="http://schemas.openxmlformats.org/officeDocument/2006/relationships" ref="AA59" r:id="rId205"/>
    <hyperlink xmlns:r="http://schemas.openxmlformats.org/officeDocument/2006/relationships" ref="AB59" r:id="rId206"/>
    <hyperlink xmlns:r="http://schemas.openxmlformats.org/officeDocument/2006/relationships" ref="O60" r:id="rId207"/>
    <hyperlink xmlns:r="http://schemas.openxmlformats.org/officeDocument/2006/relationships" ref="P60" r:id="rId208"/>
    <hyperlink xmlns:r="http://schemas.openxmlformats.org/officeDocument/2006/relationships" ref="Q60" r:id="rId209"/>
    <hyperlink xmlns:r="http://schemas.openxmlformats.org/officeDocument/2006/relationships" ref="AA60" r:id="rId210"/>
    <hyperlink xmlns:r="http://schemas.openxmlformats.org/officeDocument/2006/relationships" ref="AB60" r:id="rId211"/>
    <hyperlink xmlns:r="http://schemas.openxmlformats.org/officeDocument/2006/relationships" ref="O61" r:id="rId212"/>
    <hyperlink xmlns:r="http://schemas.openxmlformats.org/officeDocument/2006/relationships" ref="P61" r:id="rId213"/>
    <hyperlink xmlns:r="http://schemas.openxmlformats.org/officeDocument/2006/relationships" ref="Q61" r:id="rId214"/>
    <hyperlink xmlns:r="http://schemas.openxmlformats.org/officeDocument/2006/relationships" ref="AA61" r:id="rId215"/>
    <hyperlink xmlns:r="http://schemas.openxmlformats.org/officeDocument/2006/relationships" ref="AB61" r:id="rId216"/>
    <hyperlink xmlns:r="http://schemas.openxmlformats.org/officeDocument/2006/relationships" ref="O62" r:id="rId217"/>
    <hyperlink xmlns:r="http://schemas.openxmlformats.org/officeDocument/2006/relationships" ref="P62" r:id="rId218"/>
    <hyperlink xmlns:r="http://schemas.openxmlformats.org/officeDocument/2006/relationships" ref="Q62" r:id="rId219"/>
    <hyperlink xmlns:r="http://schemas.openxmlformats.org/officeDocument/2006/relationships" ref="AA62" r:id="rId220"/>
    <hyperlink xmlns:r="http://schemas.openxmlformats.org/officeDocument/2006/relationships" ref="AB62" r:id="rId221"/>
    <hyperlink xmlns:r="http://schemas.openxmlformats.org/officeDocument/2006/relationships" ref="O63" r:id="rId222"/>
    <hyperlink xmlns:r="http://schemas.openxmlformats.org/officeDocument/2006/relationships" ref="P63" r:id="rId223"/>
    <hyperlink xmlns:r="http://schemas.openxmlformats.org/officeDocument/2006/relationships" ref="Q63" r:id="rId224"/>
    <hyperlink xmlns:r="http://schemas.openxmlformats.org/officeDocument/2006/relationships" ref="AA63" r:id="rId225"/>
    <hyperlink xmlns:r="http://schemas.openxmlformats.org/officeDocument/2006/relationships" ref="AB63" r:id="rId226"/>
    <hyperlink xmlns:r="http://schemas.openxmlformats.org/officeDocument/2006/relationships" ref="O64" r:id="rId227"/>
    <hyperlink xmlns:r="http://schemas.openxmlformats.org/officeDocument/2006/relationships" ref="P64" r:id="rId228"/>
    <hyperlink xmlns:r="http://schemas.openxmlformats.org/officeDocument/2006/relationships" ref="Q64" r:id="rId229"/>
    <hyperlink xmlns:r="http://schemas.openxmlformats.org/officeDocument/2006/relationships" ref="AA64" r:id="rId230"/>
    <hyperlink xmlns:r="http://schemas.openxmlformats.org/officeDocument/2006/relationships" ref="AB64" r:id="rId231"/>
    <hyperlink xmlns:r="http://schemas.openxmlformats.org/officeDocument/2006/relationships" ref="O65" r:id="rId232"/>
    <hyperlink xmlns:r="http://schemas.openxmlformats.org/officeDocument/2006/relationships" ref="P65" r:id="rId233"/>
    <hyperlink xmlns:r="http://schemas.openxmlformats.org/officeDocument/2006/relationships" ref="Q65" r:id="rId234"/>
    <hyperlink xmlns:r="http://schemas.openxmlformats.org/officeDocument/2006/relationships" ref="AA65" r:id="rId235"/>
    <hyperlink xmlns:r="http://schemas.openxmlformats.org/officeDocument/2006/relationships" ref="AB65" r:id="rId236"/>
    <hyperlink xmlns:r="http://schemas.openxmlformats.org/officeDocument/2006/relationships" ref="O66" r:id="rId237"/>
    <hyperlink xmlns:r="http://schemas.openxmlformats.org/officeDocument/2006/relationships" ref="P66" r:id="rId238"/>
    <hyperlink xmlns:r="http://schemas.openxmlformats.org/officeDocument/2006/relationships" ref="Q66" r:id="rId239"/>
    <hyperlink xmlns:r="http://schemas.openxmlformats.org/officeDocument/2006/relationships" ref="AA66" r:id="rId240"/>
    <hyperlink xmlns:r="http://schemas.openxmlformats.org/officeDocument/2006/relationships" ref="AB66" r:id="rId241"/>
    <hyperlink xmlns:r="http://schemas.openxmlformats.org/officeDocument/2006/relationships" ref="O67" r:id="rId242"/>
    <hyperlink xmlns:r="http://schemas.openxmlformats.org/officeDocument/2006/relationships" ref="P67" r:id="rId243"/>
    <hyperlink xmlns:r="http://schemas.openxmlformats.org/officeDocument/2006/relationships" ref="Q67" r:id="rId244"/>
    <hyperlink xmlns:r="http://schemas.openxmlformats.org/officeDocument/2006/relationships" ref="AA67" r:id="rId245"/>
    <hyperlink xmlns:r="http://schemas.openxmlformats.org/officeDocument/2006/relationships" ref="AB67" r:id="rId246"/>
  </hyperlinks>
  <pageMargins left="0.75" right="0.75" top="1" bottom="1" header="0" footer="0"/>
  <pageSetup orientation="portrait" paperSize="9"/>
</worksheet>
</file>

<file path=xl/worksheets/sheet3.xml><?xml version="1.0" encoding="utf-8"?>
<worksheet xmlns="http://schemas.openxmlformats.org/spreadsheetml/2006/main">
  <sheetPr>
    <tabColor rgb="00C9A85C"/>
    <outlinePr summaryBelow="1" summaryRight="1"/>
    <pageSetUpPr/>
  </sheetPr>
  <dimension ref="A1:AA1000"/>
  <sheetViews>
    <sheetView showGridLines="0" workbookViewId="0">
      <pane xSplit="3" ySplit="1" topLeftCell="D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C1" sqref="C1"/>
      <selection pane="bottomLeft" activeCell="A2" sqref="A2"/>
      <selection pane="bottomRight" activeCell="C2" sqref="C2"/>
    </sheetView>
  </sheetViews>
  <sheetFormatPr baseColWidth="8" defaultColWidth="14.43" defaultRowHeight="15" customHeight="1"/>
  <cols>
    <col width="7" customWidth="1" style="42" min="1" max="1"/>
    <col width="12" customWidth="1" style="42" min="2" max="2"/>
    <col width="6" customWidth="1" style="42" min="3" max="3"/>
    <col width="18" customWidth="1" style="42" min="4" max="4"/>
    <col width="20" customWidth="1" style="42" min="5" max="5"/>
    <col width="16" customWidth="1" style="42" min="6" max="6"/>
    <col width="22" customWidth="1" style="42" min="7" max="7"/>
    <col width="16" customWidth="1" style="42" min="8" max="8"/>
    <col width="40" customWidth="1" style="42" min="9" max="9"/>
    <col width="34" customWidth="1" style="42" min="10" max="10"/>
    <col width="60" customWidth="1" style="42" min="11" max="11"/>
    <col width="34" customWidth="1" style="42" min="12" max="12"/>
    <col width="55" customWidth="1" style="42" min="13" max="13"/>
    <col width="24" customWidth="1" style="42" min="14" max="14"/>
    <col width="10" customWidth="1" style="42" min="15" max="15"/>
    <col width="40" customWidth="1" style="42" min="16" max="16"/>
    <col width="32" customWidth="1" style="42" min="17" max="17"/>
    <col width="38" customWidth="1" style="42" min="18" max="18"/>
    <col width="9" customWidth="1" style="42" min="19" max="20"/>
    <col width="12" customWidth="1" style="42" min="21" max="21"/>
    <col width="18" customWidth="1" style="42" min="22" max="22"/>
    <col width="8" customWidth="1" style="42" min="23" max="26"/>
    <col width="9" customWidth="1" style="42" min="27" max="27"/>
  </cols>
  <sheetData>
    <row r="1" ht="30" customHeight="1" s="42">
      <c r="A1" s="52" t="inlineStr">
        <is>
          <t>Week</t>
        </is>
      </c>
      <c r="B1" s="52" t="inlineStr">
        <is>
          <t>Date</t>
        </is>
      </c>
      <c r="C1" s="52" t="inlineStr">
        <is>
          <t>Day</t>
        </is>
      </c>
      <c r="D1" s="52" t="inlineStr">
        <is>
          <t>Slot</t>
        </is>
      </c>
      <c r="E1" s="52" t="inlineStr">
        <is>
          <t>Month Theme</t>
        </is>
      </c>
      <c r="F1" s="52" t="inlineStr">
        <is>
          <t>Format</t>
        </is>
      </c>
      <c r="G1" s="52" t="inlineStr">
        <is>
          <t>Platforms</t>
        </is>
      </c>
      <c r="H1" s="52" t="inlineStr">
        <is>
          <t>Pillar</t>
        </is>
      </c>
      <c r="I1" s="52" t="inlineStr">
        <is>
          <t>Topic &amp; Hook</t>
        </is>
      </c>
      <c r="J1" s="52" t="inlineStr">
        <is>
          <t>Hook (first 3 sec)</t>
        </is>
      </c>
      <c r="K1" s="52" t="inlineStr">
        <is>
          <t>Script / Shot List</t>
        </is>
      </c>
      <c r="L1" s="52" t="inlineStr">
        <is>
          <t>On-screen Text</t>
        </is>
      </c>
      <c r="M1" s="52" t="inlineStr">
        <is>
          <t>Caption Draft</t>
        </is>
      </c>
      <c r="N1" s="52" t="inlineStr">
        <is>
          <t>CTA</t>
        </is>
      </c>
      <c r="O1" s="52" t="inlineStr">
        <is>
          <t>Hashtag Set</t>
        </is>
      </c>
      <c r="P1" s="52" t="inlineStr">
        <is>
          <t>Audio / Style / Ad Spend</t>
        </is>
      </c>
      <c r="Q1" s="52" t="inlineStr">
        <is>
          <t>Asset to Create</t>
        </is>
      </c>
      <c r="R1" s="52" t="inlineStr">
        <is>
          <t>Source Assets &amp; Notes</t>
        </is>
      </c>
      <c r="S1" s="52" t="inlineStr">
        <is>
          <t>Filmed</t>
        </is>
      </c>
      <c r="T1" s="52" t="inlineStr">
        <is>
          <t>Edited</t>
        </is>
      </c>
      <c r="U1" s="52" t="inlineStr">
        <is>
          <t>Status</t>
        </is>
      </c>
      <c r="V1" s="52" t="inlineStr">
        <is>
          <t>Posted Link</t>
        </is>
      </c>
      <c r="W1" s="52" t="inlineStr">
        <is>
          <t>Views</t>
        </is>
      </c>
      <c r="X1" s="52" t="inlineStr">
        <is>
          <t>Saves</t>
        </is>
      </c>
      <c r="Y1" s="52" t="inlineStr">
        <is>
          <t>Shares</t>
        </is>
      </c>
      <c r="Z1" s="52" t="inlineStr">
        <is>
          <t>DMs</t>
        </is>
      </c>
      <c r="AA1" s="52" t="inlineStr">
        <is>
          <t>Bookings</t>
        </is>
      </c>
    </row>
    <row r="2" ht="75" customHeight="1" s="42">
      <c r="A2" s="16" t="n">
        <v>2</v>
      </c>
      <c r="B2" s="9" t="n">
        <v>46260</v>
      </c>
      <c r="C2" s="16" t="inlineStr">
        <is>
          <t>Wed</t>
        </is>
      </c>
      <c r="D2" s="10" t="inlineStr">
        <is>
          <t>Slot 1 - Reel</t>
        </is>
      </c>
      <c r="E2" s="10" t="inlineStr">
        <is>
          <t>Botox, Honestly (Launch)</t>
        </is>
      </c>
      <c r="F2" s="10" t="inlineStr">
        <is>
          <t>Reel (video)</t>
        </is>
      </c>
      <c r="G2" s="10" t="inlineStr">
        <is>
          <t>IG Reels + Facebook Reels + TikTok</t>
        </is>
      </c>
      <c r="H2" s="10" t="inlineStr">
        <is>
          <t>Education</t>
        </is>
      </c>
      <c r="I2" s="10" t="inlineStr">
        <is>
          <t>3 Botox Myths in 30 Seconds</t>
        </is>
      </c>
      <c r="J2" s="10" t="inlineStr">
        <is>
          <t>Three things about Botox that are just not true.</t>
        </is>
      </c>
      <c r="K2" s="10" t="inlineStr">
        <is>
          <t>Talking head, three fast cuts. Cut 1: 'It freezes your face' - no, dosing does. Cut 2: 'You get addicted' - no, you get used to looking rested. Cut 3: 'Wait until you have wrinkles' - the earlier conversation is cheaper. End on camera, no music.</t>
        </is>
      </c>
      <c r="L2" s="10" t="inlineStr">
        <is>
          <t>MYTH 1 / MYTH 2 / MYTH 3 + final card: Ask before you book</t>
        </is>
      </c>
      <c r="M2" s="10" t="inlineStr">
        <is>
          <t>The Monday carousel in 30 seconds, because not everyone swipes. Which of the three did you believe? Tell me below.</t>
        </is>
      </c>
      <c r="N2" s="10" t="inlineStr">
        <is>
          <t>DM BOTOX or link in bio</t>
        </is>
      </c>
      <c r="O2" s="16" t="inlineStr">
        <is>
          <t>Set A</t>
        </is>
      </c>
      <c r="P2" s="10" t="inlineStr">
        <is>
          <t>Trending audio, low volume under voice. Vertical 9:16, natural window light.</t>
        </is>
      </c>
      <c r="Q2" s="10" t="inlineStr">
        <is>
          <t>Film 3 takes at the window seat. Captions burned in.</t>
        </is>
      </c>
      <c r="R2" s="10" t="inlineStr">
        <is>
          <t>Repurpose: Aug 17 carousel '5 Botox Lies You Still Believe'</t>
        </is>
      </c>
      <c r="S2" s="57" t="n"/>
      <c r="T2" s="57" t="n"/>
      <c r="U2" s="16" t="inlineStr">
        <is>
          <t>Idea</t>
        </is>
      </c>
      <c r="V2" s="54" t="n"/>
      <c r="W2" s="54" t="n"/>
      <c r="X2" s="54" t="n"/>
      <c r="Y2" s="54" t="n"/>
      <c r="Z2" s="54" t="n"/>
      <c r="AA2" s="54" t="n"/>
    </row>
    <row r="3" ht="75" customHeight="1" s="42">
      <c r="A3" s="16" t="n">
        <v>2</v>
      </c>
      <c r="B3" s="9" t="n">
        <v>46262</v>
      </c>
      <c r="C3" s="16" t="inlineStr">
        <is>
          <t>Fri</t>
        </is>
      </c>
      <c r="D3" s="10" t="inlineStr">
        <is>
          <t>Slot 2 - Image / Ad</t>
        </is>
      </c>
      <c r="E3" s="10" t="inlineStr">
        <is>
          <t>Botox, Honestly (Launch)</t>
        </is>
      </c>
      <c r="F3" s="10" t="inlineStr">
        <is>
          <t>Paid ad (static)</t>
        </is>
      </c>
      <c r="G3" s="10" t="inlineStr">
        <is>
          <t>Meta Ads (IG + FB) + GBP</t>
        </is>
      </c>
      <c r="H3" s="10" t="inlineStr">
        <is>
          <t>Promo &amp; CTA</t>
        </is>
      </c>
      <c r="I3" s="10" t="inlineStr">
        <is>
          <t>Boost: 5 Red Flags at a Med Spa</t>
        </is>
      </c>
      <c r="J3" s="10" t="inlineStr">
        <is>
          <t>Your face deserves better than a bargain.</t>
        </is>
      </c>
      <c r="K3" s="10" t="inlineStr">
        <is>
          <t>No filming. Take slide 1 of the Aug 20 carousel, resize to 1:1 and 4:5, add a Learn More button frame.</t>
        </is>
      </c>
      <c r="L3" s="10" t="inlineStr">
        <is>
          <t>5 RED FLAGS AT A MED SPA</t>
        </is>
      </c>
      <c r="M3" s="10" t="inlineStr">
        <is>
          <t>Five things worth walking away from. Save this before you book anywhere, not just here.</t>
        </is>
      </c>
      <c r="N3" s="10" t="inlineStr">
        <is>
          <t>Save this before you book</t>
        </is>
      </c>
      <c r="O3" s="16" t="inlineStr">
        <is>
          <t>Set E</t>
        </is>
      </c>
      <c r="P3" s="10" t="inlineStr">
        <is>
          <t>Meta Ads Manager. Audience: women 28-55, Oakville / Burlington / Milton / Mississauga, 15km radius. Budget: start at $10/day, 5 days.</t>
        </is>
      </c>
      <c r="Q3" s="10" t="inlineStr">
        <is>
          <t>1:1 + 4:5 ad crops from the existing carousel cover</t>
        </is>
      </c>
      <c r="R3" s="10" t="inlineStr">
        <is>
          <t>Reuse: Aug 20 carousel folder</t>
        </is>
      </c>
      <c r="S3" s="57" t="n"/>
      <c r="T3" s="57" t="n"/>
      <c r="U3" s="16" t="inlineStr">
        <is>
          <t>Idea</t>
        </is>
      </c>
      <c r="V3" s="54" t="n"/>
      <c r="W3" s="54" t="n"/>
      <c r="X3" s="54" t="n"/>
      <c r="Y3" s="54" t="n"/>
      <c r="Z3" s="54" t="n"/>
      <c r="AA3" s="54" t="n"/>
    </row>
    <row r="4" ht="75" customHeight="1" s="42">
      <c r="A4" s="16" t="n">
        <v>2</v>
      </c>
      <c r="B4" s="9" t="n">
        <v>46264</v>
      </c>
      <c r="C4" s="16" t="inlineStr">
        <is>
          <t>Sun</t>
        </is>
      </c>
      <c r="D4" s="10" t="inlineStr">
        <is>
          <t>Slot 3 - Reel</t>
        </is>
      </c>
      <c r="E4" s="10" t="inlineStr">
        <is>
          <t>Botox, Honestly (Launch)</t>
        </is>
      </c>
      <c r="F4" s="10" t="inlineStr">
        <is>
          <t>Reel (video)</t>
        </is>
      </c>
      <c r="G4" s="10" t="inlineStr">
        <is>
          <t>IG Reels + Facebook Reels + TikTok</t>
        </is>
      </c>
      <c r="H4" s="10" t="inlineStr">
        <is>
          <t>Personality &amp; BTS</t>
        </is>
      </c>
      <c r="I4" s="10" t="inlineStr">
        <is>
          <t>The Prep Tray, Start to Finish</t>
        </is>
      </c>
      <c r="J4" s="10" t="inlineStr">
        <is>
          <t>The part nobody films.</t>
        </is>
      </c>
      <c r="K4" s="10" t="inlineStr">
        <is>
          <t>Silent, ASMR style. Top-down on the tray. New gloves, sealed vial turned to camera so the lot number reads, alcohol swab, face marked while she moves. No talking, text only.</t>
        </is>
      </c>
      <c r="L4" s="10" t="inlineStr">
        <is>
          <t>New tray. Sealed product. Marked while you move. / Ask to watch. Anyone doing it properly will say yes.</t>
        </is>
      </c>
      <c r="M4" s="10" t="inlineStr">
        <is>
          <t>No music, no voiceover. This is just what every appointment looks like before anyone touches your face. Ask to watch next time.</t>
        </is>
      </c>
      <c r="N4" s="10" t="inlineStr">
        <is>
          <t>Zero shortcuts. Ever.</t>
        </is>
      </c>
      <c r="O4" s="16" t="inlineStr">
        <is>
          <t>Set D</t>
        </is>
      </c>
      <c r="P4" s="10" t="inlineStr">
        <is>
          <t>Silent with soft room tone or a quiet ambient track. Top-down tripod.</t>
        </is>
      </c>
      <c r="Q4" s="10" t="inlineStr">
        <is>
          <t>Film one continuous top-down take, 25-40 sec</t>
        </is>
      </c>
      <c r="R4" s="10" t="inlineStr">
        <is>
          <t>Reuse: Aug 21 prep tray photo set</t>
        </is>
      </c>
      <c r="S4" s="57" t="n"/>
      <c r="T4" s="57" t="n"/>
      <c r="U4" s="16" t="inlineStr">
        <is>
          <t>Idea</t>
        </is>
      </c>
      <c r="V4" s="54" t="n"/>
      <c r="W4" s="54" t="n"/>
      <c r="X4" s="54" t="n"/>
      <c r="Y4" s="54" t="n"/>
      <c r="Z4" s="54" t="n"/>
      <c r="AA4" s="54" t="n"/>
    </row>
    <row r="5" ht="75" customHeight="1" s="42">
      <c r="A5" s="26" t="n">
        <v>3</v>
      </c>
      <c r="B5" s="27" t="n">
        <v>46267</v>
      </c>
      <c r="C5" s="26" t="inlineStr">
        <is>
          <t>Wed</t>
        </is>
      </c>
      <c r="D5" s="29" t="inlineStr">
        <is>
          <t>Slot 1 - Reel</t>
        </is>
      </c>
      <c r="E5" s="29" t="inlineStr">
        <is>
          <t>Botox Education Month</t>
        </is>
      </c>
      <c r="F5" s="29" t="inlineStr">
        <is>
          <t>Reel (video)</t>
        </is>
      </c>
      <c r="G5" s="29" t="inlineStr">
        <is>
          <t>IG Reels + Facebook Reels + TikTok</t>
        </is>
      </c>
      <c r="H5" s="29" t="inlineStr">
        <is>
          <t>Education</t>
        </is>
      </c>
      <c r="I5" s="29" t="inlineStr">
        <is>
          <t>What 20 Units Actually Looks Like</t>
        </is>
      </c>
      <c r="J5" s="29" t="inlineStr">
        <is>
          <t>Twenty units. That is all it is.</t>
        </is>
      </c>
      <c r="K5" s="29" t="inlineStr">
        <is>
          <t>Hold the syringe to camera, show the volume against a fingertip. Explain forehead vs elevens vs crow's feet unit ranges. End: 'Anyone quoting you a flat price without seeing your face is guessing.'</t>
        </is>
      </c>
      <c r="L5" s="29" t="inlineStr">
        <is>
          <t>20 UNITS = about this much / Dose follows your muscle, not a price list</t>
        </is>
      </c>
      <c r="M5" s="29" t="inlineStr">
        <is>
          <t>People hear units and picture something enormous. Here is the actual amount. Your number depends on your muscle strength, not on what your friend had.</t>
        </is>
      </c>
      <c r="N5" s="29" t="inlineStr">
        <is>
          <t>DM UNITS to ask about yours</t>
        </is>
      </c>
      <c r="O5" s="26" t="inlineStr">
        <is>
          <t>Set A</t>
        </is>
      </c>
      <c r="P5" s="29" t="inlineStr">
        <is>
          <t>Voiceover, no trending audio. Macro close-up on the syringe.</t>
        </is>
      </c>
      <c r="Q5" s="29" t="inlineStr">
        <is>
          <t>Film macro syringe shot + talking head</t>
        </is>
      </c>
      <c r="R5" s="29" t="n"/>
      <c r="S5" s="57" t="n"/>
      <c r="T5" s="57" t="n"/>
      <c r="U5" s="26" t="inlineStr">
        <is>
          <t>Idea</t>
        </is>
      </c>
      <c r="V5" s="54" t="n"/>
      <c r="W5" s="54" t="n"/>
      <c r="X5" s="54" t="n"/>
      <c r="Y5" s="54" t="n"/>
      <c r="Z5" s="54" t="n"/>
      <c r="AA5" s="54" t="n"/>
    </row>
    <row r="6" ht="75" customHeight="1" s="42">
      <c r="A6" s="26" t="n">
        <v>3</v>
      </c>
      <c r="B6" s="27" t="n">
        <v>46269</v>
      </c>
      <c r="C6" s="26" t="inlineStr">
        <is>
          <t>Fri</t>
        </is>
      </c>
      <c r="D6" s="29" t="inlineStr">
        <is>
          <t>Slot 2 - Image / Ad</t>
        </is>
      </c>
      <c r="E6" s="29" t="inlineStr">
        <is>
          <t>Botox Education Month</t>
        </is>
      </c>
      <c r="F6" s="29" t="inlineStr">
        <is>
          <t>Image post + boost</t>
        </is>
      </c>
      <c r="G6" s="29" t="inlineStr">
        <is>
          <t>IG feed + Facebook + GBP</t>
        </is>
      </c>
      <c r="H6" s="29" t="inlineStr">
        <is>
          <t>Trust &amp; Proof</t>
        </is>
      </c>
      <c r="I6" s="29" t="inlineStr">
        <is>
          <t>Quote card: Rested, Not Frozen</t>
        </is>
      </c>
      <c r="J6" s="29" t="inlineStr">
        <is>
          <t>You should still be able to frown.</t>
        </is>
      </c>
      <c r="K6" s="29" t="inlineStr">
        <is>
          <t>Static quote card in the editorial template. Dark tone.</t>
        </is>
      </c>
      <c r="L6" s="29" t="inlineStr">
        <is>
          <t>Rested, not frozen.</t>
        </is>
      </c>
      <c r="M6" s="29" t="inlineStr">
        <is>
          <t>If you cannot frown, squint or smile afterwards, that was too much. Movement is not a failure of the treatment. It is the point.</t>
        </is>
      </c>
      <c r="N6" s="29" t="inlineStr">
        <is>
          <t>Save this</t>
        </is>
      </c>
      <c r="O6" s="26" t="inlineStr">
        <is>
          <t>Set C</t>
        </is>
      </c>
      <c r="P6" s="29" t="inlineStr">
        <is>
          <t>Boost $8/day for 4 days to the local radius.</t>
        </is>
      </c>
      <c r="Q6" s="29" t="inlineStr">
        <is>
          <t>Design quote card, 4:5</t>
        </is>
      </c>
      <c r="R6" s="29" t="n"/>
      <c r="S6" s="57" t="n"/>
      <c r="T6" s="57" t="n"/>
      <c r="U6" s="26" t="inlineStr">
        <is>
          <t>Idea</t>
        </is>
      </c>
      <c r="V6" s="54" t="n"/>
      <c r="W6" s="54" t="n"/>
      <c r="X6" s="54" t="n"/>
      <c r="Y6" s="54" t="n"/>
      <c r="Z6" s="54" t="n"/>
      <c r="AA6" s="54" t="n"/>
    </row>
    <row r="7" ht="75" customHeight="1" s="42">
      <c r="A7" s="26" t="n">
        <v>3</v>
      </c>
      <c r="B7" s="27" t="n">
        <v>46271</v>
      </c>
      <c r="C7" s="26" t="inlineStr">
        <is>
          <t>Sun</t>
        </is>
      </c>
      <c r="D7" s="29" t="inlineStr">
        <is>
          <t>Slot 3 - Reel</t>
        </is>
      </c>
      <c r="E7" s="29" t="inlineStr">
        <is>
          <t>Botox Education Month</t>
        </is>
      </c>
      <c r="F7" s="29" t="inlineStr">
        <is>
          <t>Reel (video)</t>
        </is>
      </c>
      <c r="G7" s="29" t="inlineStr">
        <is>
          <t>IG Reels + Facebook Reels + TikTok</t>
        </is>
      </c>
      <c r="H7" s="29" t="inlineStr">
        <is>
          <t>Personality &amp; BTS</t>
        </is>
      </c>
      <c r="I7" s="29" t="inlineStr">
        <is>
          <t>Meet NP Cleo in 20 Seconds</t>
        </is>
      </c>
      <c r="J7" s="29" t="inlineStr">
        <is>
          <t>Hi, I am the person actually holding the needle.</t>
        </is>
      </c>
      <c r="K7" s="29" t="inlineStr">
        <is>
          <t>Straight to camera, one take. Name, credential (NP, RN(EC)), why she opened a one-client-at-a-time studio, what she will tell you no about. Warm, unscripted.</t>
        </is>
      </c>
      <c r="L7" s="29" t="inlineStr">
        <is>
          <t>NP Cleo / Nurse Practitioner + Injector / Oakville</t>
        </is>
      </c>
      <c r="M7" s="29" t="inlineStr">
        <is>
          <t>Ask any clinic who is actually holding the needle. Here it is me, every time. Nurse practitioner, registered and insured, one client in the room at a time.</t>
        </is>
      </c>
      <c r="N7" s="29" t="inlineStr">
        <is>
          <t>DM to book a consult</t>
        </is>
      </c>
      <c r="O7" s="26" t="inlineStr">
        <is>
          <t>Set D</t>
        </is>
      </c>
      <c r="P7" s="29" t="inlineStr">
        <is>
          <t>No music or very soft. Seated in the treatment room.</t>
        </is>
      </c>
      <c r="Q7" s="29" t="inlineStr">
        <is>
          <t>Film 20-30 sec intro, 3 takes</t>
        </is>
      </c>
      <c r="R7" s="29" t="inlineStr">
        <is>
          <t>Repurpose: Aug 27 Meet NP Cleo carousel</t>
        </is>
      </c>
      <c r="S7" s="57" t="n"/>
      <c r="T7" s="57" t="n"/>
      <c r="U7" s="26" t="inlineStr">
        <is>
          <t>Idea</t>
        </is>
      </c>
      <c r="V7" s="54" t="n"/>
      <c r="W7" s="54" t="n"/>
      <c r="X7" s="54" t="n"/>
      <c r="Y7" s="54" t="n"/>
      <c r="Z7" s="54" t="n"/>
      <c r="AA7" s="54" t="n"/>
    </row>
    <row r="8" ht="75" customHeight="1" s="42">
      <c r="A8" s="16" t="n">
        <v>4</v>
      </c>
      <c r="B8" s="9" t="n">
        <v>46274</v>
      </c>
      <c r="C8" s="16" t="inlineStr">
        <is>
          <t>Wed</t>
        </is>
      </c>
      <c r="D8" s="10" t="inlineStr">
        <is>
          <t>Slot 1 - Reel</t>
        </is>
      </c>
      <c r="E8" s="10" t="inlineStr">
        <is>
          <t>Botox Education Month</t>
        </is>
      </c>
      <c r="F8" s="10" t="inlineStr">
        <is>
          <t>Reel (video)</t>
        </is>
      </c>
      <c r="G8" s="10" t="inlineStr">
        <is>
          <t>IG Reels + Facebook Reels + TikTok</t>
        </is>
      </c>
      <c r="H8" s="10" t="inlineStr">
        <is>
          <t>Education</t>
        </is>
      </c>
      <c r="I8" s="10" t="inlineStr">
        <is>
          <t>Botox vs Dysport, Plainly</t>
        </is>
      </c>
      <c r="J8" s="10" t="inlineStr">
        <is>
          <t>Same job. Different personality.</t>
        </is>
      </c>
      <c r="K8" s="10" t="inlineStr">
        <is>
          <t>Split screen or two-card cutaway. Onset speed, spread, how long each lasts, who each suits. End: 'Neither is better. One is better for you.'</t>
        </is>
      </c>
      <c r="L8" s="10" t="inlineStr">
        <is>
          <t>BOTOX vs DYSPORT / onset / spread / longevity</t>
        </is>
      </c>
      <c r="M8" s="10" t="inlineStr">
        <is>
          <t>Two products, one job. The difference is how fast they start and how far they spread. That is genuinely it.</t>
        </is>
      </c>
      <c r="N8" s="10" t="inlineStr">
        <is>
          <t>DM which one you are curious about</t>
        </is>
      </c>
      <c r="O8" s="16" t="inlineStr">
        <is>
          <t>Set A</t>
        </is>
      </c>
      <c r="P8" s="10" t="inlineStr">
        <is>
          <t>Voiceover with clean cuts. No trending audio.</t>
        </is>
      </c>
      <c r="Q8" s="10" t="inlineStr">
        <is>
          <t>Film talking head + two title cards</t>
        </is>
      </c>
      <c r="R8" s="10" t="inlineStr">
        <is>
          <t>Repurpose: Sep 7 carousel</t>
        </is>
      </c>
      <c r="S8" s="57" t="n"/>
      <c r="T8" s="57" t="n"/>
      <c r="U8" s="16" t="inlineStr">
        <is>
          <t>Idea</t>
        </is>
      </c>
      <c r="V8" s="54" t="n"/>
      <c r="W8" s="54" t="n"/>
      <c r="X8" s="54" t="n"/>
      <c r="Y8" s="54" t="n"/>
      <c r="Z8" s="54" t="n"/>
      <c r="AA8" s="54" t="n"/>
    </row>
    <row r="9" ht="75" customHeight="1" s="42">
      <c r="A9" s="16" t="n">
        <v>4</v>
      </c>
      <c r="B9" s="9" t="n">
        <v>46276</v>
      </c>
      <c r="C9" s="16" t="inlineStr">
        <is>
          <t>Fri</t>
        </is>
      </c>
      <c r="D9" s="10" t="inlineStr">
        <is>
          <t>Slot 2 - Image / Ad</t>
        </is>
      </c>
      <c r="E9" s="10" t="inlineStr">
        <is>
          <t>Botox Education Month</t>
        </is>
      </c>
      <c r="F9" s="10" t="inlineStr">
        <is>
          <t>Image post + boost</t>
        </is>
      </c>
      <c r="G9" s="10" t="inlineStr">
        <is>
          <t>IG feed + Facebook + GBP</t>
        </is>
      </c>
      <c r="H9" s="10" t="inlineStr">
        <is>
          <t>Education</t>
        </is>
      </c>
      <c r="I9" s="10" t="inlineStr">
        <is>
          <t>Aftercare in 6 Rules</t>
        </is>
      </c>
      <c r="J9" s="10" t="inlineStr">
        <is>
          <t>Save this for the 24 hours after.</t>
        </is>
      </c>
      <c r="K9" s="10" t="inlineStr">
        <is>
          <t>Static checklist card, light template, six numbered lines.</t>
        </is>
      </c>
      <c r="L9" s="10" t="inlineStr">
        <is>
          <t>THE FIRST 24 HOURS / 6 rules</t>
        </is>
      </c>
      <c r="M9" s="10" t="inlineStr">
        <is>
          <t>Upright for four hours. No gym, no facials, no heat. Do not rub. Everything else is normal life.</t>
        </is>
      </c>
      <c r="N9" s="10" t="inlineStr">
        <is>
          <t>Save this for after your appointment</t>
        </is>
      </c>
      <c r="O9" s="16" t="inlineStr">
        <is>
          <t>Set A</t>
        </is>
      </c>
      <c r="P9" s="10" t="inlineStr">
        <is>
          <t>Boost $8/day for 4 days.</t>
        </is>
      </c>
      <c r="Q9" s="10" t="inlineStr">
        <is>
          <t>Design 6-rule checklist card, 4:5</t>
        </is>
      </c>
      <c r="R9" s="10" t="inlineStr">
        <is>
          <t>Repurpose: Sep 10 aftercare carousel</t>
        </is>
      </c>
      <c r="S9" s="57" t="n"/>
      <c r="T9" s="57" t="n"/>
      <c r="U9" s="16" t="inlineStr">
        <is>
          <t>Idea</t>
        </is>
      </c>
      <c r="V9" s="54" t="n"/>
      <c r="W9" s="54" t="n"/>
      <c r="X9" s="54" t="n"/>
      <c r="Y9" s="54" t="n"/>
      <c r="Z9" s="54" t="n"/>
      <c r="AA9" s="54" t="n"/>
    </row>
    <row r="10" ht="75" customHeight="1" s="42">
      <c r="A10" s="16" t="n">
        <v>4</v>
      </c>
      <c r="B10" s="9" t="n">
        <v>46278</v>
      </c>
      <c r="C10" s="16" t="inlineStr">
        <is>
          <t>Sun</t>
        </is>
      </c>
      <c r="D10" s="10" t="inlineStr">
        <is>
          <t>Slot 3 - Reel</t>
        </is>
      </c>
      <c r="E10" s="10" t="inlineStr">
        <is>
          <t>Botox Education Month</t>
        </is>
      </c>
      <c r="F10" s="10" t="inlineStr">
        <is>
          <t>Reel (video)</t>
        </is>
      </c>
      <c r="G10" s="10" t="inlineStr">
        <is>
          <t>IG Reels + Facebook Reels + TikTok</t>
        </is>
      </c>
      <c r="H10" s="10" t="inlineStr">
        <is>
          <t>Education</t>
        </is>
      </c>
      <c r="I10" s="10" t="inlineStr">
        <is>
          <t>Your First Visit, Filmed</t>
        </is>
      </c>
      <c r="J10" s="10" t="inlineStr">
        <is>
          <t>Nervous about a first appointment? Watch this.</t>
        </is>
      </c>
      <c r="K10" s="10" t="inlineStr">
        <is>
          <t>Walk-through POV: door, seat, consultation table, face mapping, tray. Voiceover over B-roll. 45 minutes and most of it is talking.</t>
        </is>
      </c>
      <c r="L10" s="10" t="inlineStr">
        <is>
          <t>45 minutes / most of it is talking / you can say no at any point</t>
        </is>
      </c>
      <c r="M10" s="10" t="inlineStr">
        <is>
          <t>A first visit runs about 45 minutes and most of that is conversation. You can leave without booking anything. That is a normal outcome here.</t>
        </is>
      </c>
      <c r="N10" s="10" t="inlineStr">
        <is>
          <t>DM to book your consult</t>
        </is>
      </c>
      <c r="O10" s="16" t="inlineStr">
        <is>
          <t>Set A</t>
        </is>
      </c>
      <c r="P10" s="10" t="inlineStr">
        <is>
          <t>Soft instrumental. Handheld POV walkthrough.</t>
        </is>
      </c>
      <c r="Q10" s="10" t="inlineStr">
        <is>
          <t>Film studio walkthrough B-roll, 60-90 sec of footage</t>
        </is>
      </c>
      <c r="R10" s="10" t="inlineStr">
        <is>
          <t>Repurpose: Aug 24 First Visit carousel</t>
        </is>
      </c>
      <c r="S10" s="57" t="n"/>
      <c r="T10" s="57" t="n"/>
      <c r="U10" s="16" t="inlineStr">
        <is>
          <t>Idea</t>
        </is>
      </c>
      <c r="V10" s="54" t="n"/>
      <c r="W10" s="54" t="n"/>
      <c r="X10" s="54" t="n"/>
      <c r="Y10" s="54" t="n"/>
      <c r="Z10" s="54" t="n"/>
      <c r="AA10" s="54" t="n"/>
    </row>
    <row r="11" ht="75" customHeight="1" s="42">
      <c r="A11" s="26" t="n">
        <v>5</v>
      </c>
      <c r="B11" s="27" t="n">
        <v>46281</v>
      </c>
      <c r="C11" s="26" t="inlineStr">
        <is>
          <t>Wed</t>
        </is>
      </c>
      <c r="D11" s="29" t="inlineStr">
        <is>
          <t>Slot 1 - Reel</t>
        </is>
      </c>
      <c r="E11" s="29" t="inlineStr">
        <is>
          <t>Botox Education Month</t>
        </is>
      </c>
      <c r="F11" s="29" t="inlineStr">
        <is>
          <t>Reel (video)</t>
        </is>
      </c>
      <c r="G11" s="29" t="inlineStr">
        <is>
          <t>IG Reels + Facebook Reels + TikTok</t>
        </is>
      </c>
      <c r="H11" s="29" t="inlineStr">
        <is>
          <t>Education</t>
        </is>
      </c>
      <c r="I11" s="29" t="inlineStr">
        <is>
          <t>Preventative Botox: When to Actually Start</t>
        </is>
      </c>
      <c r="J11" s="29" t="inlineStr">
        <is>
          <t>It is not about your age.</t>
        </is>
      </c>
      <c r="K11" s="29" t="inlineStr">
        <is>
          <t>Talking head. The test: does the line stay when your face relaxes? If yes, it is a static line. If no, you are still preventing. Show with own forehead.</t>
        </is>
      </c>
      <c r="L11" s="29" t="inlineStr">
        <is>
          <t>Does the line stay when you relax? / YES = treating / NO = preventing</t>
        </is>
      </c>
      <c r="M11" s="29" t="inlineStr">
        <is>
          <t>Nobody needs to start at a specific birthday. The only question that matters is whether the line is still there when your face is at rest.</t>
        </is>
      </c>
      <c r="N11" s="29" t="inlineStr">
        <is>
          <t>DM PREVENT to ask about yours</t>
        </is>
      </c>
      <c r="O11" s="26" t="inlineStr">
        <is>
          <t>Set A</t>
        </is>
      </c>
      <c r="P11" s="29" t="inlineStr">
        <is>
          <t>Voiceover. Mirror or front-on framing.</t>
        </is>
      </c>
      <c r="Q11" s="29" t="inlineStr">
        <is>
          <t>Film talking head with forehead demo</t>
        </is>
      </c>
      <c r="R11" s="29" t="inlineStr">
        <is>
          <t>Repurpose: Aug 31 Preventative Botox carousel</t>
        </is>
      </c>
      <c r="S11" s="57" t="n"/>
      <c r="T11" s="57" t="n"/>
      <c r="U11" s="26" t="inlineStr">
        <is>
          <t>Idea</t>
        </is>
      </c>
      <c r="V11" s="54" t="n"/>
      <c r="W11" s="54" t="n"/>
      <c r="X11" s="54" t="n"/>
      <c r="Y11" s="54" t="n"/>
      <c r="Z11" s="54" t="n"/>
      <c r="AA11" s="54" t="n"/>
    </row>
    <row r="12" ht="75" customHeight="1" s="42">
      <c r="A12" s="26" t="n">
        <v>5</v>
      </c>
      <c r="B12" s="27" t="n">
        <v>46283</v>
      </c>
      <c r="C12" s="26" t="inlineStr">
        <is>
          <t>Fri</t>
        </is>
      </c>
      <c r="D12" s="29" t="inlineStr">
        <is>
          <t>Slot 2 - Image / Ad</t>
        </is>
      </c>
      <c r="E12" s="29" t="inlineStr">
        <is>
          <t>Botox Education Month</t>
        </is>
      </c>
      <c r="F12" s="29" t="inlineStr">
        <is>
          <t>Image post + boost</t>
        </is>
      </c>
      <c r="G12" s="29" t="inlineStr">
        <is>
          <t>IG feed + Facebook + GBP</t>
        </is>
      </c>
      <c r="H12" s="29" t="inlineStr">
        <is>
          <t>Trust &amp; Proof</t>
        </is>
      </c>
      <c r="I12" s="29" t="inlineStr">
        <is>
          <t>Quote card: Why I Say No</t>
        </is>
      </c>
      <c r="J12" s="29" t="inlineStr">
        <is>
          <t>The best injectors turn work away.</t>
        </is>
      </c>
      <c r="K12" s="29" t="inlineStr">
        <is>
          <t>Static quote card, dark template.</t>
        </is>
      </c>
      <c r="L12" s="29" t="inlineStr">
        <is>
          <t>A good injector will tell you no.</t>
        </is>
      </c>
      <c r="M12" s="29" t="inlineStr">
        <is>
          <t>I have turned down work that would have paid well. If the plan does not suit your face, you should hear that out loud before anyone opens a vial.</t>
        </is>
      </c>
      <c r="N12" s="29" t="inlineStr">
        <is>
          <t>Save this before you book</t>
        </is>
      </c>
      <c r="O12" s="26" t="inlineStr">
        <is>
          <t>Set C</t>
        </is>
      </c>
      <c r="P12" s="29" t="inlineStr">
        <is>
          <t>Boost $8/day for 4 days.</t>
        </is>
      </c>
      <c r="Q12" s="29" t="inlineStr">
        <is>
          <t>Design quote card, 4:5</t>
        </is>
      </c>
      <c r="R12" s="29" t="n"/>
      <c r="S12" s="57" t="n"/>
      <c r="T12" s="57" t="n"/>
      <c r="U12" s="26" t="inlineStr">
        <is>
          <t>Idea</t>
        </is>
      </c>
      <c r="V12" s="54" t="n"/>
      <c r="W12" s="54" t="n"/>
      <c r="X12" s="54" t="n"/>
      <c r="Y12" s="54" t="n"/>
      <c r="Z12" s="54" t="n"/>
      <c r="AA12" s="54" t="n"/>
    </row>
    <row r="13" ht="75" customHeight="1" s="42">
      <c r="A13" s="26" t="n">
        <v>5</v>
      </c>
      <c r="B13" s="27" t="n">
        <v>46285</v>
      </c>
      <c r="C13" s="26" t="inlineStr">
        <is>
          <t>Sun</t>
        </is>
      </c>
      <c r="D13" s="29" t="inlineStr">
        <is>
          <t>Slot 3 - Reel</t>
        </is>
      </c>
      <c r="E13" s="29" t="inlineStr">
        <is>
          <t>Botox Education Month</t>
        </is>
      </c>
      <c r="F13" s="29" t="inlineStr">
        <is>
          <t>Reel (video)</t>
        </is>
      </c>
      <c r="G13" s="29" t="inlineStr">
        <is>
          <t>IG Reels + Facebook Reels + TikTok</t>
        </is>
      </c>
      <c r="H13" s="29" t="inlineStr">
        <is>
          <t>Trust &amp; Proof</t>
        </is>
      </c>
      <c r="I13" s="29" t="inlineStr">
        <is>
          <t>5 Things Botox Will Not Fix</t>
        </is>
      </c>
      <c r="J13" s="29" t="inlineStr">
        <is>
          <t>Let me save you some money.</t>
        </is>
      </c>
      <c r="K13" s="29" t="inlineStr">
        <is>
          <t>Fast list to camera: deep static folds, volume loss, skin texture, sun damage, under-eye hollows. For each, name what actually helps instead.</t>
        </is>
      </c>
      <c r="L13" s="29" t="inlineStr">
        <is>
          <t>WILL NOT FIX: 1-5 + what actually helps</t>
        </is>
      </c>
      <c r="M13" s="29" t="inlineStr">
        <is>
          <t>If someone tells you Botox fixes all five of these, walk. Different problems need different tools, and some of them are not injectables at all.</t>
        </is>
      </c>
      <c r="N13" s="29" t="inlineStr">
        <is>
          <t>Save this</t>
        </is>
      </c>
      <c r="O13" s="26" t="inlineStr">
        <is>
          <t>Set C</t>
        </is>
      </c>
      <c r="P13" s="29" t="inlineStr">
        <is>
          <t>Voiceover, quick cuts, no music.</t>
        </is>
      </c>
      <c r="Q13" s="29" t="inlineStr">
        <is>
          <t>Film 5-beat list, 40 sec</t>
        </is>
      </c>
      <c r="R13" s="29" t="inlineStr">
        <is>
          <t>Repurpose: Sep 14 carousel</t>
        </is>
      </c>
      <c r="S13" s="57" t="n"/>
      <c r="T13" s="57" t="n"/>
      <c r="U13" s="26" t="inlineStr">
        <is>
          <t>Idea</t>
        </is>
      </c>
      <c r="V13" s="54" t="n"/>
      <c r="W13" s="54" t="n"/>
      <c r="X13" s="54" t="n"/>
      <c r="Y13" s="54" t="n"/>
      <c r="Z13" s="54" t="n"/>
      <c r="AA13" s="54" t="n"/>
    </row>
    <row r="14" ht="75" customHeight="1" s="42">
      <c r="A14" s="16" t="n">
        <v>6</v>
      </c>
      <c r="B14" s="9" t="n">
        <v>46288</v>
      </c>
      <c r="C14" s="16" t="inlineStr">
        <is>
          <t>Wed</t>
        </is>
      </c>
      <c r="D14" s="10" t="inlineStr">
        <is>
          <t>Slot 1 - Reel</t>
        </is>
      </c>
      <c r="E14" s="10" t="inlineStr">
        <is>
          <t>Botox Education Month</t>
        </is>
      </c>
      <c r="F14" s="10" t="inlineStr">
        <is>
          <t>Reel (video)</t>
        </is>
      </c>
      <c r="G14" s="10" t="inlineStr">
        <is>
          <t>IG Reels + Facebook Reels + TikTok</t>
        </is>
      </c>
      <c r="H14" s="10" t="inlineStr">
        <is>
          <t>Education</t>
        </is>
      </c>
      <c r="I14" s="10" t="inlineStr">
        <is>
          <t>The Face Map: Where the Units Go</t>
        </is>
      </c>
      <c r="J14" s="10" t="inlineStr">
        <is>
          <t>Three areas. Very different jobs.</t>
        </is>
      </c>
      <c r="K14" s="10" t="inlineStr">
        <is>
          <t>Overlay a face map graphic on a still of NP Cleo. Point to forehead, glabella, crow's feet. Explain the muscle behind each and why over-treating the forehead drops brows.</t>
        </is>
      </c>
      <c r="L14" s="10" t="inlineStr">
        <is>
          <t>FOREHEAD / ELEVENS / CROW'S FEET</t>
        </is>
      </c>
      <c r="M14" s="10" t="inlineStr">
        <is>
          <t>Your forehead lifts your brows. Treat it too hard and everything drops. This is why the plan matters more than the product.</t>
        </is>
      </c>
      <c r="N14" s="10" t="inlineStr">
        <is>
          <t>DM MAP with your question</t>
        </is>
      </c>
      <c r="O14" s="16" t="inlineStr">
        <is>
          <t>Set A</t>
        </is>
      </c>
      <c r="P14" s="10" t="inlineStr">
        <is>
          <t>Voiceover over animated overlay.</t>
        </is>
      </c>
      <c r="Q14" s="10" t="inlineStr">
        <is>
          <t>Design face-map overlay + film narration</t>
        </is>
      </c>
      <c r="R14" s="10" t="inlineStr">
        <is>
          <t>Repurpose: Sep 14 face map post</t>
        </is>
      </c>
      <c r="S14" s="57" t="n"/>
      <c r="T14" s="57" t="n"/>
      <c r="U14" s="16" t="inlineStr">
        <is>
          <t>Idea</t>
        </is>
      </c>
      <c r="V14" s="54" t="n"/>
      <c r="W14" s="54" t="n"/>
      <c r="X14" s="54" t="n"/>
      <c r="Y14" s="54" t="n"/>
      <c r="Z14" s="54" t="n"/>
      <c r="AA14" s="54" t="n"/>
    </row>
    <row r="15" ht="75" customHeight="1" s="42">
      <c r="A15" s="16" t="n">
        <v>6</v>
      </c>
      <c r="B15" s="9" t="n">
        <v>46290</v>
      </c>
      <c r="C15" s="16" t="inlineStr">
        <is>
          <t>Fri</t>
        </is>
      </c>
      <c r="D15" s="10" t="inlineStr">
        <is>
          <t>Slot 2 - Image / Ad</t>
        </is>
      </c>
      <c r="E15" s="10" t="inlineStr">
        <is>
          <t>Botox Education Month</t>
        </is>
      </c>
      <c r="F15" s="10" t="inlineStr">
        <is>
          <t>Image post + boost</t>
        </is>
      </c>
      <c r="G15" s="10" t="inlineStr">
        <is>
          <t>IG feed + Facebook + GBP</t>
        </is>
      </c>
      <c r="H15" s="10" t="inlineStr">
        <is>
          <t>Promo &amp; CTA</t>
        </is>
      </c>
      <c r="I15" s="10" t="inlineStr">
        <is>
          <t>Consults Are Free</t>
        </is>
      </c>
      <c r="J15" s="10" t="inlineStr">
        <is>
          <t>You can leave without booking anything.</t>
        </is>
      </c>
      <c r="K15" s="10" t="inlineStr">
        <is>
          <t>Static card, light template, plain typographic offer.</t>
        </is>
      </c>
      <c r="L15" s="10" t="inlineStr">
        <is>
          <t>CONSULTS ARE FREE / and you can walk out with nothing booked</t>
        </is>
      </c>
      <c r="M15" s="10" t="inlineStr">
        <is>
          <t>A consultation is not a sales appointment. We go through your goals, map your face in motion, and if injectables are not the answer I will tell you.</t>
        </is>
      </c>
      <c r="N15" s="10" t="inlineStr">
        <is>
          <t>DM CONSULT to book</t>
        </is>
      </c>
      <c r="O15" s="16" t="inlineStr">
        <is>
          <t>Set E</t>
        </is>
      </c>
      <c r="P15" s="10" t="inlineStr">
        <is>
          <t>Boost $10/day for 5 days. Lead objective.</t>
        </is>
      </c>
      <c r="Q15" s="10" t="inlineStr">
        <is>
          <t>Design offer card, 4:5 + 1:1</t>
        </is>
      </c>
      <c r="R15" s="10" t="n"/>
      <c r="S15" s="57" t="n"/>
      <c r="T15" s="57" t="n"/>
      <c r="U15" s="16" t="inlineStr">
        <is>
          <t>Idea</t>
        </is>
      </c>
      <c r="V15" s="54" t="n"/>
      <c r="W15" s="54" t="n"/>
      <c r="X15" s="54" t="n"/>
      <c r="Y15" s="54" t="n"/>
      <c r="Z15" s="54" t="n"/>
      <c r="AA15" s="54" t="n"/>
    </row>
    <row r="16" ht="75" customHeight="1" s="42">
      <c r="A16" s="16" t="n">
        <v>6</v>
      </c>
      <c r="B16" s="9" t="n">
        <v>46292</v>
      </c>
      <c r="C16" s="16" t="inlineStr">
        <is>
          <t>Sun</t>
        </is>
      </c>
      <c r="D16" s="10" t="inlineStr">
        <is>
          <t>Slot 3 - Reel</t>
        </is>
      </c>
      <c r="E16" s="10" t="inlineStr">
        <is>
          <t>Botox Education Month</t>
        </is>
      </c>
      <c r="F16" s="10" t="inlineStr">
        <is>
          <t>Reel (video)</t>
        </is>
      </c>
      <c r="G16" s="10" t="inlineStr">
        <is>
          <t>IG Reels + Facebook Reels + TikTok</t>
        </is>
      </c>
      <c r="H16" s="10" t="inlineStr">
        <is>
          <t>Personality &amp; BTS</t>
        </is>
      </c>
      <c r="I16" s="10" t="inlineStr">
        <is>
          <t>Ask NP Cleo: The 3 Questions I Get Every Day</t>
        </is>
      </c>
      <c r="J16" s="10" t="inlineStr">
        <is>
          <t>Same three questions. Every single week.</t>
        </is>
      </c>
      <c r="K16" s="10" t="inlineStr">
        <is>
          <t>Talking head, three chapters: Will it hurt? Will people notice? What if I hate it? Honest answers, no softening.</t>
        </is>
      </c>
      <c r="L16" s="10" t="inlineStr">
        <is>
          <t>Q1 / Q2 / Q3</t>
        </is>
      </c>
      <c r="M16" s="10" t="inlineStr">
        <is>
          <t>Three questions, asked in the DMs every week. Here are the honest answers, including the one about hating it.</t>
        </is>
      </c>
      <c r="N16" s="10" t="inlineStr">
        <is>
          <t>Drop your question below</t>
        </is>
      </c>
      <c r="O16" s="16" t="inlineStr">
        <is>
          <t>Set D</t>
        </is>
      </c>
      <c r="P16" s="10" t="inlineStr">
        <is>
          <t>Conversational, seated, soft music.</t>
        </is>
      </c>
      <c r="Q16" s="10" t="inlineStr">
        <is>
          <t>Film 3-chapter Q&amp;A, 60 sec</t>
        </is>
      </c>
      <c r="R16" s="10" t="inlineStr">
        <is>
          <t>Repurpose: Sep 24 Ask NP Cleo carousel</t>
        </is>
      </c>
      <c r="S16" s="57" t="n"/>
      <c r="T16" s="57" t="n"/>
      <c r="U16" s="16" t="inlineStr">
        <is>
          <t>Idea</t>
        </is>
      </c>
      <c r="V16" s="54" t="n"/>
      <c r="W16" s="54" t="n"/>
      <c r="X16" s="54" t="n"/>
      <c r="Y16" s="54" t="n"/>
      <c r="Z16" s="54" t="n"/>
      <c r="AA16" s="54" t="n"/>
    </row>
    <row r="17" ht="75" customHeight="1" s="42">
      <c r="A17" s="26" t="n">
        <v>7</v>
      </c>
      <c r="B17" s="27" t="n">
        <v>46295</v>
      </c>
      <c r="C17" s="26" t="inlineStr">
        <is>
          <t>Wed</t>
        </is>
      </c>
      <c r="D17" s="29" t="inlineStr">
        <is>
          <t>Slot 1 - Reel</t>
        </is>
      </c>
      <c r="E17" s="29" t="inlineStr">
        <is>
          <t>Botox Education Month</t>
        </is>
      </c>
      <c r="F17" s="29" t="inlineStr">
        <is>
          <t>Reel (video)</t>
        </is>
      </c>
      <c r="G17" s="29" t="inlineStr">
        <is>
          <t>IG Reels + Facebook Reels + TikTok</t>
        </is>
      </c>
      <c r="H17" s="29" t="inlineStr">
        <is>
          <t>Education</t>
        </is>
      </c>
      <c r="I17" s="29" t="inlineStr">
        <is>
          <t>How Long Does It Really Last</t>
        </is>
      </c>
      <c r="J17" s="29" t="inlineStr">
        <is>
          <t>Three to four months, and here is why yours may be shorter.</t>
        </is>
      </c>
      <c r="K17" s="29" t="inlineStr">
        <is>
          <t>Talking head + simple timeline graphic. Metabolism, muscle strength, dose, exercise load. End with the honest line about the first round often fading faster.</t>
        </is>
      </c>
      <c r="L17" s="29" t="inlineStr">
        <is>
          <t>WEEK 2 peak / MONTH 3 softening / MONTH 4 back to baseline</t>
        </is>
      </c>
      <c r="M17" s="29" t="inlineStr">
        <is>
          <t>Your first round often fades a little faster. That is normal, not a bad product. The second round usually holds longer.</t>
        </is>
      </c>
      <c r="N17" s="29" t="inlineStr">
        <is>
          <t>DM to plan your timing</t>
        </is>
      </c>
      <c r="O17" s="26" t="inlineStr">
        <is>
          <t>Set A</t>
        </is>
      </c>
      <c r="P17" s="29" t="inlineStr">
        <is>
          <t>Voiceover with a timeline animation.</t>
        </is>
      </c>
      <c r="Q17" s="29" t="inlineStr">
        <is>
          <t>Design timeline graphic + film narration</t>
        </is>
      </c>
      <c r="R17" s="29" t="inlineStr">
        <is>
          <t>Repurpose: Sep 28 carousel</t>
        </is>
      </c>
      <c r="S17" s="57" t="n"/>
      <c r="T17" s="57" t="n"/>
      <c r="U17" s="26" t="inlineStr">
        <is>
          <t>Idea</t>
        </is>
      </c>
      <c r="V17" s="54" t="n"/>
      <c r="W17" s="54" t="n"/>
      <c r="X17" s="54" t="n"/>
      <c r="Y17" s="54" t="n"/>
      <c r="Z17" s="54" t="n"/>
      <c r="AA17" s="54" t="n"/>
    </row>
    <row r="18" ht="75" customHeight="1" s="42">
      <c r="A18" s="26" t="n">
        <v>7</v>
      </c>
      <c r="B18" s="27" t="n">
        <v>46296</v>
      </c>
      <c r="C18" s="26" t="inlineStr">
        <is>
          <t>Thu</t>
        </is>
      </c>
      <c r="D18" s="29" t="inlineStr">
        <is>
          <t>Slot 2 - Image / Ad</t>
        </is>
      </c>
      <c r="E18" s="29" t="inlineStr">
        <is>
          <t>Fillers, Naturally</t>
        </is>
      </c>
      <c r="F18" s="29" t="inlineStr">
        <is>
          <t>Image post + boost</t>
        </is>
      </c>
      <c r="G18" s="29" t="inlineStr">
        <is>
          <t>IG feed + Facebook + GBP</t>
        </is>
      </c>
      <c r="H18" s="29" t="inlineStr">
        <is>
          <t>Trust &amp; Proof</t>
        </is>
      </c>
      <c r="I18" s="29" t="inlineStr">
        <is>
          <t>What Natural Results Actually Look Like</t>
        </is>
      </c>
      <c r="J18" s="29" t="inlineStr">
        <is>
          <t>If you can tell, it was too much.</t>
        </is>
      </c>
      <c r="K18" s="29" t="inlineStr">
        <is>
          <t>Static card pairing a real healed result crop with the line. Use consented Pair E.</t>
        </is>
      </c>
      <c r="L18" s="29" t="inlineStr">
        <is>
          <t>Still you. Just rested.</t>
        </is>
      </c>
      <c r="M18" s="29" t="inlineStr">
        <is>
          <t>Nobody should be able to point at what you had done. They should just think you slept well.</t>
        </is>
      </c>
      <c r="N18" s="29" t="inlineStr">
        <is>
          <t>Save this</t>
        </is>
      </c>
      <c r="O18" s="26" t="inlineStr">
        <is>
          <t>Set C</t>
        </is>
      </c>
      <c r="P18" s="29" t="inlineStr">
        <is>
          <t>Boost $8/day for 4 days.</t>
        </is>
      </c>
      <c r="Q18" s="29" t="inlineStr">
        <is>
          <t>Crop Pair E after image, add hook overlay</t>
        </is>
      </c>
      <c r="R18" s="29" t="inlineStr">
        <is>
          <t>Photo library: img_9912.jpg (Pair E, consent not needed)</t>
        </is>
      </c>
      <c r="S18" s="57" t="n"/>
      <c r="T18" s="57" t="n"/>
      <c r="U18" s="26" t="inlineStr">
        <is>
          <t>Idea</t>
        </is>
      </c>
      <c r="V18" s="54" t="n"/>
      <c r="W18" s="54" t="n"/>
      <c r="X18" s="54" t="n"/>
      <c r="Y18" s="54" t="n"/>
      <c r="Z18" s="54" t="n"/>
      <c r="AA18" s="54" t="n"/>
    </row>
    <row r="19" ht="75" customHeight="1" s="42">
      <c r="A19" s="26" t="n">
        <v>7</v>
      </c>
      <c r="B19" s="27" t="n">
        <v>46300</v>
      </c>
      <c r="C19" s="26" t="inlineStr">
        <is>
          <t>Mon</t>
        </is>
      </c>
      <c r="D19" s="29" t="inlineStr">
        <is>
          <t>Slot 3 - Reel</t>
        </is>
      </c>
      <c r="E19" s="29" t="inlineStr">
        <is>
          <t>Fillers, Naturally</t>
        </is>
      </c>
      <c r="F19" s="29" t="inlineStr">
        <is>
          <t>Reel (video)</t>
        </is>
      </c>
      <c r="G19" s="29" t="inlineStr">
        <is>
          <t>IG Reels + Facebook Reels + TikTok</t>
        </is>
      </c>
      <c r="H19" s="29" t="inlineStr">
        <is>
          <t>Education</t>
        </is>
      </c>
      <c r="I19" s="29" t="inlineStr">
        <is>
          <t>Botox or Filler? 20-Second Answer</t>
        </is>
      </c>
      <c r="J19" s="29" t="inlineStr">
        <is>
          <t>Lines or volume. That is the whole decision.</t>
        </is>
      </c>
      <c r="K19" s="29" t="inlineStr">
        <is>
          <t>Two-card cutaway. Lines from movement = neuromodulator. Volume loss or structure = filler. Most faces need a bit of both, in that order.</t>
        </is>
      </c>
      <c r="L19" s="29" t="inlineStr">
        <is>
          <t>MOVEMENT = relaxer / VOLUME = filler</t>
        </is>
      </c>
      <c r="M19" s="29" t="inlineStr">
        <is>
          <t>It is not a personality test. Movement lines get a relaxer. Lost volume gets filler. If someone sells you both on day one without looking at your face in motion, leave.</t>
        </is>
      </c>
      <c r="N19" s="29" t="inlineStr">
        <is>
          <t>DM which one you think you need</t>
        </is>
      </c>
      <c r="O19" s="26" t="inlineStr">
        <is>
          <t>Set A</t>
        </is>
      </c>
      <c r="P19" s="29" t="inlineStr">
        <is>
          <t>Fast cuts, voiceover.</t>
        </is>
      </c>
      <c r="Q19" s="29" t="inlineStr">
        <is>
          <t>Film 2-beat explainer, 25 sec</t>
        </is>
      </c>
      <c r="R19" s="29" t="inlineStr">
        <is>
          <t>Repurpose: Sep 21 Botox or Filler carousel</t>
        </is>
      </c>
      <c r="S19" s="57" t="n"/>
      <c r="T19" s="57" t="n"/>
      <c r="U19" s="26" t="inlineStr">
        <is>
          <t>Idea</t>
        </is>
      </c>
      <c r="V19" s="54" t="n"/>
      <c r="W19" s="54" t="n"/>
      <c r="X19" s="54" t="n"/>
      <c r="Y19" s="54" t="n"/>
      <c r="Z19" s="54" t="n"/>
      <c r="AA19" s="54" t="n"/>
    </row>
    <row r="20" ht="75" customHeight="1" s="42">
      <c r="A20" s="16" t="n">
        <v>8</v>
      </c>
      <c r="B20" s="9" t="n">
        <v>46302</v>
      </c>
      <c r="C20" s="16" t="inlineStr">
        <is>
          <t>Wed</t>
        </is>
      </c>
      <c r="D20" s="10" t="inlineStr">
        <is>
          <t>Slot 1 - Reel</t>
        </is>
      </c>
      <c r="E20" s="10" t="inlineStr">
        <is>
          <t>Fillers, Naturally</t>
        </is>
      </c>
      <c r="F20" s="10" t="inlineStr">
        <is>
          <t>Reel (video)</t>
        </is>
      </c>
      <c r="G20" s="10" t="inlineStr">
        <is>
          <t>IG Reels + Facebook Reels + TikTok</t>
        </is>
      </c>
      <c r="H20" s="10" t="inlineStr">
        <is>
          <t>Education</t>
        </is>
      </c>
      <c r="I20" s="10" t="inlineStr">
        <is>
          <t>Lip Filler: Natural vs Overdone</t>
        </is>
      </c>
      <c r="J20" s="10" t="inlineStr">
        <is>
          <t>The difference is not the amount. It is the shape.</t>
        </is>
      </c>
      <c r="K20" s="10" t="inlineStr">
        <is>
          <t>Side-by-side stills with annotation arrows. Ratio, border, projection. Explain why chasing volume without respecting the existing lip shape reads as fake.</t>
        </is>
      </c>
      <c r="L20" s="10" t="inlineStr">
        <is>
          <t>SHAPE first / VOLUME second</t>
        </is>
      </c>
      <c r="M20" s="10" t="inlineStr">
        <is>
          <t>Overdone lips are usually not too much product. They are product placed against the lip you already have instead of with it.</t>
        </is>
      </c>
      <c r="N20" s="10" t="inlineStr">
        <is>
          <t>DM LIPS to ask</t>
        </is>
      </c>
      <c r="O20" s="16" t="inlineStr">
        <is>
          <t>Set A</t>
        </is>
      </c>
      <c r="P20" s="10" t="inlineStr">
        <is>
          <t>Voiceover over annotated stills.</t>
        </is>
      </c>
      <c r="Q20" s="10" t="inlineStr">
        <is>
          <t>Annotate consented stills + film narration</t>
        </is>
      </c>
      <c r="R20" s="10" t="inlineStr">
        <is>
          <t>Photo library: Pair B (img_0962 / img_0998, consent not needed)</t>
        </is>
      </c>
      <c r="S20" s="57" t="n"/>
      <c r="T20" s="57" t="n"/>
      <c r="U20" s="16" t="inlineStr">
        <is>
          <t>Idea</t>
        </is>
      </c>
      <c r="V20" s="54" t="n"/>
      <c r="W20" s="54" t="n"/>
      <c r="X20" s="54" t="n"/>
      <c r="Y20" s="54" t="n"/>
      <c r="Z20" s="54" t="n"/>
      <c r="AA20" s="54" t="n"/>
    </row>
    <row r="21" ht="75" customHeight="1" s="42">
      <c r="A21" s="16" t="n">
        <v>8</v>
      </c>
      <c r="B21" s="9" t="n">
        <v>46303</v>
      </c>
      <c r="C21" s="16" t="inlineStr">
        <is>
          <t>Thu</t>
        </is>
      </c>
      <c r="D21" s="10" t="inlineStr">
        <is>
          <t>Slot 2 - Image / Ad</t>
        </is>
      </c>
      <c r="E21" s="10" t="inlineStr">
        <is>
          <t>Fillers, Naturally</t>
        </is>
      </c>
      <c r="F21" s="10" t="inlineStr">
        <is>
          <t>Image post + boost</t>
        </is>
      </c>
      <c r="G21" s="10" t="inlineStr">
        <is>
          <t>IG feed + Facebook + GBP</t>
        </is>
      </c>
      <c r="H21" s="10" t="inlineStr">
        <is>
          <t>Education</t>
        </is>
      </c>
      <c r="I21" s="10" t="inlineStr">
        <is>
          <t>Filler Will Not Make You Look Like Someone Else</t>
        </is>
      </c>
      <c r="J21" s="10" t="inlineStr">
        <is>
          <t>You will still look like you.</t>
        </is>
      </c>
      <c r="K21" s="10" t="inlineStr">
        <is>
          <t>Static card, light template.</t>
        </is>
      </c>
      <c r="L21" s="10" t="inlineStr">
        <is>
          <t>Filler cannot give you someone else's face. It can only sharpen yours.</t>
        </is>
      </c>
      <c r="M21" s="10" t="inlineStr">
        <is>
          <t>The photo you brought in is someone else's bone structure. What we can do is make your own read better. That is the honest ceiling.</t>
        </is>
      </c>
      <c r="N21" s="10" t="inlineStr">
        <is>
          <t>Save this before your consult</t>
        </is>
      </c>
      <c r="O21" s="16" t="inlineStr">
        <is>
          <t>Set A</t>
        </is>
      </c>
      <c r="P21" s="10" t="inlineStr">
        <is>
          <t>Boost $8/day for 4 days.</t>
        </is>
      </c>
      <c r="Q21" s="10" t="inlineStr">
        <is>
          <t>Design card, 4:5</t>
        </is>
      </c>
      <c r="R21" s="10" t="inlineStr">
        <is>
          <t>Repurpose: Oct 5 carousel</t>
        </is>
      </c>
      <c r="S21" s="57" t="n"/>
      <c r="T21" s="57" t="n"/>
      <c r="U21" s="16" t="inlineStr">
        <is>
          <t>Idea</t>
        </is>
      </c>
      <c r="V21" s="54" t="n"/>
      <c r="W21" s="54" t="n"/>
      <c r="X21" s="54" t="n"/>
      <c r="Y21" s="54" t="n"/>
      <c r="Z21" s="54" t="n"/>
      <c r="AA21" s="54" t="n"/>
    </row>
    <row r="22" ht="75" customHeight="1" s="42">
      <c r="A22" s="16" t="n">
        <v>8</v>
      </c>
      <c r="B22" s="9" t="n">
        <v>46307</v>
      </c>
      <c r="C22" s="16" t="inlineStr">
        <is>
          <t>Mon</t>
        </is>
      </c>
      <c r="D22" s="10" t="inlineStr">
        <is>
          <t>Slot 3 - Reel</t>
        </is>
      </c>
      <c r="E22" s="10" t="inlineStr">
        <is>
          <t>Fillers, Naturally</t>
        </is>
      </c>
      <c r="F22" s="10" t="inlineStr">
        <is>
          <t>Reel (video)</t>
        </is>
      </c>
      <c r="G22" s="10" t="inlineStr">
        <is>
          <t>IG Reels + Facebook Reels + TikTok</t>
        </is>
      </c>
      <c r="H22" s="10" t="inlineStr">
        <is>
          <t>Trust &amp; Proof</t>
        </is>
      </c>
      <c r="I22" s="10" t="inlineStr">
        <is>
          <t>One Syringe. Day 0 to Day 14.</t>
        </is>
      </c>
      <c r="J22" s="10" t="inlineStr">
        <is>
          <t>This is what one syringe actually does.</t>
        </is>
      </c>
      <c r="K22" s="10" t="inlineStr">
        <is>
          <t>Photo transition reel. Before, day 0 swollen, day 14 settled. Voiceover naming what changed and what was left alone.</t>
        </is>
      </c>
      <c r="L22" s="10" t="inlineStr">
        <is>
          <t>BEFORE / DAY 0 / DAY 14</t>
        </is>
      </c>
      <c r="M22" s="10" t="inlineStr">
        <is>
          <t>One syringe, her own lip shape kept. The middle photo is swelling, not the result. This is why I ask you not to judge anything before two weeks.</t>
        </is>
      </c>
      <c r="N22" s="10" t="inlineStr">
        <is>
          <t>DM LIPS to book a consult</t>
        </is>
      </c>
      <c r="O22" s="16" t="inlineStr">
        <is>
          <t>Set C</t>
        </is>
      </c>
      <c r="P22" s="10" t="inlineStr">
        <is>
          <t>Soft music, slow cross-dissolves.</t>
        </is>
      </c>
      <c r="Q22" s="10" t="inlineStr">
        <is>
          <t>Sequence 3 consented stills into a 20-sec reel</t>
        </is>
      </c>
      <c r="R22" s="10" t="inlineStr">
        <is>
          <t>Photo library: img_9848 / img_9850 (Pair F, consent on file)</t>
        </is>
      </c>
      <c r="S22" s="57" t="n"/>
      <c r="T22" s="57" t="n"/>
      <c r="U22" s="16" t="inlineStr">
        <is>
          <t>Idea</t>
        </is>
      </c>
      <c r="V22" s="54" t="n"/>
      <c r="W22" s="54" t="n"/>
      <c r="X22" s="54" t="n"/>
      <c r="Y22" s="54" t="n"/>
      <c r="Z22" s="54" t="n"/>
      <c r="AA22" s="54" t="n"/>
    </row>
    <row r="23" ht="75" customHeight="1" s="42">
      <c r="A23" s="26" t="n">
        <v>9</v>
      </c>
      <c r="B23" s="27" t="n">
        <v>46309</v>
      </c>
      <c r="C23" s="26" t="inlineStr">
        <is>
          <t>Wed</t>
        </is>
      </c>
      <c r="D23" s="29" t="inlineStr">
        <is>
          <t>Slot 1 - Reel</t>
        </is>
      </c>
      <c r="E23" s="29" t="inlineStr">
        <is>
          <t>Fillers, Naturally</t>
        </is>
      </c>
      <c r="F23" s="29" t="inlineStr">
        <is>
          <t>Reel (video)</t>
        </is>
      </c>
      <c r="G23" s="29" t="inlineStr">
        <is>
          <t>IG Reels + Facebook Reels + TikTok</t>
        </is>
      </c>
      <c r="H23" s="29" t="inlineStr">
        <is>
          <t>Education</t>
        </is>
      </c>
      <c r="I23" s="29" t="inlineStr">
        <is>
          <t>Cheek Filler: The Lift Nobody Notices</t>
        </is>
      </c>
      <c r="J23" s="29" t="inlineStr">
        <is>
          <t>Everyone thinks it is about cheeks. It is not.</t>
        </is>
      </c>
      <c r="K23" s="29" t="inlineStr">
        <is>
          <t>Talking head + face map overlay. Midface support lifts the lower face. Explain why treating the nasolabial fold directly is usually the wrong move.</t>
        </is>
      </c>
      <c r="L23" s="29" t="inlineStr">
        <is>
          <t>SUPPORT the midface / not fill the fold</t>
        </is>
      </c>
      <c r="M23" s="29" t="inlineStr">
        <is>
          <t>The fold you keep looking at is usually a symptom. Support the midface and it softens on its own.</t>
        </is>
      </c>
      <c r="N23" s="29" t="inlineStr">
        <is>
          <t>DM CHEEK to ask</t>
        </is>
      </c>
      <c r="O23" s="26" t="inlineStr">
        <is>
          <t>Set A</t>
        </is>
      </c>
      <c r="P23" s="29" t="inlineStr">
        <is>
          <t>Voiceover with overlay.</t>
        </is>
      </c>
      <c r="Q23" s="29" t="inlineStr">
        <is>
          <t>Film narration + design midface overlay</t>
        </is>
      </c>
      <c r="R23" s="29" t="inlineStr">
        <is>
          <t>Repurpose: Oct 12 carousel</t>
        </is>
      </c>
      <c r="S23" s="57" t="n"/>
      <c r="T23" s="57" t="n"/>
      <c r="U23" s="26" t="inlineStr">
        <is>
          <t>Idea</t>
        </is>
      </c>
      <c r="V23" s="54" t="n"/>
      <c r="W23" s="54" t="n"/>
      <c r="X23" s="54" t="n"/>
      <c r="Y23" s="54" t="n"/>
      <c r="Z23" s="54" t="n"/>
      <c r="AA23" s="54" t="n"/>
    </row>
    <row r="24" ht="75" customHeight="1" s="42">
      <c r="A24" s="26" t="n">
        <v>9</v>
      </c>
      <c r="B24" s="27" t="n">
        <v>46310</v>
      </c>
      <c r="C24" s="26" t="inlineStr">
        <is>
          <t>Thu</t>
        </is>
      </c>
      <c r="D24" s="29" t="inlineStr">
        <is>
          <t>Slot 2 - Image / Ad</t>
        </is>
      </c>
      <c r="E24" s="29" t="inlineStr">
        <is>
          <t>Fillers, Naturally</t>
        </is>
      </c>
      <c r="F24" s="29" t="inlineStr">
        <is>
          <t>Image post + boost</t>
        </is>
      </c>
      <c r="G24" s="29" t="inlineStr">
        <is>
          <t>IG feed + Facebook + GBP</t>
        </is>
      </c>
      <c r="H24" s="29" t="inlineStr">
        <is>
          <t>Education</t>
        </is>
      </c>
      <c r="I24" s="29" t="inlineStr">
        <is>
          <t>Facial Balancing, Explained</t>
        </is>
      </c>
      <c r="J24" s="29" t="inlineStr">
        <is>
          <t>One area at a time is how faces go wrong.</t>
        </is>
      </c>
      <c r="K24" s="29" t="inlineStr">
        <is>
          <t>Static card, light template, 3 short lines.</t>
        </is>
      </c>
      <c r="L24" s="29" t="inlineStr">
        <is>
          <t>FACIAL BALANCING / the plan, not the product</t>
        </is>
      </c>
      <c r="M24" s="29" t="inlineStr">
        <is>
          <t>Chasing one line at a time is how people end up looking treated. A plan looks at the whole face and often does less, not more.</t>
        </is>
      </c>
      <c r="N24" s="29" t="inlineStr">
        <is>
          <t>Save this</t>
        </is>
      </c>
      <c r="O24" s="26" t="inlineStr">
        <is>
          <t>Set A</t>
        </is>
      </c>
      <c r="P24" s="29" t="inlineStr">
        <is>
          <t>Boost $8/day for 4 days.</t>
        </is>
      </c>
      <c r="Q24" s="29" t="inlineStr">
        <is>
          <t>Design card, 4:5</t>
        </is>
      </c>
      <c r="R24" s="29" t="inlineStr">
        <is>
          <t>Repurpose: Oct 29 carousel</t>
        </is>
      </c>
      <c r="S24" s="57" t="n"/>
      <c r="T24" s="57" t="n"/>
      <c r="U24" s="26" t="inlineStr">
        <is>
          <t>Idea</t>
        </is>
      </c>
      <c r="V24" s="54" t="n"/>
      <c r="W24" s="54" t="n"/>
      <c r="X24" s="54" t="n"/>
      <c r="Y24" s="54" t="n"/>
      <c r="Z24" s="54" t="n"/>
      <c r="AA24" s="54" t="n"/>
    </row>
    <row r="25" ht="75" customHeight="1" s="42">
      <c r="A25" s="26" t="n">
        <v>9</v>
      </c>
      <c r="B25" s="27" t="n">
        <v>46314</v>
      </c>
      <c r="C25" s="26" t="inlineStr">
        <is>
          <t>Mon</t>
        </is>
      </c>
      <c r="D25" s="29" t="inlineStr">
        <is>
          <t>Slot 3 - Reel</t>
        </is>
      </c>
      <c r="E25" s="29" t="inlineStr">
        <is>
          <t>Fillers, Naturally</t>
        </is>
      </c>
      <c r="F25" s="29" t="inlineStr">
        <is>
          <t>Reel (video)</t>
        </is>
      </c>
      <c r="G25" s="29" t="inlineStr">
        <is>
          <t>IG Reels + Facebook Reels + TikTok</t>
        </is>
      </c>
      <c r="H25" s="29" t="inlineStr">
        <is>
          <t>Trust &amp; Proof</t>
        </is>
      </c>
      <c r="I25" s="29" t="inlineStr">
        <is>
          <t>Real Lips, Real Settle Time</t>
        </is>
      </c>
      <c r="J25" s="29" t="inlineStr">
        <is>
          <t>Two weeks. Then judge it.</t>
        </is>
      </c>
      <c r="K25" s="29" t="inlineStr">
        <is>
          <t>Before and after stills, matched 3/4 profile, colour corrected. Voiceover on why day-0 photos mislead.</t>
        </is>
      </c>
      <c r="L25" s="29" t="inlineStr">
        <is>
          <t>BEFORE / 2 WEEKS</t>
        </is>
      </c>
      <c r="M25" s="29" t="inlineStr">
        <is>
          <t>Same angle, same light, two weeks apart. Nothing added to the shape she already had.</t>
        </is>
      </c>
      <c r="N25" s="29" t="inlineStr">
        <is>
          <t>DM LIPS to book</t>
        </is>
      </c>
      <c r="O25" s="26" t="inlineStr">
        <is>
          <t>Set C</t>
        </is>
      </c>
      <c r="P25" s="29" t="inlineStr">
        <is>
          <t>Soft music, slow transitions.</t>
        </is>
      </c>
      <c r="Q25" s="29" t="inlineStr">
        <is>
          <t>Colour-match and sequence Pair B</t>
        </is>
      </c>
      <c r="R25" s="29" t="inlineStr">
        <is>
          <t>Photo library: img_0962 / img_0998 (Pair B)</t>
        </is>
      </c>
      <c r="S25" s="57" t="n"/>
      <c r="T25" s="57" t="n"/>
      <c r="U25" s="26" t="inlineStr">
        <is>
          <t>Idea</t>
        </is>
      </c>
      <c r="V25" s="54" t="n"/>
      <c r="W25" s="54" t="n"/>
      <c r="X25" s="54" t="n"/>
      <c r="Y25" s="54" t="n"/>
      <c r="Z25" s="54" t="n"/>
      <c r="AA25" s="54" t="n"/>
    </row>
    <row r="26" ht="75" customHeight="1" s="42">
      <c r="A26" s="16" t="n">
        <v>10</v>
      </c>
      <c r="B26" s="9" t="n">
        <v>46316</v>
      </c>
      <c r="C26" s="16" t="inlineStr">
        <is>
          <t>Wed</t>
        </is>
      </c>
      <c r="D26" s="10" t="inlineStr">
        <is>
          <t>Slot 1 - Reel</t>
        </is>
      </c>
      <c r="E26" s="10" t="inlineStr">
        <is>
          <t>Fillers, Naturally</t>
        </is>
      </c>
      <c r="F26" s="10" t="inlineStr">
        <is>
          <t>Reel (video)</t>
        </is>
      </c>
      <c r="G26" s="10" t="inlineStr">
        <is>
          <t>IG Reels + Facebook Reels + TikTok</t>
        </is>
      </c>
      <c r="H26" s="10" t="inlineStr">
        <is>
          <t>Education</t>
        </is>
      </c>
      <c r="I26" s="10" t="inlineStr">
        <is>
          <t>Lip Filler Aftercare: The First 48 Hours</t>
        </is>
      </c>
      <c r="J26" s="10" t="inlineStr">
        <is>
          <t>Do these five things and swelling behaves.</t>
        </is>
      </c>
      <c r="K26" s="10" t="inlineStr">
        <is>
          <t>Talking head over B-roll of ice pack, water bottle, pillow. Five rules: ice, upright sleep, hydrate, no gym, no flights.</t>
        </is>
      </c>
      <c r="L26" s="10" t="inlineStr">
        <is>
          <t>48 HOURS / 5 rules</t>
        </is>
      </c>
      <c r="M26" s="10" t="inlineStr">
        <is>
          <t>Swelling peaks on day two and it always looks worse than the result. These five things keep it short.</t>
        </is>
      </c>
      <c r="N26" s="10" t="inlineStr">
        <is>
          <t>Save this for the day after</t>
        </is>
      </c>
      <c r="O26" s="16" t="inlineStr">
        <is>
          <t>Set A</t>
        </is>
      </c>
      <c r="P26" s="10" t="inlineStr">
        <is>
          <t>Voiceover over B-roll.</t>
        </is>
      </c>
      <c r="Q26" s="10" t="inlineStr">
        <is>
          <t>Film aftercare B-roll + narration</t>
        </is>
      </c>
      <c r="R26" s="10" t="inlineStr">
        <is>
          <t>Repurpose: Oct 22 aftercare carousel</t>
        </is>
      </c>
      <c r="S26" s="57" t="n"/>
      <c r="T26" s="57" t="n"/>
      <c r="U26" s="16" t="inlineStr">
        <is>
          <t>Idea</t>
        </is>
      </c>
      <c r="V26" s="54" t="n"/>
      <c r="W26" s="54" t="n"/>
      <c r="X26" s="54" t="n"/>
      <c r="Y26" s="54" t="n"/>
      <c r="Z26" s="54" t="n"/>
      <c r="AA26" s="54" t="n"/>
    </row>
    <row r="27" ht="75" customHeight="1" s="42">
      <c r="A27" s="16" t="n">
        <v>10</v>
      </c>
      <c r="B27" s="9" t="n">
        <v>46317</v>
      </c>
      <c r="C27" s="16" t="inlineStr">
        <is>
          <t>Thu</t>
        </is>
      </c>
      <c r="D27" s="10" t="inlineStr">
        <is>
          <t>Slot 2 - Image / Ad</t>
        </is>
      </c>
      <c r="E27" s="10" t="inlineStr">
        <is>
          <t>Fillers, Naturally</t>
        </is>
      </c>
      <c r="F27" s="10" t="inlineStr">
        <is>
          <t>Image post + boost</t>
        </is>
      </c>
      <c r="G27" s="10" t="inlineStr">
        <is>
          <t>IG feed + Facebook + GBP</t>
        </is>
      </c>
      <c r="H27" s="10" t="inlineStr">
        <is>
          <t>Education</t>
        </is>
      </c>
      <c r="I27" s="10" t="inlineStr">
        <is>
          <t>Filler Dissolves. Here Is the Timeline.</t>
        </is>
      </c>
      <c r="J27" s="10" t="inlineStr">
        <is>
          <t>It is not permanent, and that is a feature.</t>
        </is>
      </c>
      <c r="K27" s="10" t="inlineStr">
        <is>
          <t>Static timeline card, dark template.</t>
        </is>
      </c>
      <c r="L27" s="10" t="inlineStr">
        <is>
          <t>6-12 MONTHS / and reversible in 20 minutes if needed</t>
        </is>
      </c>
      <c r="M27" s="10" t="inlineStr">
        <is>
          <t>Hyaluronic acid filler breaks down. If you hate it, it can be dissolved. Anyone offering something permanent for lips should worry you.</t>
        </is>
      </c>
      <c r="N27" s="10" t="inlineStr">
        <is>
          <t>Save this before you book</t>
        </is>
      </c>
      <c r="O27" s="16" t="inlineStr">
        <is>
          <t>Set A</t>
        </is>
      </c>
      <c r="P27" s="10" t="inlineStr">
        <is>
          <t>Boost $8/day for 4 days.</t>
        </is>
      </c>
      <c r="Q27" s="10" t="inlineStr">
        <is>
          <t>Design timeline card, 4:5</t>
        </is>
      </c>
      <c r="R27" s="10" t="inlineStr">
        <is>
          <t>Repurpose: Oct 19 carousel</t>
        </is>
      </c>
      <c r="S27" s="57" t="n"/>
      <c r="T27" s="57" t="n"/>
      <c r="U27" s="16" t="inlineStr">
        <is>
          <t>Idea</t>
        </is>
      </c>
      <c r="V27" s="54" t="n"/>
      <c r="W27" s="54" t="n"/>
      <c r="X27" s="54" t="n"/>
      <c r="Y27" s="54" t="n"/>
      <c r="Z27" s="54" t="n"/>
      <c r="AA27" s="54" t="n"/>
    </row>
    <row r="28" ht="75" customHeight="1" s="42">
      <c r="A28" s="16" t="n">
        <v>10</v>
      </c>
      <c r="B28" s="9" t="n">
        <v>46321</v>
      </c>
      <c r="C28" s="16" t="inlineStr">
        <is>
          <t>Mon</t>
        </is>
      </c>
      <c r="D28" s="10" t="inlineStr">
        <is>
          <t>Slot 3 - Reel</t>
        </is>
      </c>
      <c r="E28" s="10" t="inlineStr">
        <is>
          <t>Fillers, Naturally</t>
        </is>
      </c>
      <c r="F28" s="10" t="inlineStr">
        <is>
          <t>Reel (video)</t>
        </is>
      </c>
      <c r="G28" s="10" t="inlineStr">
        <is>
          <t>IG Reels + Facebook Reels + TikTok</t>
        </is>
      </c>
      <c r="H28" s="10" t="inlineStr">
        <is>
          <t>Trust &amp; Proof</t>
        </is>
      </c>
      <c r="I28" s="10" t="inlineStr">
        <is>
          <t>Swelling Is Not Your Result</t>
        </is>
      </c>
      <c r="J28" s="10" t="inlineStr">
        <is>
          <t>Day zero is a lie. Here is proof.</t>
        </is>
      </c>
      <c r="K28" s="10" t="inlineStr">
        <is>
          <t>Show the reclined day-0 heavily swollen shot, then the healed one. Voiceover: 'If you had judged it here, you would have panicked.'</t>
        </is>
      </c>
      <c r="L28" s="10" t="inlineStr">
        <is>
          <t>DAY 0 / DAY 14 / do not judge the middle</t>
        </is>
      </c>
      <c r="M28" s="10" t="inlineStr">
        <is>
          <t>This is the photo people screenshot and panic about. Two weeks later it is a completely different lip. Patience is part of the treatment.</t>
        </is>
      </c>
      <c r="N28" s="10" t="inlineStr">
        <is>
          <t>DM if you are in your swelling week</t>
        </is>
      </c>
      <c r="O28" s="16" t="inlineStr">
        <is>
          <t>Set C</t>
        </is>
      </c>
      <c r="P28" s="10" t="inlineStr">
        <is>
          <t>Voiceover, no music.</t>
        </is>
      </c>
      <c r="Q28" s="10" t="inlineStr">
        <is>
          <t>Sequence day-0 and healed stills</t>
        </is>
      </c>
      <c r="R28" s="10" t="inlineStr">
        <is>
          <t>Photo library: img_7715.jpg (day 0) + Pair F healed</t>
        </is>
      </c>
      <c r="S28" s="57" t="n"/>
      <c r="T28" s="57" t="n"/>
      <c r="U28" s="16" t="inlineStr">
        <is>
          <t>Idea</t>
        </is>
      </c>
      <c r="V28" s="54" t="n"/>
      <c r="W28" s="54" t="n"/>
      <c r="X28" s="54" t="n"/>
      <c r="Y28" s="54" t="n"/>
      <c r="Z28" s="54" t="n"/>
      <c r="AA28" s="54" t="n"/>
    </row>
    <row r="29" ht="75" customHeight="1" s="42">
      <c r="A29" s="26" t="n">
        <v>11</v>
      </c>
      <c r="B29" s="27" t="n">
        <v>46323</v>
      </c>
      <c r="C29" s="26" t="inlineStr">
        <is>
          <t>Wed</t>
        </is>
      </c>
      <c r="D29" s="29" t="inlineStr">
        <is>
          <t>Slot 1 - Reel</t>
        </is>
      </c>
      <c r="E29" s="29" t="inlineStr">
        <is>
          <t>Fillers, Naturally</t>
        </is>
      </c>
      <c r="F29" s="29" t="inlineStr">
        <is>
          <t>Reel (video)</t>
        </is>
      </c>
      <c r="G29" s="29" t="inlineStr">
        <is>
          <t>IG Reels + Facebook Reels + TikTok</t>
        </is>
      </c>
      <c r="H29" s="29" t="inlineStr">
        <is>
          <t>Education</t>
        </is>
      </c>
      <c r="I29" s="29" t="inlineStr">
        <is>
          <t>5 Filler Lies in 40 Seconds</t>
        </is>
      </c>
      <c r="J29" s="29" t="inlineStr">
        <is>
          <t>Five things about filler that are simply not true.</t>
        </is>
      </c>
      <c r="K29" s="29" t="inlineStr">
        <is>
          <t>Rapid list to camera. It migrates always / it stretches your skin / more is better / it is permanent / cheap filler is the same product.</t>
        </is>
      </c>
      <c r="L29" s="29" t="inlineStr">
        <is>
          <t>LIE 1 through LIE 5</t>
        </is>
      </c>
      <c r="M29" s="29" t="inlineStr">
        <is>
          <t>Five things I hear every week. The last one is the one that actually costs people money.</t>
        </is>
      </c>
      <c r="N29" s="29" t="inlineStr">
        <is>
          <t>Save and send to whoever needs it</t>
        </is>
      </c>
      <c r="O29" s="26" t="inlineStr">
        <is>
          <t>Set A</t>
        </is>
      </c>
      <c r="P29" s="29" t="inlineStr">
        <is>
          <t>Quick cuts, trending audio low.</t>
        </is>
      </c>
      <c r="Q29" s="29" t="inlineStr">
        <is>
          <t>Film 5-beat list, 40 sec</t>
        </is>
      </c>
      <c r="R29" s="29" t="inlineStr">
        <is>
          <t>Repurpose: Oct 26 carousel</t>
        </is>
      </c>
      <c r="S29" s="57" t="n"/>
      <c r="T29" s="57" t="n"/>
      <c r="U29" s="26" t="inlineStr">
        <is>
          <t>Idea</t>
        </is>
      </c>
      <c r="V29" s="54" t="n"/>
      <c r="W29" s="54" t="n"/>
      <c r="X29" s="54" t="n"/>
      <c r="Y29" s="54" t="n"/>
      <c r="Z29" s="54" t="n"/>
      <c r="AA29" s="54" t="n"/>
    </row>
    <row r="30" ht="75" customHeight="1" s="42">
      <c r="A30" s="26" t="n">
        <v>11</v>
      </c>
      <c r="B30" s="27" t="n">
        <v>46324</v>
      </c>
      <c r="C30" s="26" t="inlineStr">
        <is>
          <t>Thu</t>
        </is>
      </c>
      <c r="D30" s="29" t="inlineStr">
        <is>
          <t>Slot 2 - Image / Ad</t>
        </is>
      </c>
      <c r="E30" s="29" t="inlineStr">
        <is>
          <t>Fillers, Naturally</t>
        </is>
      </c>
      <c r="F30" s="29" t="inlineStr">
        <is>
          <t>Paid ad (static)</t>
        </is>
      </c>
      <c r="G30" s="29" t="inlineStr">
        <is>
          <t>Meta Ads (IG + FB) + GBP</t>
        </is>
      </c>
      <c r="H30" s="29" t="inlineStr">
        <is>
          <t>Trust &amp; Proof</t>
        </is>
      </c>
      <c r="I30" s="29" t="inlineStr">
        <is>
          <t>Before and After: Pair A</t>
        </is>
      </c>
      <c r="J30" s="29" t="inlineStr">
        <is>
          <t>Front-on, honest, nothing retouched.</t>
        </is>
      </c>
      <c r="K30" s="29" t="inlineStr">
        <is>
          <t>Side-by-side ad crop, cropped above the collarbone per the consent note.</t>
        </is>
      </c>
      <c r="L30" s="29" t="inlineStr">
        <is>
          <t>BEFORE / AFTER / one appointment</t>
        </is>
      </c>
      <c r="M30" s="29" t="inlineStr">
        <is>
          <t>Same light, same angle, one appointment apart. Consent on file and cropped as agreed.</t>
        </is>
      </c>
      <c r="N30" s="29" t="inlineStr">
        <is>
          <t>DM to book a consult</t>
        </is>
      </c>
      <c r="O30" s="26" t="inlineStr">
        <is>
          <t>Set C</t>
        </is>
      </c>
      <c r="P30" s="29" t="inlineStr">
        <is>
          <t>Meta ad, $12/day for 5 days, local radius. Check platform policy on before/after before running.</t>
        </is>
      </c>
      <c r="Q30" s="29" t="inlineStr">
        <is>
          <t>Crop and pair img_0221 / img_0233 above the collarbone</t>
        </is>
      </c>
      <c r="R30" s="29" t="inlineStr">
        <is>
          <t>Photo library: Pair A, consent on file</t>
        </is>
      </c>
      <c r="S30" s="57" t="n"/>
      <c r="T30" s="57" t="n"/>
      <c r="U30" s="26" t="inlineStr">
        <is>
          <t>Idea</t>
        </is>
      </c>
      <c r="V30" s="54" t="n"/>
      <c r="W30" s="54" t="n"/>
      <c r="X30" s="54" t="n"/>
      <c r="Y30" s="54" t="n"/>
      <c r="Z30" s="54" t="n"/>
      <c r="AA30" s="54" t="n"/>
    </row>
    <row r="31" ht="75" customHeight="1" s="42">
      <c r="A31" s="26" t="n">
        <v>11</v>
      </c>
      <c r="B31" s="27" t="n">
        <v>46328</v>
      </c>
      <c r="C31" s="26" t="inlineStr">
        <is>
          <t>Mon</t>
        </is>
      </c>
      <c r="D31" s="29" t="inlineStr">
        <is>
          <t>Slot 3 - Reel</t>
        </is>
      </c>
      <c r="E31" s="29" t="inlineStr">
        <is>
          <t>Rested by the Holidays</t>
        </is>
      </c>
      <c r="F31" s="29" t="inlineStr">
        <is>
          <t>Reel (video)</t>
        </is>
      </c>
      <c r="G31" s="29" t="inlineStr">
        <is>
          <t>IG Reels + Facebook Reels + TikTok</t>
        </is>
      </c>
      <c r="H31" s="29" t="inlineStr">
        <is>
          <t>Personality &amp; BTS</t>
        </is>
      </c>
      <c r="I31" s="29" t="inlineStr">
        <is>
          <t>A Day in the Treatment Room</t>
        </is>
      </c>
      <c r="J31" s="29" t="inlineStr">
        <is>
          <t>One client at a time. All day.</t>
        </is>
      </c>
      <c r="K31" s="29" t="inlineStr">
        <is>
          <t>Time-lapse day in the life: room reset between clients, tray builds, notes, last light. Voiceover about why the schedule is deliberately small.</t>
        </is>
      </c>
      <c r="L31" s="29" t="inlineStr">
        <is>
          <t>ONE client in the room / no overlap / no rushing</t>
        </is>
      </c>
      <c r="M31" s="29" t="inlineStr">
        <is>
          <t>The room is reset completely between every client. It is slower and it books fewer people. That is the trade I chose.</t>
        </is>
      </c>
      <c r="N31" s="29" t="inlineStr">
        <is>
          <t>DM to book</t>
        </is>
      </c>
      <c r="O31" s="26" t="inlineStr">
        <is>
          <t>Set D</t>
        </is>
      </c>
      <c r="P31" s="29" t="inlineStr">
        <is>
          <t>Soft instrumental, time-lapse cuts.</t>
        </is>
      </c>
      <c r="Q31" s="29" t="inlineStr">
        <is>
          <t>Film a full clinic day, edit to 45 sec</t>
        </is>
      </c>
      <c r="R31" s="29" t="n"/>
      <c r="S31" s="57" t="n"/>
      <c r="T31" s="57" t="n"/>
      <c r="U31" s="26" t="inlineStr">
        <is>
          <t>Idea</t>
        </is>
      </c>
      <c r="V31" s="54" t="n"/>
      <c r="W31" s="54" t="n"/>
      <c r="X31" s="54" t="n"/>
      <c r="Y31" s="54" t="n"/>
      <c r="Z31" s="54" t="n"/>
      <c r="AA31" s="54" t="n"/>
    </row>
    <row r="32" ht="75" customHeight="1" s="42">
      <c r="A32" s="16" t="n">
        <v>12</v>
      </c>
      <c r="B32" s="9" t="n">
        <v>46330</v>
      </c>
      <c r="C32" s="16" t="inlineStr">
        <is>
          <t>Wed</t>
        </is>
      </c>
      <c r="D32" s="10" t="inlineStr">
        <is>
          <t>Slot 1 - Reel</t>
        </is>
      </c>
      <c r="E32" s="10" t="inlineStr">
        <is>
          <t>Rested by the Holidays</t>
        </is>
      </c>
      <c r="F32" s="10" t="inlineStr">
        <is>
          <t>Reel (video)</t>
        </is>
      </c>
      <c r="G32" s="10" t="inlineStr">
        <is>
          <t>IG Reels + Facebook Reels + TikTok</t>
        </is>
      </c>
      <c r="H32" s="10" t="inlineStr">
        <is>
          <t>Promo &amp; CTA</t>
        </is>
      </c>
      <c r="I32" s="10" t="inlineStr">
        <is>
          <t>Book Now to Glow by December</t>
        </is>
      </c>
      <c r="J32" s="10" t="inlineStr">
        <is>
          <t>If you want to look rested at the party, this is your week.</t>
        </is>
      </c>
      <c r="K32" s="10" t="inlineStr">
        <is>
          <t>Calendar graphic with a countdown. Explain the two-week settle window and the top-up window. End with the last safe booking date.</t>
        </is>
      </c>
      <c r="L32" s="10" t="inlineStr">
        <is>
          <t>TREAT BY / SETTLES BY / PARTY SEASON</t>
        </is>
      </c>
      <c r="M32" s="10" t="inlineStr">
        <is>
          <t>Injectables need two weeks to settle and sometimes a small top-up at week two. Work backwards from your first December event and you land on right now.</t>
        </is>
      </c>
      <c r="N32" s="10" t="inlineStr">
        <is>
          <t>DM HOLIDAY to book</t>
        </is>
      </c>
      <c r="O32" s="16" t="inlineStr">
        <is>
          <t>Set E</t>
        </is>
      </c>
      <c r="P32" s="10" t="inlineStr">
        <is>
          <t>Voiceover over calendar animation.</t>
        </is>
      </c>
      <c r="Q32" s="10" t="inlineStr">
        <is>
          <t>Design countdown calendar + film narration</t>
        </is>
      </c>
      <c r="R32" s="10" t="inlineStr">
        <is>
          <t>Repurpose: Nov 2 Holiday Timeline carousel</t>
        </is>
      </c>
      <c r="S32" s="57" t="n"/>
      <c r="T32" s="57" t="n"/>
      <c r="U32" s="16" t="inlineStr">
        <is>
          <t>Idea</t>
        </is>
      </c>
      <c r="V32" s="54" t="n"/>
      <c r="W32" s="54" t="n"/>
      <c r="X32" s="54" t="n"/>
      <c r="Y32" s="54" t="n"/>
      <c r="Z32" s="54" t="n"/>
      <c r="AA32" s="54" t="n"/>
    </row>
    <row r="33" ht="75" customHeight="1" s="42">
      <c r="A33" s="16" t="n">
        <v>12</v>
      </c>
      <c r="B33" s="9" t="n">
        <v>46331</v>
      </c>
      <c r="C33" s="16" t="inlineStr">
        <is>
          <t>Thu</t>
        </is>
      </c>
      <c r="D33" s="10" t="inlineStr">
        <is>
          <t>Slot 2 - Image / Ad</t>
        </is>
      </c>
      <c r="E33" s="10" t="inlineStr">
        <is>
          <t>Rested by the Holidays</t>
        </is>
      </c>
      <c r="F33" s="10" t="inlineStr">
        <is>
          <t>Paid ad (static)</t>
        </is>
      </c>
      <c r="G33" s="10" t="inlineStr">
        <is>
          <t>Meta Ads (IG + FB) + GBP</t>
        </is>
      </c>
      <c r="H33" s="10" t="inlineStr">
        <is>
          <t>Promo &amp; CTA</t>
        </is>
      </c>
      <c r="I33" s="10" t="inlineStr">
        <is>
          <t>Holiday Booking Timeline</t>
        </is>
      </c>
      <c r="J33" s="10" t="inlineStr">
        <is>
          <t>Work backwards from your first party.</t>
        </is>
      </c>
      <c r="K33" s="10" t="inlineStr">
        <is>
          <t>Static timeline ad, dark template, 1:1 and 4:5 crops.</t>
        </is>
      </c>
      <c r="L33" s="10" t="inlineStr">
        <is>
          <t>BOOK BY [date] TO GLOW BY DECEMBER</t>
        </is>
      </c>
      <c r="M33" s="10" t="inlineStr">
        <is>
          <t>The calendar does the arguing for me. Two weeks to settle, one week of buffer, then party season.</t>
        </is>
      </c>
      <c r="N33" s="10" t="inlineStr">
        <is>
          <t>DM HOLIDAY to book</t>
        </is>
      </c>
      <c r="O33" s="16" t="inlineStr">
        <is>
          <t>Set E</t>
        </is>
      </c>
      <c r="P33" s="10" t="inlineStr">
        <is>
          <t>Meta ad, $15/day for 7 days. Traffic to DM.</t>
        </is>
      </c>
      <c r="Q33" s="10" t="inlineStr">
        <is>
          <t>Design timeline ad, 1:1 + 4:5</t>
        </is>
      </c>
      <c r="R33" s="10" t="n"/>
      <c r="S33" s="57" t="n"/>
      <c r="T33" s="57" t="n"/>
      <c r="U33" s="16" t="inlineStr">
        <is>
          <t>Idea</t>
        </is>
      </c>
      <c r="V33" s="54" t="n"/>
      <c r="W33" s="54" t="n"/>
      <c r="X33" s="54" t="n"/>
      <c r="Y33" s="54" t="n"/>
      <c r="Z33" s="54" t="n"/>
      <c r="AA33" s="54" t="n"/>
    </row>
    <row r="34" ht="75" customHeight="1" s="42">
      <c r="A34" s="16" t="n">
        <v>12</v>
      </c>
      <c r="B34" s="9" t="n">
        <v>46335</v>
      </c>
      <c r="C34" s="16" t="inlineStr">
        <is>
          <t>Mon</t>
        </is>
      </c>
      <c r="D34" s="10" t="inlineStr">
        <is>
          <t>Slot 3 - Reel</t>
        </is>
      </c>
      <c r="E34" s="10" t="inlineStr">
        <is>
          <t>Rested by the Holidays</t>
        </is>
      </c>
      <c r="F34" s="10" t="inlineStr">
        <is>
          <t>Reel (video)</t>
        </is>
      </c>
      <c r="G34" s="10" t="inlineStr">
        <is>
          <t>IG Reels + Facebook Reels + TikTok</t>
        </is>
      </c>
      <c r="H34" s="10" t="inlineStr">
        <is>
          <t>Trust &amp; Proof</t>
        </is>
      </c>
      <c r="I34" s="10" t="inlineStr">
        <is>
          <t>Every Angle, Healed</t>
        </is>
      </c>
      <c r="J34" s="10" t="inlineStr">
        <is>
          <t>Six angles. Nothing hidden.</t>
        </is>
      </c>
      <c r="K34" s="10" t="inlineStr">
        <is>
          <t>Slow rotation through the six healed-result angles. No hook overlay after the first two seconds. Voiceover: 'Most clinics post one angle. Here are six.'</t>
        </is>
      </c>
      <c r="L34" s="10" t="inlineStr">
        <is>
          <t>SIX ANGLES / healed and settled</t>
        </is>
      </c>
      <c r="M34" s="10" t="inlineStr">
        <is>
          <t>One result, photographed from every side once it had fully settled. If a clinic only ever shows you one angle, ask why.</t>
        </is>
      </c>
      <c r="N34" s="10" t="inlineStr">
        <is>
          <t>DM to book</t>
        </is>
      </c>
      <c r="O34" s="16" t="inlineStr">
        <is>
          <t>Set C</t>
        </is>
      </c>
      <c r="P34" s="10" t="inlineStr">
        <is>
          <t>Slow music, cross-dissolves.</t>
        </is>
      </c>
      <c r="Q34" s="10" t="inlineStr">
        <is>
          <t>Tight-crop the six angles and sequence</t>
        </is>
      </c>
      <c r="R34" s="10" t="inlineStr">
        <is>
          <t>Photo library: img_4775 / 4777 / 4778 / 4780 / 4781 / 4782 (Pair G, consent on file)</t>
        </is>
      </c>
      <c r="S34" s="57" t="n"/>
      <c r="T34" s="57" t="n"/>
      <c r="U34" s="16" t="inlineStr">
        <is>
          <t>Idea</t>
        </is>
      </c>
      <c r="V34" s="54" t="n"/>
      <c r="W34" s="54" t="n"/>
      <c r="X34" s="54" t="n"/>
      <c r="Y34" s="54" t="n"/>
      <c r="Z34" s="54" t="n"/>
      <c r="AA34" s="54" t="n"/>
    </row>
    <row r="35" ht="75" customHeight="1" s="42">
      <c r="A35" s="26" t="n">
        <v>13</v>
      </c>
      <c r="B35" s="27" t="n">
        <v>46337</v>
      </c>
      <c r="C35" s="26" t="inlineStr">
        <is>
          <t>Wed</t>
        </is>
      </c>
      <c r="D35" s="29" t="inlineStr">
        <is>
          <t>Slot 1 - Reel</t>
        </is>
      </c>
      <c r="E35" s="29" t="inlineStr">
        <is>
          <t>Rested by the Holidays</t>
        </is>
      </c>
      <c r="F35" s="29" t="inlineStr">
        <is>
          <t>Reel (video)</t>
        </is>
      </c>
      <c r="G35" s="29" t="inlineStr">
        <is>
          <t>IG Reels + Facebook Reels + TikTok</t>
        </is>
      </c>
      <c r="H35" s="29" t="inlineStr">
        <is>
          <t>Promo &amp; CTA</t>
        </is>
      </c>
      <c r="I35" s="29" t="inlineStr">
        <is>
          <t>Gift Certificates Are Live</t>
        </is>
      </c>
      <c r="J35" s="29" t="inlineStr">
        <is>
          <t>Finally, a gift nobody returns.</t>
        </is>
      </c>
      <c r="K35" s="29" t="inlineStr">
        <is>
          <t>Show the physical gift card, the envelope, the handwriting. Voiceover on how it works and that the recipient still gets a full consultation first.</t>
        </is>
      </c>
      <c r="L35" s="29" t="inlineStr">
        <is>
          <t>GIFT CERTIFICATES / any amount / consult always included</t>
        </is>
      </c>
      <c r="M35" s="29" t="inlineStr">
        <is>
          <t>Any amount, and whoever receives it still gets a proper consultation before anything is decided. Nobody gets talked into anything as a gift.</t>
        </is>
      </c>
      <c r="N35" s="29" t="inlineStr">
        <is>
          <t>DM GIFT to order</t>
        </is>
      </c>
      <c r="O35" s="26" t="inlineStr">
        <is>
          <t>Set E</t>
        </is>
      </c>
      <c r="P35" s="29" t="inlineStr">
        <is>
          <t>Warm music, close-up product B-roll.</t>
        </is>
      </c>
      <c r="Q35" s="29" t="inlineStr">
        <is>
          <t>Film gift card B-roll, 30 sec</t>
        </is>
      </c>
      <c r="R35" s="29" t="inlineStr">
        <is>
          <t>Repurpose: Nov 9 Gift of Glow carousel</t>
        </is>
      </c>
      <c r="S35" s="57" t="n"/>
      <c r="T35" s="57" t="n"/>
      <c r="U35" s="26" t="inlineStr">
        <is>
          <t>Idea</t>
        </is>
      </c>
      <c r="V35" s="54" t="n"/>
      <c r="W35" s="54" t="n"/>
      <c r="X35" s="54" t="n"/>
      <c r="Y35" s="54" t="n"/>
      <c r="Z35" s="54" t="n"/>
      <c r="AA35" s="54" t="n"/>
    </row>
    <row r="36" ht="75" customHeight="1" s="42">
      <c r="A36" s="26" t="n">
        <v>13</v>
      </c>
      <c r="B36" s="27" t="n">
        <v>46338</v>
      </c>
      <c r="C36" s="26" t="inlineStr">
        <is>
          <t>Thu</t>
        </is>
      </c>
      <c r="D36" s="29" t="inlineStr">
        <is>
          <t>Slot 2 - Image / Ad</t>
        </is>
      </c>
      <c r="E36" s="29" t="inlineStr">
        <is>
          <t>Rested by the Holidays</t>
        </is>
      </c>
      <c r="F36" s="29" t="inlineStr">
        <is>
          <t>Image post + boost</t>
        </is>
      </c>
      <c r="G36" s="29" t="inlineStr">
        <is>
          <t>IG feed + Facebook + GBP</t>
        </is>
      </c>
      <c r="H36" s="29" t="inlineStr">
        <is>
          <t>Promo &amp; CTA</t>
        </is>
      </c>
      <c r="I36" s="29" t="inlineStr">
        <is>
          <t>Party Season Starts Here</t>
        </is>
      </c>
      <c r="J36" s="29" t="inlineStr">
        <is>
          <t>December is closer than the calendar admits.</t>
        </is>
      </c>
      <c r="K36" s="29" t="inlineStr">
        <is>
          <t>Static promo card, dark template.</t>
        </is>
      </c>
      <c r="L36" s="29" t="inlineStr">
        <is>
          <t>PARTY SEASON / book your December face in November</t>
        </is>
      </c>
      <c r="M36" s="29" t="inlineStr">
        <is>
          <t>November bookings are the ones that look effortless in December. December bookings are the ones that look done.</t>
        </is>
      </c>
      <c r="N36" s="29" t="inlineStr">
        <is>
          <t>DM HOLIDAY to book</t>
        </is>
      </c>
      <c r="O36" s="26" t="inlineStr">
        <is>
          <t>Set E</t>
        </is>
      </c>
      <c r="P36" s="29" t="inlineStr">
        <is>
          <t>Boost $10/day for 5 days.</t>
        </is>
      </c>
      <c r="Q36" s="29" t="inlineStr">
        <is>
          <t>Design promo card, 4:5</t>
        </is>
      </c>
      <c r="R36" s="29" t="inlineStr">
        <is>
          <t>Repurpose: Nov 5 Party Season carousel</t>
        </is>
      </c>
      <c r="S36" s="57" t="n"/>
      <c r="T36" s="57" t="n"/>
      <c r="U36" s="26" t="inlineStr">
        <is>
          <t>Idea</t>
        </is>
      </c>
      <c r="V36" s="54" t="n"/>
      <c r="W36" s="54" t="n"/>
      <c r="X36" s="54" t="n"/>
      <c r="Y36" s="54" t="n"/>
      <c r="Z36" s="54" t="n"/>
      <c r="AA36" s="54" t="n"/>
    </row>
    <row r="37" ht="75" customHeight="1" s="42">
      <c r="A37" s="26" t="n">
        <v>13</v>
      </c>
      <c r="B37" s="27" t="n">
        <v>46342</v>
      </c>
      <c r="C37" s="26" t="inlineStr">
        <is>
          <t>Mon</t>
        </is>
      </c>
      <c r="D37" s="29" t="inlineStr">
        <is>
          <t>Slot 3 - Reel</t>
        </is>
      </c>
      <c r="E37" s="29" t="inlineStr">
        <is>
          <t>Rested by the Holidays</t>
        </is>
      </c>
      <c r="F37" s="29" t="inlineStr">
        <is>
          <t>Reel (video)</t>
        </is>
      </c>
      <c r="G37" s="29" t="inlineStr">
        <is>
          <t>IG Reels + Facebook Reels + TikTok</t>
        </is>
      </c>
      <c r="H37" s="29" t="inlineStr">
        <is>
          <t>Trust &amp; Proof</t>
        </is>
      </c>
      <c r="I37" s="29" t="inlineStr">
        <is>
          <t>Three Months of Honest Injecting</t>
        </is>
      </c>
      <c r="J37" s="29" t="inlineStr">
        <is>
          <t>Ninety days in. Here is what you taught me.</t>
        </is>
      </c>
      <c r="K37" s="29" t="inlineStr">
        <is>
          <t>Talking head retrospective. The three most-asked questions, the thing she changed because of DMs, the post that surprised her. Warm, direct.</t>
        </is>
      </c>
      <c r="L37" s="29" t="inlineStr">
        <is>
          <t>MONTH 1 / MONTH 2 / MONTH 3</t>
        </is>
      </c>
      <c r="M37" s="29" t="inlineStr">
        <is>
          <t>Three months of posting the unglamorous parts. The DMs told me people want the honest version more than the pretty one, so that is what continues.</t>
        </is>
      </c>
      <c r="N37" s="29" t="inlineStr">
        <is>
          <t>Tell me what to cover next</t>
        </is>
      </c>
      <c r="O37" s="26" t="inlineStr">
        <is>
          <t>Set C</t>
        </is>
      </c>
      <c r="P37" s="29" t="inlineStr">
        <is>
          <t>No music, one continuous take.</t>
        </is>
      </c>
      <c r="Q37" s="29" t="inlineStr">
        <is>
          <t>Film 60-sec retrospective</t>
        </is>
      </c>
      <c r="R37" s="29" t="inlineStr">
        <is>
          <t>Repurpose: Nov 12 '3 Months' carousel</t>
        </is>
      </c>
      <c r="S37" s="57" t="n"/>
      <c r="T37" s="57" t="n"/>
      <c r="U37" s="26" t="inlineStr">
        <is>
          <t>Idea</t>
        </is>
      </c>
      <c r="V37" s="54" t="n"/>
      <c r="W37" s="54" t="n"/>
      <c r="X37" s="54" t="n"/>
      <c r="Y37" s="54" t="n"/>
      <c r="Z37" s="54" t="n"/>
      <c r="AA37" s="54" t="n"/>
    </row>
    <row r="38" ht="75" customHeight="1" s="42">
      <c r="A38" s="16" t="n">
        <v>14</v>
      </c>
      <c r="B38" s="9" t="n">
        <v>46344</v>
      </c>
      <c r="C38" s="16" t="inlineStr">
        <is>
          <t>Wed</t>
        </is>
      </c>
      <c r="D38" s="10" t="inlineStr">
        <is>
          <t>Slot 1 - Reel</t>
        </is>
      </c>
      <c r="E38" s="10" t="inlineStr">
        <is>
          <t>Gift Season Opens</t>
        </is>
      </c>
      <c r="F38" s="10" t="inlineStr">
        <is>
          <t>Reel (video)</t>
        </is>
      </c>
      <c r="G38" s="10" t="inlineStr">
        <is>
          <t>IG Reels + Facebook Reels + TikTok</t>
        </is>
      </c>
      <c r="H38" s="10" t="inlineStr">
        <is>
          <t>Promo &amp; CTA</t>
        </is>
      </c>
      <c r="I38" s="10" t="inlineStr">
        <is>
          <t>What to Ask For This Year (That Is Not a Candle)</t>
        </is>
      </c>
      <c r="J38" s="10" t="inlineStr">
        <is>
          <t>Put this on your list instead.</t>
        </is>
      </c>
      <c r="K38" s="10" t="inlineStr">
        <is>
          <t>Light, funny. Hold up a candle, set it aside, hold up the gift certificate. Voiceover on how to actually ask for it without it being awkward.</t>
        </is>
      </c>
      <c r="L38" s="10" t="inlineStr">
        <is>
          <t>NOT A CANDLE / a consultation and a plan</t>
        </is>
      </c>
      <c r="M38" s="10" t="inlineStr">
        <is>
          <t>Send this to whoever asks what you want. Screenshot it. Leave it open on their phone. I do not judge.</t>
        </is>
      </c>
      <c r="N38" s="10" t="inlineStr">
        <is>
          <t>DM GIFT to order</t>
        </is>
      </c>
      <c r="O38" s="16" t="inlineStr">
        <is>
          <t>Set E</t>
        </is>
      </c>
      <c r="P38" s="10" t="inlineStr">
        <is>
          <t>Trending audio, playful edit.</t>
        </is>
      </c>
      <c r="Q38" s="10" t="inlineStr">
        <is>
          <t>Film 20-sec comedy beat</t>
        </is>
      </c>
      <c r="R38" s="10" t="n"/>
      <c r="S38" s="57" t="n"/>
      <c r="T38" s="57" t="n"/>
      <c r="U38" s="16" t="inlineStr">
        <is>
          <t>Idea</t>
        </is>
      </c>
      <c r="V38" s="54" t="n"/>
      <c r="W38" s="54" t="n"/>
      <c r="X38" s="54" t="n"/>
      <c r="Y38" s="54" t="n"/>
      <c r="Z38" s="54" t="n"/>
      <c r="AA38" s="54" t="n"/>
    </row>
    <row r="39" ht="75" customHeight="1" s="42">
      <c r="A39" s="16" t="n">
        <v>14</v>
      </c>
      <c r="B39" s="9" t="n">
        <v>46345</v>
      </c>
      <c r="C39" s="16" t="inlineStr">
        <is>
          <t>Thu</t>
        </is>
      </c>
      <c r="D39" s="10" t="inlineStr">
        <is>
          <t>Slot 2 - Image / Ad</t>
        </is>
      </c>
      <c r="E39" s="10" t="inlineStr">
        <is>
          <t>Gift Season Opens</t>
        </is>
      </c>
      <c r="F39" s="10" t="inlineStr">
        <is>
          <t>Image post + boost</t>
        </is>
      </c>
      <c r="G39" s="10" t="inlineStr">
        <is>
          <t>IG feed + Facebook + GBP</t>
        </is>
      </c>
      <c r="H39" s="10" t="inlineStr">
        <is>
          <t>Promo &amp; CTA</t>
        </is>
      </c>
      <c r="I39" s="10" t="inlineStr">
        <is>
          <t>The Gift Certificate Card</t>
        </is>
      </c>
      <c r="J39" s="10" t="inlineStr">
        <is>
          <t>Any amount. Consultation always included.</t>
        </is>
      </c>
      <c r="K39" s="10" t="inlineStr">
        <is>
          <t>Static product shot of the printed card in its envelope, light template.</t>
        </is>
      </c>
      <c r="L39" s="10" t="inlineStr">
        <is>
          <t>GIFT CERTIFICATES / any amount</t>
        </is>
      </c>
      <c r="M39" s="10" t="inlineStr">
        <is>
          <t>Printed, handwritten, and posted or picked up. Any amount, and a full consultation comes with it.</t>
        </is>
      </c>
      <c r="N39" s="10" t="inlineStr">
        <is>
          <t>DM GIFT to order</t>
        </is>
      </c>
      <c r="O39" s="16" t="inlineStr">
        <is>
          <t>Set E</t>
        </is>
      </c>
      <c r="P39" s="10" t="inlineStr">
        <is>
          <t>Boost $10/day for 5 days.</t>
        </is>
      </c>
      <c r="Q39" s="10" t="inlineStr">
        <is>
          <t>Shoot the card flat-lay, 4:5</t>
        </is>
      </c>
      <c r="R39" s="10" t="n"/>
      <c r="S39" s="57" t="n"/>
      <c r="T39" s="57" t="n"/>
      <c r="U39" s="16" t="inlineStr">
        <is>
          <t>Idea</t>
        </is>
      </c>
      <c r="V39" s="54" t="n"/>
      <c r="W39" s="54" t="n"/>
      <c r="X39" s="54" t="n"/>
      <c r="Y39" s="54" t="n"/>
      <c r="Z39" s="54" t="n"/>
      <c r="AA39" s="54" t="n"/>
    </row>
    <row r="40" ht="75" customHeight="1" s="42">
      <c r="A40" s="16" t="n">
        <v>14</v>
      </c>
      <c r="B40" s="9" t="n">
        <v>46349</v>
      </c>
      <c r="C40" s="16" t="inlineStr">
        <is>
          <t>Mon</t>
        </is>
      </c>
      <c r="D40" s="10" t="inlineStr">
        <is>
          <t>Slot 3 - Reel</t>
        </is>
      </c>
      <c r="E40" s="10" t="inlineStr">
        <is>
          <t>Gift Season Opens</t>
        </is>
      </c>
      <c r="F40" s="10" t="inlineStr">
        <is>
          <t>Reel (video)</t>
        </is>
      </c>
      <c r="G40" s="10" t="inlineStr">
        <is>
          <t>IG Reels + Facebook Reels + TikTok</t>
        </is>
      </c>
      <c r="H40" s="10" t="inlineStr">
        <is>
          <t>Education</t>
        </is>
      </c>
      <c r="I40" s="10" t="inlineStr">
        <is>
          <t>How Late Is Too Late Before an Event</t>
        </is>
      </c>
      <c r="J40" s="10" t="inlineStr">
        <is>
          <t>Your event is in ten days. Should you book?</t>
        </is>
      </c>
      <c r="K40" s="10" t="inlineStr">
        <is>
          <t>Straight answer reel. Neuromodulator: 14 days minimum. Filler: 3-4 weeks minimum. Under ten days: skin only. Say no clearly.</t>
        </is>
      </c>
      <c r="L40" s="10" t="inlineStr">
        <is>
          <t>14 DAYS for relaxer / 3-4 WEEKS for filler / under 10 days = skin only</t>
        </is>
      </c>
      <c r="M40" s="10" t="inlineStr">
        <is>
          <t>I will turn you away if the timing is wrong, and you should want an injector who does. Swollen lips in a wedding photo last longer than the filler does.</t>
        </is>
      </c>
      <c r="N40" s="10" t="inlineStr">
        <is>
          <t>DM your event date and I will tell you honestly</t>
        </is>
      </c>
      <c r="O40" s="16" t="inlineStr">
        <is>
          <t>Set A</t>
        </is>
      </c>
      <c r="P40" s="10" t="inlineStr">
        <is>
          <t>Voiceover, calendar graphic.</t>
        </is>
      </c>
      <c r="Q40" s="10" t="inlineStr">
        <is>
          <t>Design countdown graphic + film narration</t>
        </is>
      </c>
      <c r="R40" s="10" t="inlineStr">
        <is>
          <t>Idea bank: Before your event checklist</t>
        </is>
      </c>
      <c r="S40" s="57" t="n"/>
      <c r="T40" s="57" t="n"/>
      <c r="U40" s="16" t="inlineStr">
        <is>
          <t>Idea</t>
        </is>
      </c>
      <c r="V40" s="54" t="n"/>
      <c r="W40" s="54" t="n"/>
      <c r="X40" s="54" t="n"/>
      <c r="Y40" s="54" t="n"/>
      <c r="Z40" s="54" t="n"/>
      <c r="AA40" s="54" t="n"/>
    </row>
    <row r="41" ht="75" customHeight="1" s="42">
      <c r="A41" s="26" t="n">
        <v>15</v>
      </c>
      <c r="B41" s="27" t="n">
        <v>46351</v>
      </c>
      <c r="C41" s="26" t="inlineStr">
        <is>
          <t>Wed</t>
        </is>
      </c>
      <c r="D41" s="29" t="inlineStr">
        <is>
          <t>Slot 1 - Reel</t>
        </is>
      </c>
      <c r="E41" s="29" t="inlineStr">
        <is>
          <t>Gift Season Opens</t>
        </is>
      </c>
      <c r="F41" s="29" t="inlineStr">
        <is>
          <t>Reel (video)</t>
        </is>
      </c>
      <c r="G41" s="29" t="inlineStr">
        <is>
          <t>IG Reels + Facebook Reels + TikTok</t>
        </is>
      </c>
      <c r="H41" s="29" t="inlineStr">
        <is>
          <t>Promo &amp; CTA</t>
        </is>
      </c>
      <c r="I41" s="29" t="inlineStr">
        <is>
          <t>Black Friday, Done Honestly</t>
        </is>
      </c>
      <c r="J41" s="29" t="inlineStr">
        <is>
          <t>I am not discounting the needle.</t>
        </is>
      </c>
      <c r="K41" s="29" t="inlineStr">
        <is>
          <t>Talking head, firm. Why unit discounts push over-treatment, what is actually on offer instead (gift certificate bonus value), and why that difference matters.</t>
        </is>
      </c>
      <c r="L41" s="29" t="inlineStr">
        <is>
          <t>NO unit discounts / bonus value on gift cards only</t>
        </is>
      </c>
      <c r="M41" s="29" t="inlineStr">
        <is>
          <t>Discounting units encourages people to buy more than their face needs. So the offer is on gift certificates instead. Same value to you, no pressure on the plan.</t>
        </is>
      </c>
      <c r="N41" s="29" t="inlineStr">
        <is>
          <t>DM GIFT for the Black Friday terms</t>
        </is>
      </c>
      <c r="O41" s="26" t="inlineStr">
        <is>
          <t>Set E</t>
        </is>
      </c>
      <c r="P41" s="29" t="inlineStr">
        <is>
          <t>No music, direct to camera.</t>
        </is>
      </c>
      <c r="Q41" s="29" t="inlineStr">
        <is>
          <t>Film 40-sec position piece</t>
        </is>
      </c>
      <c r="R41" s="29" t="n"/>
      <c r="S41" s="57" t="n"/>
      <c r="T41" s="57" t="n"/>
      <c r="U41" s="26" t="inlineStr">
        <is>
          <t>Idea</t>
        </is>
      </c>
      <c r="V41" s="54" t="n"/>
      <c r="W41" s="54" t="n"/>
      <c r="X41" s="54" t="n"/>
      <c r="Y41" s="54" t="n"/>
      <c r="Z41" s="54" t="n"/>
      <c r="AA41" s="54" t="n"/>
    </row>
    <row r="42" ht="75" customHeight="1" s="42">
      <c r="A42" s="26" t="n">
        <v>15</v>
      </c>
      <c r="B42" s="27" t="n">
        <v>46352</v>
      </c>
      <c r="C42" s="26" t="inlineStr">
        <is>
          <t>Thu</t>
        </is>
      </c>
      <c r="D42" s="29" t="inlineStr">
        <is>
          <t>Slot 2 - Image / Ad</t>
        </is>
      </c>
      <c r="E42" s="29" t="inlineStr">
        <is>
          <t>Gift Season Opens</t>
        </is>
      </c>
      <c r="F42" s="29" t="inlineStr">
        <is>
          <t>Paid ad (static)</t>
        </is>
      </c>
      <c r="G42" s="29" t="inlineStr">
        <is>
          <t>Meta Ads (IG + FB) + GBP</t>
        </is>
      </c>
      <c r="H42" s="29" t="inlineStr">
        <is>
          <t>Promo &amp; CTA</t>
        </is>
      </c>
      <c r="I42" s="29" t="inlineStr">
        <is>
          <t>Black Friday Gift Certificate Offer</t>
        </is>
      </c>
      <c r="J42" s="29" t="inlineStr">
        <is>
          <t>Bonus value, not discounted units.</t>
        </is>
      </c>
      <c r="K42" s="29" t="inlineStr">
        <is>
          <t>Static offer ad, dark template, 1:1 and 4:5.</t>
        </is>
      </c>
      <c r="L42" s="29" t="inlineStr">
        <is>
          <t>BLACK FRIDAY / bonus value on every gift certificate</t>
        </is>
      </c>
      <c r="M42" s="29" t="inlineStr">
        <is>
          <t>The one week a year there is an offer, and it is on gift certificates. The treatment plan is never on sale.</t>
        </is>
      </c>
      <c r="N42" s="29" t="inlineStr">
        <is>
          <t>DM GIFT to order</t>
        </is>
      </c>
      <c r="O42" s="26" t="inlineStr">
        <is>
          <t>Set E</t>
        </is>
      </c>
      <c r="P42" s="29" t="inlineStr">
        <is>
          <t>Meta ad, $20/day Nov 27-30. Highest-spend week of the plan.</t>
        </is>
      </c>
      <c r="Q42" s="29" t="inlineStr">
        <is>
          <t>Design offer ad, 1:1 + 4:5</t>
        </is>
      </c>
      <c r="R42" s="29" t="n"/>
      <c r="S42" s="57" t="n"/>
      <c r="T42" s="57" t="n"/>
      <c r="U42" s="26" t="inlineStr">
        <is>
          <t>Idea</t>
        </is>
      </c>
      <c r="V42" s="54" t="n"/>
      <c r="W42" s="54" t="n"/>
      <c r="X42" s="54" t="n"/>
      <c r="Y42" s="54" t="n"/>
      <c r="Z42" s="54" t="n"/>
      <c r="AA42" s="54" t="n"/>
    </row>
    <row r="43" ht="75" customHeight="1" s="42">
      <c r="A43" s="26" t="n">
        <v>15</v>
      </c>
      <c r="B43" s="27" t="n">
        <v>46356</v>
      </c>
      <c r="C43" s="26" t="inlineStr">
        <is>
          <t>Mon</t>
        </is>
      </c>
      <c r="D43" s="29" t="inlineStr">
        <is>
          <t>Slot 3 - Reel</t>
        </is>
      </c>
      <c r="E43" s="29" t="inlineStr">
        <is>
          <t>Gift Season Opens</t>
        </is>
      </c>
      <c r="F43" s="29" t="inlineStr">
        <is>
          <t>Reel (video)</t>
        </is>
      </c>
      <c r="G43" s="29" t="inlineStr">
        <is>
          <t>IG Reels + Facebook Reels + TikTok</t>
        </is>
      </c>
      <c r="H43" s="29" t="inlineStr">
        <is>
          <t>Trust &amp; Proof</t>
        </is>
      </c>
      <c r="I43" s="29" t="inlineStr">
        <is>
          <t>Why the Needle Is Never on Sale</t>
        </is>
      </c>
      <c r="J43" s="29" t="inlineStr">
        <is>
          <t>Cheap injectables are expensive.</t>
        </is>
      </c>
      <c r="K43" s="29" t="inlineStr">
        <is>
          <t>Talking head. What bargain pricing usually means: diluted product, rushed appointments, no complication plan. Reference the red flags carousel.</t>
        </is>
      </c>
      <c r="L43" s="29" t="inlineStr">
        <is>
          <t>CHEAP PRODUCT / RUSHED ROOM / NO PLAN</t>
        </is>
      </c>
      <c r="M43" s="29" t="inlineStr">
        <is>
          <t>When the price is impossible, something is being cut. Usually it is the time somebody should have spent looking at your face.</t>
        </is>
      </c>
      <c r="N43" s="29" t="inlineStr">
        <is>
          <t>Save this before you chase a deal</t>
        </is>
      </c>
      <c r="O43" s="26" t="inlineStr">
        <is>
          <t>Set C</t>
        </is>
      </c>
      <c r="P43" s="29" t="inlineStr">
        <is>
          <t>No music, direct to camera.</t>
        </is>
      </c>
      <c r="Q43" s="29" t="inlineStr">
        <is>
          <t>Film 40-sec piece</t>
        </is>
      </c>
      <c r="R43" s="29" t="inlineStr">
        <is>
          <t>Repurpose: Aug 20 Red Flags carousel</t>
        </is>
      </c>
      <c r="S43" s="57" t="n"/>
      <c r="T43" s="57" t="n"/>
      <c r="U43" s="26" t="inlineStr">
        <is>
          <t>Idea</t>
        </is>
      </c>
      <c r="V43" s="54" t="n"/>
      <c r="W43" s="54" t="n"/>
      <c r="X43" s="54" t="n"/>
      <c r="Y43" s="54" t="n"/>
      <c r="Z43" s="54" t="n"/>
      <c r="AA43" s="54" t="n"/>
    </row>
    <row r="44" ht="75" customHeight="1" s="42">
      <c r="A44" s="16" t="n">
        <v>16</v>
      </c>
      <c r="B44" s="9" t="n">
        <v>46358</v>
      </c>
      <c r="C44" s="16" t="inlineStr">
        <is>
          <t>Wed</t>
        </is>
      </c>
      <c r="D44" s="10" t="inlineStr">
        <is>
          <t>Slot 1 - Reel</t>
        </is>
      </c>
      <c r="E44" s="10" t="inlineStr">
        <is>
          <t>Glow Into the New Year</t>
        </is>
      </c>
      <c r="F44" s="10" t="inlineStr">
        <is>
          <t>Reel (video)</t>
        </is>
      </c>
      <c r="G44" s="10" t="inlineStr">
        <is>
          <t>IG Reels + Facebook Reels + TikTok</t>
        </is>
      </c>
      <c r="H44" s="10" t="inlineStr">
        <is>
          <t>Education</t>
        </is>
      </c>
      <c r="I44" s="10" t="inlineStr">
        <is>
          <t>Your December Face Plan, Week by Week</t>
        </is>
      </c>
      <c r="J44" s="10" t="inlineStr">
        <is>
          <t>Four weeks. Here is the order.</t>
        </is>
      </c>
      <c r="K44" s="10" t="inlineStr">
        <is>
          <t>Calendar graphic, four beats. Week 1 treat, week 2 settle, week 3 top-up if needed, week 4 skin and hydration only.</t>
        </is>
      </c>
      <c r="L44" s="10" t="inlineStr">
        <is>
          <t>W1 TREAT / W2 SETTLE / W3 TOP-UP / W4 SKIN ONLY</t>
        </is>
      </c>
      <c r="M44" s="10" t="inlineStr">
        <is>
          <t>December works if you run it in this order. It falls apart if you try to compress it into the last ten days.</t>
        </is>
      </c>
      <c r="N44" s="10" t="inlineStr">
        <is>
          <t>DM DECEMBER to book</t>
        </is>
      </c>
      <c r="O44" s="16" t="inlineStr">
        <is>
          <t>Set A</t>
        </is>
      </c>
      <c r="P44" s="10" t="inlineStr">
        <is>
          <t>Voiceover over calendar animation.</t>
        </is>
      </c>
      <c r="Q44" s="10" t="inlineStr">
        <is>
          <t>Design 4-week calendar + film narration</t>
        </is>
      </c>
      <c r="R44" s="10" t="n"/>
      <c r="S44" s="57" t="n"/>
      <c r="T44" s="57" t="n"/>
      <c r="U44" s="16" t="inlineStr">
        <is>
          <t>Idea</t>
        </is>
      </c>
      <c r="V44" s="54" t="n"/>
      <c r="W44" s="54" t="n"/>
      <c r="X44" s="54" t="n"/>
      <c r="Y44" s="54" t="n"/>
      <c r="Z44" s="54" t="n"/>
      <c r="AA44" s="54" t="n"/>
    </row>
    <row r="45" ht="75" customHeight="1" s="42">
      <c r="A45" s="16" t="n">
        <v>16</v>
      </c>
      <c r="B45" s="9" t="n">
        <v>46359</v>
      </c>
      <c r="C45" s="16" t="inlineStr">
        <is>
          <t>Thu</t>
        </is>
      </c>
      <c r="D45" s="10" t="inlineStr">
        <is>
          <t>Slot 2 - Image / Ad</t>
        </is>
      </c>
      <c r="E45" s="10" t="inlineStr">
        <is>
          <t>Glow Into the New Year</t>
        </is>
      </c>
      <c r="F45" s="10" t="inlineStr">
        <is>
          <t>Paid ad (static)</t>
        </is>
      </c>
      <c r="G45" s="10" t="inlineStr">
        <is>
          <t>Meta Ads (IG + FB) + GBP</t>
        </is>
      </c>
      <c r="H45" s="10" t="inlineStr">
        <is>
          <t>Promo &amp; CTA</t>
        </is>
      </c>
      <c r="I45" s="10" t="inlineStr">
        <is>
          <t>Last Call for Party-Season Botox</t>
        </is>
      </c>
      <c r="J45" s="10" t="inlineStr">
        <is>
          <t>After this week the maths stops working.</t>
        </is>
      </c>
      <c r="K45" s="10" t="inlineStr">
        <is>
          <t>Static urgency ad, dark template.</t>
        </is>
      </c>
      <c r="L45" s="10" t="inlineStr">
        <is>
          <t>LAST CALL / treat by [date] to settle by NYE</t>
        </is>
      </c>
      <c r="M45" s="10" t="inlineStr">
        <is>
          <t>Two weeks to settle. Count backwards from New Year's Eve and this is the week.</t>
        </is>
      </c>
      <c r="N45" s="10" t="inlineStr">
        <is>
          <t>DM DECEMBER to book</t>
        </is>
      </c>
      <c r="O45" s="16" t="inlineStr">
        <is>
          <t>Set E</t>
        </is>
      </c>
      <c r="P45" s="10" t="inlineStr">
        <is>
          <t>Meta ad, $15/day for 6 days.</t>
        </is>
      </c>
      <c r="Q45" s="10" t="inlineStr">
        <is>
          <t>Design urgency ad, 1:1 + 4:5</t>
        </is>
      </c>
      <c r="R45" s="10" t="n"/>
      <c r="S45" s="57" t="n"/>
      <c r="T45" s="57" t="n"/>
      <c r="U45" s="16" t="inlineStr">
        <is>
          <t>Idea</t>
        </is>
      </c>
      <c r="V45" s="54" t="n"/>
      <c r="W45" s="54" t="n"/>
      <c r="X45" s="54" t="n"/>
      <c r="Y45" s="54" t="n"/>
      <c r="Z45" s="54" t="n"/>
      <c r="AA45" s="54" t="n"/>
    </row>
    <row r="46" ht="75" customHeight="1" s="42">
      <c r="A46" s="16" t="n">
        <v>16</v>
      </c>
      <c r="B46" s="9" t="n">
        <v>46363</v>
      </c>
      <c r="C46" s="16" t="inlineStr">
        <is>
          <t>Mon</t>
        </is>
      </c>
      <c r="D46" s="10" t="inlineStr">
        <is>
          <t>Slot 3 - Reel</t>
        </is>
      </c>
      <c r="E46" s="10" t="inlineStr">
        <is>
          <t>Glow Into the New Year</t>
        </is>
      </c>
      <c r="F46" s="10" t="inlineStr">
        <is>
          <t>Reel (video)</t>
        </is>
      </c>
      <c r="G46" s="10" t="inlineStr">
        <is>
          <t>IG Reels + Facebook Reels + TikTok</t>
        </is>
      </c>
      <c r="H46" s="10" t="inlineStr">
        <is>
          <t>Personality &amp; BTS</t>
        </is>
      </c>
      <c r="I46" s="10" t="inlineStr">
        <is>
          <t>GRWM: A Day of Consults</t>
        </is>
      </c>
      <c r="J46" s="10" t="inlineStr">
        <is>
          <t>Get ready with me for a day of saying no.</t>
        </is>
      </c>
      <c r="K46" s="10" t="inlineStr">
        <is>
          <t>GRWM format. Morning routine, drive, room setup, first client prep. Voiceover about what a consult day actually involves.</t>
        </is>
      </c>
      <c r="L46" s="10" t="inlineStr">
        <is>
          <t>GRWM / injector edition</t>
        </is>
      </c>
      <c r="M46" s="10" t="inlineStr">
        <is>
          <t>A consult day is mostly listening and occasionally telling someone their money is better spent elsewhere. Here is the whole morning.</t>
        </is>
      </c>
      <c r="N46" s="10" t="inlineStr">
        <is>
          <t>DM to book a consult</t>
        </is>
      </c>
      <c r="O46" s="16" t="inlineStr">
        <is>
          <t>Set D</t>
        </is>
      </c>
      <c r="P46" s="10" t="inlineStr">
        <is>
          <t>Trending GRWM audio.</t>
        </is>
      </c>
      <c r="Q46" s="10" t="inlineStr">
        <is>
          <t>Film morning routine + studio setup, edit to 45 sec</t>
        </is>
      </c>
      <c r="R46" s="10" t="inlineStr">
        <is>
          <t>Idea bank: GRWM injector edition</t>
        </is>
      </c>
      <c r="S46" s="57" t="n"/>
      <c r="T46" s="57" t="n"/>
      <c r="U46" s="16" t="inlineStr">
        <is>
          <t>Idea</t>
        </is>
      </c>
      <c r="V46" s="54" t="n"/>
      <c r="W46" s="54" t="n"/>
      <c r="X46" s="54" t="n"/>
      <c r="Y46" s="54" t="n"/>
      <c r="Z46" s="54" t="n"/>
      <c r="AA46" s="54" t="n"/>
    </row>
    <row r="47" ht="75" customHeight="1" s="42">
      <c r="A47" s="26" t="n">
        <v>17</v>
      </c>
      <c r="B47" s="27" t="n">
        <v>46365</v>
      </c>
      <c r="C47" s="26" t="inlineStr">
        <is>
          <t>Wed</t>
        </is>
      </c>
      <c r="D47" s="29" t="inlineStr">
        <is>
          <t>Slot 1 - Reel</t>
        </is>
      </c>
      <c r="E47" s="29" t="inlineStr">
        <is>
          <t>Glow Into the New Year</t>
        </is>
      </c>
      <c r="F47" s="29" t="inlineStr">
        <is>
          <t>Reel (video)</t>
        </is>
      </c>
      <c r="G47" s="29" t="inlineStr">
        <is>
          <t>IG Reels + Facebook Reels + TikTok</t>
        </is>
      </c>
      <c r="H47" s="29" t="inlineStr">
        <is>
          <t>Education</t>
        </is>
      </c>
      <c r="I47" s="29" t="inlineStr">
        <is>
          <t>Skincare Before Injectables: The Right Order</t>
        </is>
      </c>
      <c r="J47" s="29" t="inlineStr">
        <is>
          <t>Do this before you spend a dollar on filler.</t>
        </is>
      </c>
      <c r="K47" s="29" t="inlineStr">
        <is>
          <t>Talking head + product B-roll (unbranded). Sunscreen, retinoid, consistency for 3 months. Explain why texture and tone problems do not respond to filler.</t>
        </is>
      </c>
      <c r="L47" s="29" t="inlineStr">
        <is>
          <t>SPF / RETINOID / 3 MONTHS / then talk injectables</t>
        </is>
      </c>
      <c r="M47" s="29" t="inlineStr">
        <is>
          <t>If your concern is texture, tone or dullness, injectables will not touch it. Fix the skin first. It is cheaper and it makes everything after it look better.</t>
        </is>
      </c>
      <c r="N47" s="29" t="inlineStr">
        <is>
          <t>Save this</t>
        </is>
      </c>
      <c r="O47" s="26" t="inlineStr">
        <is>
          <t>Set A</t>
        </is>
      </c>
      <c r="P47" s="29" t="inlineStr">
        <is>
          <t>Voiceover over product B-roll.</t>
        </is>
      </c>
      <c r="Q47" s="29" t="inlineStr">
        <is>
          <t>Film B-roll + narration</t>
        </is>
      </c>
      <c r="R47" s="29" t="inlineStr">
        <is>
          <t>Idea bank: Skincare before injectables</t>
        </is>
      </c>
      <c r="S47" s="57" t="n"/>
      <c r="T47" s="57" t="n"/>
      <c r="U47" s="26" t="inlineStr">
        <is>
          <t>Idea</t>
        </is>
      </c>
      <c r="V47" s="54" t="n"/>
      <c r="W47" s="54" t="n"/>
      <c r="X47" s="54" t="n"/>
      <c r="Y47" s="54" t="n"/>
      <c r="Z47" s="54" t="n"/>
      <c r="AA47" s="54" t="n"/>
    </row>
    <row r="48" ht="75" customHeight="1" s="42">
      <c r="A48" s="26" t="n">
        <v>17</v>
      </c>
      <c r="B48" s="27" t="n">
        <v>46366</v>
      </c>
      <c r="C48" s="26" t="inlineStr">
        <is>
          <t>Thu</t>
        </is>
      </c>
      <c r="D48" s="29" t="inlineStr">
        <is>
          <t>Slot 2 - Image / Ad</t>
        </is>
      </c>
      <c r="E48" s="29" t="inlineStr">
        <is>
          <t>Glow Into the New Year</t>
        </is>
      </c>
      <c r="F48" s="29" t="inlineStr">
        <is>
          <t>Image post + boost</t>
        </is>
      </c>
      <c r="G48" s="29" t="inlineStr">
        <is>
          <t>IG feed + Facebook + GBP</t>
        </is>
      </c>
      <c r="H48" s="29" t="inlineStr">
        <is>
          <t>Education</t>
        </is>
      </c>
      <c r="I48" s="29" t="inlineStr">
        <is>
          <t>The Week Before Your Event</t>
        </is>
      </c>
      <c r="J48" s="29" t="inlineStr">
        <is>
          <t>Seven days out. Do these, skip those.</t>
        </is>
      </c>
      <c r="K48" s="29" t="inlineStr">
        <is>
          <t>Static checklist card, light template, do/do-not columns.</t>
        </is>
      </c>
      <c r="L48" s="29" t="inlineStr">
        <is>
          <t>7 DAYS OUT / do / do not</t>
        </is>
      </c>
      <c r="M48" s="29" t="inlineStr">
        <is>
          <t>No new treatments, no new products, no fish oil, no last-minute anything. Sleep, water, and the plan you already made.</t>
        </is>
      </c>
      <c r="N48" s="29" t="inlineStr">
        <is>
          <t>Save this for event week</t>
        </is>
      </c>
      <c r="O48" s="26" t="inlineStr">
        <is>
          <t>Set A</t>
        </is>
      </c>
      <c r="P48" s="29" t="inlineStr">
        <is>
          <t>Boost $8/day for 4 days.</t>
        </is>
      </c>
      <c r="Q48" s="29" t="inlineStr">
        <is>
          <t>Design do/do-not card, 4:5</t>
        </is>
      </c>
      <c r="R48" s="29" t="inlineStr">
        <is>
          <t>Idea bank: Before your event checklist</t>
        </is>
      </c>
      <c r="S48" s="57" t="n"/>
      <c r="T48" s="57" t="n"/>
      <c r="U48" s="26" t="inlineStr">
        <is>
          <t>Idea</t>
        </is>
      </c>
      <c r="V48" s="54" t="n"/>
      <c r="W48" s="54" t="n"/>
      <c r="X48" s="54" t="n"/>
      <c r="Y48" s="54" t="n"/>
      <c r="Z48" s="54" t="n"/>
      <c r="AA48" s="54" t="n"/>
    </row>
    <row r="49" ht="75" customHeight="1" s="42">
      <c r="A49" s="26" t="n">
        <v>17</v>
      </c>
      <c r="B49" s="27" t="n">
        <v>46370</v>
      </c>
      <c r="C49" s="26" t="inlineStr">
        <is>
          <t>Mon</t>
        </is>
      </c>
      <c r="D49" s="29" t="inlineStr">
        <is>
          <t>Slot 3 - Reel</t>
        </is>
      </c>
      <c r="E49" s="29" t="inlineStr">
        <is>
          <t>Glow Into the New Year</t>
        </is>
      </c>
      <c r="F49" s="29" t="inlineStr">
        <is>
          <t>Reel (video)</t>
        </is>
      </c>
      <c r="G49" s="29" t="inlineStr">
        <is>
          <t>IG Reels + Facebook Reels + TikTok</t>
        </is>
      </c>
      <c r="H49" s="29" t="inlineStr">
        <is>
          <t>Trust &amp; Proof</t>
        </is>
      </c>
      <c r="I49" s="29" t="inlineStr">
        <is>
          <t>The 3 Questions to Ask Any Injector</t>
        </is>
      </c>
      <c r="J49" s="29" t="inlineStr">
        <is>
          <t>Ask these three before anyone touches your face.</t>
        </is>
      </c>
      <c r="K49" s="29" t="inlineStr">
        <is>
          <t>Direct to camera. Who is injecting and what is their licence? What product and what lot? What happens if something goes wrong, and who do I call at 9pm?</t>
        </is>
      </c>
      <c r="L49" s="29" t="inlineStr">
        <is>
          <t>Q1 licence / Q2 product and lot / Q3 complication plan</t>
        </is>
      </c>
      <c r="M49" s="29" t="inlineStr">
        <is>
          <t>Ask these anywhere, including here. If a clinic gets defensive about any of the three, that is your answer.</t>
        </is>
      </c>
      <c r="N49" s="29" t="inlineStr">
        <is>
          <t>Save this and take it to your next consult</t>
        </is>
      </c>
      <c r="O49" s="26" t="inlineStr">
        <is>
          <t>Set C</t>
        </is>
      </c>
      <c r="P49" s="29" t="inlineStr">
        <is>
          <t>No music, direct to camera.</t>
        </is>
      </c>
      <c r="Q49" s="29" t="inlineStr">
        <is>
          <t>Film 40-sec piece</t>
        </is>
      </c>
      <c r="R49" s="29" t="inlineStr">
        <is>
          <t>Repurpose: Aug 20 Red Flags carousel</t>
        </is>
      </c>
      <c r="S49" s="57" t="n"/>
      <c r="T49" s="57" t="n"/>
      <c r="U49" s="26" t="inlineStr">
        <is>
          <t>Idea</t>
        </is>
      </c>
      <c r="V49" s="54" t="n"/>
      <c r="W49" s="54" t="n"/>
      <c r="X49" s="54" t="n"/>
      <c r="Y49" s="54" t="n"/>
      <c r="Z49" s="54" t="n"/>
      <c r="AA49" s="54" t="n"/>
    </row>
    <row r="50" ht="75" customHeight="1" s="42">
      <c r="A50" s="16" t="n">
        <v>18</v>
      </c>
      <c r="B50" s="9" t="n">
        <v>46372</v>
      </c>
      <c r="C50" s="16" t="inlineStr">
        <is>
          <t>Wed</t>
        </is>
      </c>
      <c r="D50" s="10" t="inlineStr">
        <is>
          <t>Slot 1 - Reel</t>
        </is>
      </c>
      <c r="E50" s="10" t="inlineStr">
        <is>
          <t>Glow Into the New Year</t>
        </is>
      </c>
      <c r="F50" s="10" t="inlineStr">
        <is>
          <t>Reel (video)</t>
        </is>
      </c>
      <c r="G50" s="10" t="inlineStr">
        <is>
          <t>IG Reels + Facebook Reels + TikTok</t>
        </is>
      </c>
      <c r="H50" s="10" t="inlineStr">
        <is>
          <t>Promo &amp; CTA</t>
        </is>
      </c>
      <c r="I50" s="10" t="inlineStr">
        <is>
          <t>Last Day to Order Gift Certificates for Christmas</t>
        </is>
      </c>
      <c r="J50" s="10" t="inlineStr">
        <is>
          <t>After today it will not arrive in time.</t>
        </is>
      </c>
      <c r="K50" s="10" t="inlineStr">
        <is>
          <t>Urgent but warm. Show the card, the envelope, the post box. State the cutoff date clearly twice.</t>
        </is>
      </c>
      <c r="L50" s="10" t="inlineStr">
        <is>
          <t>ORDER BY [date] / pickup available until [date]</t>
        </is>
      </c>
      <c r="M50" s="10" t="inlineStr">
        <is>
          <t>Ordering closes today for anything posted. Pickup stays open a little longer. After that it is a January gift, which is honestly also fine.</t>
        </is>
      </c>
      <c r="N50" s="10" t="inlineStr">
        <is>
          <t>DM GIFT today</t>
        </is>
      </c>
      <c r="O50" s="16" t="inlineStr">
        <is>
          <t>Set E</t>
        </is>
      </c>
      <c r="P50" s="10" t="inlineStr">
        <is>
          <t>Warm music, quick cuts.</t>
        </is>
      </c>
      <c r="Q50" s="10" t="inlineStr">
        <is>
          <t>Film 20-sec urgency piece</t>
        </is>
      </c>
      <c r="R50" s="10" t="n"/>
      <c r="S50" s="57" t="n"/>
      <c r="T50" s="57" t="n"/>
      <c r="U50" s="16" t="inlineStr">
        <is>
          <t>Idea</t>
        </is>
      </c>
      <c r="V50" s="54" t="n"/>
      <c r="W50" s="54" t="n"/>
      <c r="X50" s="54" t="n"/>
      <c r="Y50" s="54" t="n"/>
      <c r="Z50" s="54" t="n"/>
      <c r="AA50" s="54" t="n"/>
    </row>
    <row r="51" ht="75" customHeight="1" s="42">
      <c r="A51" s="16" t="n">
        <v>18</v>
      </c>
      <c r="B51" s="9" t="n">
        <v>46373</v>
      </c>
      <c r="C51" s="16" t="inlineStr">
        <is>
          <t>Thu</t>
        </is>
      </c>
      <c r="D51" s="10" t="inlineStr">
        <is>
          <t>Slot 2 - Image / Ad</t>
        </is>
      </c>
      <c r="E51" s="10" t="inlineStr">
        <is>
          <t>Glow Into the New Year</t>
        </is>
      </c>
      <c r="F51" s="10" t="inlineStr">
        <is>
          <t>Paid ad (static)</t>
        </is>
      </c>
      <c r="G51" s="10" t="inlineStr">
        <is>
          <t>Meta Ads (IG + FB) + GBP</t>
        </is>
      </c>
      <c r="H51" s="10" t="inlineStr">
        <is>
          <t>Promo &amp; CTA</t>
        </is>
      </c>
      <c r="I51" s="10" t="inlineStr">
        <is>
          <t>Last-Minute Gift</t>
        </is>
      </c>
      <c r="J51" s="10" t="inlineStr">
        <is>
          <t>Still nothing for her? Sorted in one message.</t>
        </is>
      </c>
      <c r="K51" s="10" t="inlineStr">
        <is>
          <t>Static ad, warm holiday styling, 1:1 and 4:5.</t>
        </is>
      </c>
      <c r="L51" s="10" t="inlineStr">
        <is>
          <t>LAST-MINUTE / one DM and it is done</t>
        </is>
      </c>
      <c r="M51" s="10" t="inlineStr">
        <is>
          <t>One message, any amount, sent digitally within the hour. You did not forget. You planned it this way.</t>
        </is>
      </c>
      <c r="N51" s="10" t="inlineStr">
        <is>
          <t>DM GIFT to order</t>
        </is>
      </c>
      <c r="O51" s="16" t="inlineStr">
        <is>
          <t>Set E</t>
        </is>
      </c>
      <c r="P51" s="10" t="inlineStr">
        <is>
          <t>Meta ad, $18/day for 5 days. Broaden age range to include partners.</t>
        </is>
      </c>
      <c r="Q51" s="10" t="inlineStr">
        <is>
          <t>Design last-minute ad, 1:1 + 4:5</t>
        </is>
      </c>
      <c r="R51" s="10" t="n"/>
      <c r="S51" s="57" t="n"/>
      <c r="T51" s="57" t="n"/>
      <c r="U51" s="16" t="inlineStr">
        <is>
          <t>Idea</t>
        </is>
      </c>
      <c r="V51" s="54" t="n"/>
      <c r="W51" s="54" t="n"/>
      <c r="X51" s="54" t="n"/>
      <c r="Y51" s="54" t="n"/>
      <c r="Z51" s="54" t="n"/>
      <c r="AA51" s="54" t="n"/>
    </row>
    <row r="52" ht="75" customHeight="1" s="42">
      <c r="A52" s="16" t="n">
        <v>18</v>
      </c>
      <c r="B52" s="9" t="n">
        <v>46377</v>
      </c>
      <c r="C52" s="16" t="inlineStr">
        <is>
          <t>Mon</t>
        </is>
      </c>
      <c r="D52" s="10" t="inlineStr">
        <is>
          <t>Slot 3 - Reel</t>
        </is>
      </c>
      <c r="E52" s="10" t="inlineStr">
        <is>
          <t>Glow Into the New Year</t>
        </is>
      </c>
      <c r="F52" s="10" t="inlineStr">
        <is>
          <t>Reel (video)</t>
        </is>
      </c>
      <c r="G52" s="10" t="inlineStr">
        <is>
          <t>IG Reels + Facebook Reels + TikTok</t>
        </is>
      </c>
      <c r="H52" s="10" t="inlineStr">
        <is>
          <t>Personality &amp; BTS</t>
        </is>
      </c>
      <c r="I52" s="10" t="inlineStr">
        <is>
          <t>The Studio, Dressed for December</t>
        </is>
      </c>
      <c r="J52" s="10" t="inlineStr">
        <is>
          <t>Come see the room.</t>
        </is>
      </c>
      <c r="K52" s="10" t="inlineStr">
        <is>
          <t>Slow room tour, holiday styling, candles, the chair, the tray station. Minimal talking, mostly ambience.</t>
        </is>
      </c>
      <c r="L52" s="10" t="inlineStr">
        <is>
          <t>the room / one client at a time</t>
        </is>
      </c>
      <c r="M52" s="10" t="inlineStr">
        <is>
          <t>Quiet, private, and one person in it at a time. That does not change in December, it just gets better lighting.</t>
        </is>
      </c>
      <c r="N52" s="10" t="inlineStr">
        <is>
          <t>DM to book</t>
        </is>
      </c>
      <c r="O52" s="16" t="inlineStr">
        <is>
          <t>Set D</t>
        </is>
      </c>
      <c r="P52" s="10" t="inlineStr">
        <is>
          <t>Soft holiday instrumental.</t>
        </is>
      </c>
      <c r="Q52" s="10" t="inlineStr">
        <is>
          <t>Film slow room tour, 30 sec</t>
        </is>
      </c>
      <c r="R52" s="10" t="n"/>
      <c r="S52" s="57" t="n"/>
      <c r="T52" s="57" t="n"/>
      <c r="U52" s="16" t="inlineStr">
        <is>
          <t>Idea</t>
        </is>
      </c>
      <c r="V52" s="54" t="n"/>
      <c r="W52" s="54" t="n"/>
      <c r="X52" s="54" t="n"/>
      <c r="Y52" s="54" t="n"/>
      <c r="Z52" s="54" t="n"/>
      <c r="AA52" s="54" t="n"/>
    </row>
    <row r="53" ht="75" customHeight="1" s="42">
      <c r="A53" s="26" t="n">
        <v>19</v>
      </c>
      <c r="B53" s="27" t="n">
        <v>46379</v>
      </c>
      <c r="C53" s="26" t="inlineStr">
        <is>
          <t>Wed</t>
        </is>
      </c>
      <c r="D53" s="29" t="inlineStr">
        <is>
          <t>Slot 1 - Reel</t>
        </is>
      </c>
      <c r="E53" s="29" t="inlineStr">
        <is>
          <t>Glow Into the New Year</t>
        </is>
      </c>
      <c r="F53" s="29" t="inlineStr">
        <is>
          <t>Reel (video)</t>
        </is>
      </c>
      <c r="G53" s="29" t="inlineStr">
        <is>
          <t>IG Reels + Facebook Reels + TikTok</t>
        </is>
      </c>
      <c r="H53" s="29" t="inlineStr">
        <is>
          <t>Personality &amp; BTS</t>
        </is>
      </c>
      <c r="I53" s="29" t="inlineStr">
        <is>
          <t>Holiday Hours and a Thank You</t>
        </is>
      </c>
      <c r="J53" s="29" t="inlineStr">
        <is>
          <t>Closing dates, and something I want to say.</t>
        </is>
      </c>
      <c r="K53" s="29" t="inlineStr">
        <is>
          <t>Talking head. State closing and reopening dates on screen. Then a genuine thank-you to the first-year clients.</t>
        </is>
      </c>
      <c r="L53" s="29" t="inlineStr">
        <is>
          <t>CLOSED [dates] / REOPEN [date]</t>
        </is>
      </c>
      <c r="M53" s="29" t="inlineStr">
        <is>
          <t>The dates are on screen. The rest of this is just a thank you to everyone who trusted a new studio in its first months.</t>
        </is>
      </c>
      <c r="N53" s="29" t="inlineStr">
        <is>
          <t>DM for January availability</t>
        </is>
      </c>
      <c r="O53" s="26" t="inlineStr">
        <is>
          <t>Set D</t>
        </is>
      </c>
      <c r="P53" s="29" t="inlineStr">
        <is>
          <t>No music, one take.</t>
        </is>
      </c>
      <c r="Q53" s="29" t="inlineStr">
        <is>
          <t>Film 30-sec message</t>
        </is>
      </c>
      <c r="R53" s="29" t="n"/>
      <c r="S53" s="57" t="n"/>
      <c r="T53" s="57" t="n"/>
      <c r="U53" s="26" t="inlineStr">
        <is>
          <t>Idea</t>
        </is>
      </c>
      <c r="V53" s="54" t="n"/>
      <c r="W53" s="54" t="n"/>
      <c r="X53" s="54" t="n"/>
      <c r="Y53" s="54" t="n"/>
      <c r="Z53" s="54" t="n"/>
      <c r="AA53" s="54" t="n"/>
    </row>
    <row r="54" ht="75" customHeight="1" s="42">
      <c r="A54" s="26" t="n">
        <v>19</v>
      </c>
      <c r="B54" s="27" t="n">
        <v>46380</v>
      </c>
      <c r="C54" s="26" t="inlineStr">
        <is>
          <t>Thu</t>
        </is>
      </c>
      <c r="D54" s="29" t="inlineStr">
        <is>
          <t>Slot 2 - Image / Ad</t>
        </is>
      </c>
      <c r="E54" s="29" t="inlineStr">
        <is>
          <t>Glow Into the New Year</t>
        </is>
      </c>
      <c r="F54" s="29" t="inlineStr">
        <is>
          <t>Image post</t>
        </is>
      </c>
      <c r="G54" s="29" t="inlineStr">
        <is>
          <t>IG feed + Facebook + GBP</t>
        </is>
      </c>
      <c r="H54" s="29" t="inlineStr">
        <is>
          <t>Personality &amp; BTS</t>
        </is>
      </c>
      <c r="I54" s="29" t="inlineStr">
        <is>
          <t>Merry Christmas from the Studio</t>
        </is>
      </c>
      <c r="J54" s="29" t="inlineStr">
        <is>
          <t>Whatever today looks like for you.</t>
        </is>
      </c>
      <c r="K54" s="29" t="inlineStr">
        <is>
          <t>Simple static card, warm template. No offer, no CTA button.</t>
        </is>
      </c>
      <c r="L54" s="29" t="inlineStr">
        <is>
          <t>Merry Christmas / see you in the new year</t>
        </is>
      </c>
      <c r="M54" s="29" t="inlineStr">
        <is>
          <t>No offer today. Just thank you, and I hope the day is a kind one.</t>
        </is>
      </c>
      <c r="N54" s="29" t="inlineStr">
        <is>
          <t>See you in January</t>
        </is>
      </c>
      <c r="O54" s="26" t="inlineStr">
        <is>
          <t>Set D</t>
        </is>
      </c>
      <c r="P54" s="29" t="inlineStr">
        <is>
          <t>Organic only. Do not boost this one.</t>
        </is>
      </c>
      <c r="Q54" s="29" t="inlineStr">
        <is>
          <t>Design a simple warm card, 4:5</t>
        </is>
      </c>
      <c r="R54" s="29" t="n"/>
      <c r="S54" s="57" t="n"/>
      <c r="T54" s="57" t="n"/>
      <c r="U54" s="26" t="inlineStr">
        <is>
          <t>Idea</t>
        </is>
      </c>
      <c r="V54" s="54" t="n"/>
      <c r="W54" s="54" t="n"/>
      <c r="X54" s="54" t="n"/>
      <c r="Y54" s="54" t="n"/>
      <c r="Z54" s="54" t="n"/>
      <c r="AA54" s="54" t="n"/>
    </row>
    <row r="55" ht="75" customHeight="1" s="42">
      <c r="A55" s="26" t="n">
        <v>19</v>
      </c>
      <c r="B55" s="27" t="n">
        <v>46384</v>
      </c>
      <c r="C55" s="26" t="inlineStr">
        <is>
          <t>Mon</t>
        </is>
      </c>
      <c r="D55" s="29" t="inlineStr">
        <is>
          <t>Slot 3 - Reel</t>
        </is>
      </c>
      <c r="E55" s="29" t="inlineStr">
        <is>
          <t>Glow Into the New Year</t>
        </is>
      </c>
      <c r="F55" s="29" t="inlineStr">
        <is>
          <t>Reel (video)</t>
        </is>
      </c>
      <c r="G55" s="29" t="inlineStr">
        <is>
          <t>IG Reels + Facebook Reels + TikTok</t>
        </is>
      </c>
      <c r="H55" s="29" t="inlineStr">
        <is>
          <t>Education</t>
        </is>
      </c>
      <c r="I55" s="29" t="inlineStr">
        <is>
          <t>The Quietest Week Is the Best Week to Book</t>
        </is>
      </c>
      <c r="J55" s="29" t="inlineStr">
        <is>
          <t>Nobody books between Christmas and New Year. That is the point.</t>
        </is>
      </c>
      <c r="K55" s="29" t="inlineStr">
        <is>
          <t>Talking head. Downtime is invisible this week, the calendar is open, and everything has settled by mid-January.</t>
        </is>
      </c>
      <c r="L55" s="29" t="inlineStr">
        <is>
          <t>SETTLE NOW / look rested by mid-January</t>
        </is>
      </c>
      <c r="M55" s="29" t="inlineStr">
        <is>
          <t>This is the week where a little swelling costs you nothing socially. It is quietly the best booking window of the year.</t>
        </is>
      </c>
      <c r="N55" s="29" t="inlineStr">
        <is>
          <t>DM JANUARY to book</t>
        </is>
      </c>
      <c r="O55" s="26" t="inlineStr">
        <is>
          <t>Set A</t>
        </is>
      </c>
      <c r="P55" s="29" t="inlineStr">
        <is>
          <t>Voiceover, calm.</t>
        </is>
      </c>
      <c r="Q55" s="29" t="inlineStr">
        <is>
          <t>Film 30-sec piece</t>
        </is>
      </c>
      <c r="R55" s="29" t="n"/>
      <c r="S55" s="57" t="n"/>
      <c r="T55" s="57" t="n"/>
      <c r="U55" s="26" t="inlineStr">
        <is>
          <t>Idea</t>
        </is>
      </c>
      <c r="V55" s="54" t="n"/>
      <c r="W55" s="54" t="n"/>
      <c r="X55" s="54" t="n"/>
      <c r="Y55" s="54" t="n"/>
      <c r="Z55" s="54" t="n"/>
      <c r="AA55" s="54" t="n"/>
    </row>
    <row r="56" ht="75" customHeight="1" s="42">
      <c r="A56" s="16" t="n">
        <v>20</v>
      </c>
      <c r="B56" s="9" t="n">
        <v>46386</v>
      </c>
      <c r="C56" s="16" t="inlineStr">
        <is>
          <t>Wed</t>
        </is>
      </c>
      <c r="D56" s="10" t="inlineStr">
        <is>
          <t>Slot 1 - Reel</t>
        </is>
      </c>
      <c r="E56" s="10" t="inlineStr">
        <is>
          <t>Glow Into the New Year</t>
        </is>
      </c>
      <c r="F56" s="10" t="inlineStr">
        <is>
          <t>Reel (video)</t>
        </is>
      </c>
      <c r="G56" s="10" t="inlineStr">
        <is>
          <t>IG Reels + Facebook Reels + TikTok</t>
        </is>
      </c>
      <c r="H56" s="10" t="inlineStr">
        <is>
          <t>Trust &amp; Proof</t>
        </is>
      </c>
      <c r="I56" s="10" t="inlineStr">
        <is>
          <t>2026 in Results</t>
        </is>
      </c>
      <c r="J56" s="10" t="inlineStr">
        <is>
          <t>The year, in thirty seconds.</t>
        </is>
      </c>
      <c r="K56" s="10" t="inlineStr">
        <is>
          <t>Montage of consented healed results with dates. Voiceover naming what stayed constant: one client at a time, honest no's, natural results.</t>
        </is>
      </c>
      <c r="L56" s="10" t="inlineStr">
        <is>
          <t>2026 / one room / one client at a time</t>
        </is>
      </c>
      <c r="M56" s="10" t="inlineStr">
        <is>
          <t>Every face in this is someone who agreed to be here. Thank you for a first year that looked like this.</t>
        </is>
      </c>
      <c r="N56" s="10" t="inlineStr">
        <is>
          <t>DM to book your 2027 consult</t>
        </is>
      </c>
      <c r="O56" s="16" t="inlineStr">
        <is>
          <t>Set C</t>
        </is>
      </c>
      <c r="P56" s="10" t="inlineStr">
        <is>
          <t>Slow music, cross-dissolves.</t>
        </is>
      </c>
      <c r="Q56" s="10" t="inlineStr">
        <is>
          <t>Sequence consented result stills, 30 sec</t>
        </is>
      </c>
      <c r="R56" s="10" t="inlineStr">
        <is>
          <t>Photo library: consented images only, Pairs A, C, F, G</t>
        </is>
      </c>
      <c r="S56" s="57" t="n"/>
      <c r="T56" s="57" t="n"/>
      <c r="U56" s="16" t="inlineStr">
        <is>
          <t>Idea</t>
        </is>
      </c>
      <c r="V56" s="54" t="n"/>
      <c r="W56" s="54" t="n"/>
      <c r="X56" s="54" t="n"/>
      <c r="Y56" s="54" t="n"/>
      <c r="Z56" s="54" t="n"/>
      <c r="AA56" s="54" t="n"/>
    </row>
    <row r="57" ht="75" customHeight="1" s="42">
      <c r="A57" s="16" t="n">
        <v>20</v>
      </c>
      <c r="B57" s="9" t="n">
        <v>46387</v>
      </c>
      <c r="C57" s="16" t="inlineStr">
        <is>
          <t>Thu</t>
        </is>
      </c>
      <c r="D57" s="10" t="inlineStr">
        <is>
          <t>Slot 2 - Image / Ad</t>
        </is>
      </c>
      <c r="E57" s="10" t="inlineStr">
        <is>
          <t>New Year, Real Results</t>
        </is>
      </c>
      <c r="F57" s="10" t="inlineStr">
        <is>
          <t>Image post + boost</t>
        </is>
      </c>
      <c r="G57" s="10" t="inlineStr">
        <is>
          <t>IG feed + Facebook + GBP</t>
        </is>
      </c>
      <c r="H57" s="10" t="inlineStr">
        <is>
          <t>Promo &amp; CTA</t>
        </is>
      </c>
      <c r="I57" s="10" t="inlineStr">
        <is>
          <t>New Year, Same Face. Just Rested.</t>
        </is>
      </c>
      <c r="J57" s="10" t="inlineStr">
        <is>
          <t>No resolutions here.</t>
        </is>
      </c>
      <c r="K57" s="10" t="inlineStr">
        <is>
          <t>Static card, light template.</t>
        </is>
      </c>
      <c r="L57" s="10" t="inlineStr">
        <is>
          <t>NEW YEAR / same face, just rested</t>
        </is>
      </c>
      <c r="M57" s="10" t="inlineStr">
        <is>
          <t>Nothing about you needs fixing in January. If you want to look less tired, that is a different and much smaller conversation.</t>
        </is>
      </c>
      <c r="N57" s="10" t="inlineStr">
        <is>
          <t>DM CONSULT to book</t>
        </is>
      </c>
      <c r="O57" s="16" t="inlineStr">
        <is>
          <t>Set E</t>
        </is>
      </c>
      <c r="P57" s="10" t="inlineStr">
        <is>
          <t>Boost $10/day for 5 days.</t>
        </is>
      </c>
      <c r="Q57" s="10" t="inlineStr">
        <is>
          <t>Design card, 4:5</t>
        </is>
      </c>
      <c r="R57" s="10" t="n"/>
      <c r="S57" s="57" t="n"/>
      <c r="T57" s="57" t="n"/>
      <c r="U57" s="16" t="inlineStr">
        <is>
          <t>Idea</t>
        </is>
      </c>
      <c r="V57" s="54" t="n"/>
      <c r="W57" s="54" t="n"/>
      <c r="X57" s="54" t="n"/>
      <c r="Y57" s="54" t="n"/>
      <c r="Z57" s="54" t="n"/>
      <c r="AA57" s="54" t="n"/>
    </row>
    <row r="58" ht="75" customHeight="1" s="42">
      <c r="A58" s="16" t="n">
        <v>20</v>
      </c>
      <c r="B58" s="9" t="n">
        <v>46391</v>
      </c>
      <c r="C58" s="16" t="inlineStr">
        <is>
          <t>Mon</t>
        </is>
      </c>
      <c r="D58" s="10" t="inlineStr">
        <is>
          <t>Slot 3 - Reel</t>
        </is>
      </c>
      <c r="E58" s="10" t="inlineStr">
        <is>
          <t>New Year, Real Results</t>
        </is>
      </c>
      <c r="F58" s="10" t="inlineStr">
        <is>
          <t>Reel (video)</t>
        </is>
      </c>
      <c r="G58" s="10" t="inlineStr">
        <is>
          <t>IG Reels + Facebook Reels + TikTok</t>
        </is>
      </c>
      <c r="H58" s="10" t="inlineStr">
        <is>
          <t>Education</t>
        </is>
      </c>
      <c r="I58" s="10" t="inlineStr">
        <is>
          <t>New to Injectables? Start Here.</t>
        </is>
      </c>
      <c r="J58" s="10" t="inlineStr">
        <is>
          <t>If you have never done this, watch this first.</t>
        </is>
      </c>
      <c r="K58" s="10" t="inlineStr">
        <is>
          <t>Beginner primer. What a consult is, what a first treatment usually is (small), what it costs in time, and what you can walk away from.</t>
        </is>
      </c>
      <c r="L58" s="10" t="inlineStr">
        <is>
          <t>CONSULT / SMALL FIRST DOSE / REVIEW AT 2 WEEKS</t>
        </is>
      </c>
      <c r="M58" s="10" t="inlineStr">
        <is>
          <t>Nobody sensible starts big. A small first dose and a two-week review is how you find out what your face actually needs.</t>
        </is>
      </c>
      <c r="N58" s="10" t="inlineStr">
        <is>
          <t>DM NEW to book a consult</t>
        </is>
      </c>
      <c r="O58" s="16" t="inlineStr">
        <is>
          <t>Set A</t>
        </is>
      </c>
      <c r="P58" s="10" t="inlineStr">
        <is>
          <t>Calm voiceover.</t>
        </is>
      </c>
      <c r="Q58" s="10" t="inlineStr">
        <is>
          <t>Film 60-sec primer</t>
        </is>
      </c>
      <c r="R58" s="10" t="n"/>
      <c r="S58" s="57" t="n"/>
      <c r="T58" s="57" t="n"/>
      <c r="U58" s="16" t="inlineStr">
        <is>
          <t>Idea</t>
        </is>
      </c>
      <c r="V58" s="54" t="n"/>
      <c r="W58" s="54" t="n"/>
      <c r="X58" s="54" t="n"/>
      <c r="Y58" s="54" t="n"/>
      <c r="Z58" s="54" t="n"/>
      <c r="AA58" s="54" t="n"/>
    </row>
    <row r="59" ht="75" customHeight="1" s="42">
      <c r="A59" s="26" t="n">
        <v>21</v>
      </c>
      <c r="B59" s="27" t="n">
        <v>46393</v>
      </c>
      <c r="C59" s="26" t="inlineStr">
        <is>
          <t>Wed</t>
        </is>
      </c>
      <c r="D59" s="29" t="inlineStr">
        <is>
          <t>Slot 1 - Reel</t>
        </is>
      </c>
      <c r="E59" s="29" t="inlineStr">
        <is>
          <t>New Year, Real Results</t>
        </is>
      </c>
      <c r="F59" s="29" t="inlineStr">
        <is>
          <t>Reel (video)</t>
        </is>
      </c>
      <c r="G59" s="29" t="inlineStr">
        <is>
          <t>IG Reels + Facebook Reels + TikTok</t>
        </is>
      </c>
      <c r="H59" s="29" t="inlineStr">
        <is>
          <t>Education</t>
        </is>
      </c>
      <c r="I59" s="29" t="inlineStr">
        <is>
          <t>January Reset: What Works and What Does Not</t>
        </is>
      </c>
      <c r="J59" s="29" t="inlineStr">
        <is>
          <t>Half of what you are about to buy will not work.</t>
        </is>
      </c>
      <c r="K59" s="29" t="inlineStr">
        <is>
          <t>Fast list. What actually moves the needle (SPF, sleep, retinoid, targeted injectables) vs what does not (gadget devices, collagen drinks, panic buying).</t>
        </is>
      </c>
      <c r="L59" s="29" t="inlineStr">
        <is>
          <t>WORKS / DOES NOT</t>
        </is>
      </c>
      <c r="M59" s="29" t="inlineStr">
        <is>
          <t>January sells a lot of hope. This is the short list of what actually changes a face, and it is boring.</t>
        </is>
      </c>
      <c r="N59" s="29" t="inlineStr">
        <is>
          <t>Save this</t>
        </is>
      </c>
      <c r="O59" s="26" t="inlineStr">
        <is>
          <t>Set A</t>
        </is>
      </c>
      <c r="P59" s="29" t="inlineStr">
        <is>
          <t>Quick cuts, voiceover.</t>
        </is>
      </c>
      <c r="Q59" s="29" t="inlineStr">
        <is>
          <t>Film 45-sec list</t>
        </is>
      </c>
      <c r="R59" s="29" t="n"/>
      <c r="S59" s="57" t="n"/>
      <c r="T59" s="57" t="n"/>
      <c r="U59" s="26" t="inlineStr">
        <is>
          <t>Idea</t>
        </is>
      </c>
      <c r="V59" s="54" t="n"/>
      <c r="W59" s="54" t="n"/>
      <c r="X59" s="54" t="n"/>
      <c r="Y59" s="54" t="n"/>
      <c r="Z59" s="54" t="n"/>
      <c r="AA59" s="54" t="n"/>
    </row>
    <row r="60" ht="75" customHeight="1" s="42">
      <c r="A60" s="26" t="n">
        <v>21</v>
      </c>
      <c r="B60" s="27" t="n">
        <v>46394</v>
      </c>
      <c r="C60" s="26" t="inlineStr">
        <is>
          <t>Thu</t>
        </is>
      </c>
      <c r="D60" s="29" t="inlineStr">
        <is>
          <t>Slot 2 - Image / Ad</t>
        </is>
      </c>
      <c r="E60" s="29" t="inlineStr">
        <is>
          <t>New Year, Real Results</t>
        </is>
      </c>
      <c r="F60" s="29" t="inlineStr">
        <is>
          <t>Paid ad (static)</t>
        </is>
      </c>
      <c r="G60" s="29" t="inlineStr">
        <is>
          <t>Meta Ads (IG + FB) + GBP</t>
        </is>
      </c>
      <c r="H60" s="29" t="inlineStr">
        <is>
          <t>Promo &amp; CTA</t>
        </is>
      </c>
      <c r="I60" s="29" t="inlineStr">
        <is>
          <t>January Consults Are Open</t>
        </is>
      </c>
      <c r="J60" s="29" t="inlineStr">
        <is>
          <t>Free, honest, and you can leave with nothing booked.</t>
        </is>
      </c>
      <c r="K60" s="29" t="inlineStr">
        <is>
          <t>Static ad, light template, 1:1 and 4:5.</t>
        </is>
      </c>
      <c r="L60" s="29" t="inlineStr">
        <is>
          <t>JANUARY CONSULTS OPEN / free / no pressure</t>
        </is>
      </c>
      <c r="M60" s="29" t="inlineStr">
        <is>
          <t>A consultation costs you 45 minutes and nothing else. Come in, get a straight answer, decide later.</t>
        </is>
      </c>
      <c r="N60" s="29" t="inlineStr">
        <is>
          <t>DM CONSULT to book</t>
        </is>
      </c>
      <c r="O60" s="26" t="inlineStr">
        <is>
          <t>Set E</t>
        </is>
      </c>
      <c r="P60" s="29" t="inlineStr">
        <is>
          <t>Meta ad, $15/day for 7 days. Lead objective.</t>
        </is>
      </c>
      <c r="Q60" s="29" t="inlineStr">
        <is>
          <t>Design ad, 1:1 + 4:5</t>
        </is>
      </c>
      <c r="R60" s="29" t="n"/>
      <c r="S60" s="57" t="n"/>
      <c r="T60" s="57" t="n"/>
      <c r="U60" s="26" t="inlineStr">
        <is>
          <t>Idea</t>
        </is>
      </c>
      <c r="V60" s="54" t="n"/>
      <c r="W60" s="54" t="n"/>
      <c r="X60" s="54" t="n"/>
      <c r="Y60" s="54" t="n"/>
      <c r="Z60" s="54" t="n"/>
      <c r="AA60" s="54" t="n"/>
    </row>
    <row r="61" ht="75" customHeight="1" s="42">
      <c r="A61" s="26" t="n">
        <v>21</v>
      </c>
      <c r="B61" s="27" t="n">
        <v>46398</v>
      </c>
      <c r="C61" s="26" t="inlineStr">
        <is>
          <t>Mon</t>
        </is>
      </c>
      <c r="D61" s="29" t="inlineStr">
        <is>
          <t>Slot 3 - Reel</t>
        </is>
      </c>
      <c r="E61" s="29" t="inlineStr">
        <is>
          <t>New Year, Real Results</t>
        </is>
      </c>
      <c r="F61" s="29" t="inlineStr">
        <is>
          <t>Reel (video)</t>
        </is>
      </c>
      <c r="G61" s="29" t="inlineStr">
        <is>
          <t>IG Reels + Facebook Reels + TikTok</t>
        </is>
      </c>
      <c r="H61" s="29" t="inlineStr">
        <is>
          <t>Trust &amp; Proof</t>
        </is>
      </c>
      <c r="I61" s="29" t="inlineStr">
        <is>
          <t>Price Transparency: What It Actually Costs</t>
        </is>
      </c>
      <c r="J61" s="29" t="inlineStr">
        <is>
          <t>Let us talk prices. For real.</t>
        </is>
      </c>
      <c r="K61" s="29" t="inlineStr">
        <is>
          <t>Direct to camera with ranges on screen. Explain why there is no flat price list, then give honest ranges anyway so nobody is guessing.</t>
        </is>
      </c>
      <c r="L61" s="29" t="inlineStr">
        <is>
          <t>RANGES, not a price list / your dose is yours</t>
        </is>
      </c>
      <c r="M61" s="29" t="inlineStr">
        <is>
          <t>I do not post a price list because doses differ from face to face. That is not an excuse to leave you guessing, so here are honest ranges.</t>
        </is>
      </c>
      <c r="N61" s="29" t="inlineStr">
        <is>
          <t>DM for a quote on your plan</t>
        </is>
      </c>
      <c r="O61" s="26" t="inlineStr">
        <is>
          <t>Set C</t>
        </is>
      </c>
      <c r="P61" s="29" t="inlineStr">
        <is>
          <t>No music, direct to camera.</t>
        </is>
      </c>
      <c r="Q61" s="29" t="inlineStr">
        <is>
          <t>Film 60-sec piece with on-screen ranges</t>
        </is>
      </c>
      <c r="R61" s="29" t="inlineStr">
        <is>
          <t>Idea bank: Price transparency (flagged as a strong differentiator)</t>
        </is>
      </c>
      <c r="S61" s="57" t="n"/>
      <c r="T61" s="57" t="n"/>
      <c r="U61" s="26" t="inlineStr">
        <is>
          <t>Idea</t>
        </is>
      </c>
      <c r="V61" s="54" t="n"/>
      <c r="W61" s="54" t="n"/>
      <c r="X61" s="54" t="n"/>
      <c r="Y61" s="54" t="n"/>
      <c r="Z61" s="54" t="n"/>
      <c r="AA61" s="54" t="n"/>
    </row>
    <row r="62" ht="75" customHeight="1" s="42">
      <c r="A62" s="16" t="n">
        <v>22</v>
      </c>
      <c r="B62" s="9" t="n">
        <v>46400</v>
      </c>
      <c r="C62" s="16" t="inlineStr">
        <is>
          <t>Wed</t>
        </is>
      </c>
      <c r="D62" s="10" t="inlineStr">
        <is>
          <t>Slot 1 - Reel</t>
        </is>
      </c>
      <c r="E62" s="10" t="inlineStr">
        <is>
          <t>New Year, Real Results</t>
        </is>
      </c>
      <c r="F62" s="10" t="inlineStr">
        <is>
          <t>Reel (video)</t>
        </is>
      </c>
      <c r="G62" s="10" t="inlineStr">
        <is>
          <t>IG Reels + Facebook Reels + TikTok</t>
        </is>
      </c>
      <c r="H62" s="10" t="inlineStr">
        <is>
          <t>Education</t>
        </is>
      </c>
      <c r="I62" s="10" t="inlineStr">
        <is>
          <t>Men and Botox</t>
        </is>
      </c>
      <c r="J62" s="10" t="inlineStr">
        <is>
          <t>Brotox is not a trend. It is a Tuesday.</t>
        </is>
      </c>
      <c r="K62" s="10" t="inlineStr">
        <is>
          <t>Talking head. Why male dosing is higher, why the goal is different (not smoothing, just softening), and how to keep it undetectable.</t>
        </is>
      </c>
      <c r="L62" s="10" t="inlineStr">
        <is>
          <t>HIGHER DOSE / DIFFERENT GOAL / same discretion</t>
        </is>
      </c>
      <c r="M62" s="10" t="inlineStr">
        <is>
          <t>Men are the fastest-growing group in the chair and almost nobody markets to them honestly. Higher dose, lighter touch, nobody knows.</t>
        </is>
      </c>
      <c r="N62" s="10" t="inlineStr">
        <is>
          <t>DM to ask anything, discreetly</t>
        </is>
      </c>
      <c r="O62" s="16" t="inlineStr">
        <is>
          <t>Set A</t>
        </is>
      </c>
      <c r="P62" s="10" t="inlineStr">
        <is>
          <t>Voiceover, plain styling.</t>
        </is>
      </c>
      <c r="Q62" s="10" t="inlineStr">
        <is>
          <t>Film 40-sec piece</t>
        </is>
      </c>
      <c r="R62" s="10" t="inlineStr">
        <is>
          <t>Idea bank: Men and Botox, untapped audience</t>
        </is>
      </c>
      <c r="S62" s="57" t="n"/>
      <c r="T62" s="57" t="n"/>
      <c r="U62" s="16" t="inlineStr">
        <is>
          <t>Idea</t>
        </is>
      </c>
      <c r="V62" s="54" t="n"/>
      <c r="W62" s="54" t="n"/>
      <c r="X62" s="54" t="n"/>
      <c r="Y62" s="54" t="n"/>
      <c r="Z62" s="54" t="n"/>
      <c r="AA62" s="54" t="n"/>
    </row>
    <row r="63" ht="75" customHeight="1" s="42">
      <c r="A63" s="16" t="n">
        <v>22</v>
      </c>
      <c r="B63" s="9" t="n">
        <v>46401</v>
      </c>
      <c r="C63" s="16" t="inlineStr">
        <is>
          <t>Thu</t>
        </is>
      </c>
      <c r="D63" s="10" t="inlineStr">
        <is>
          <t>Slot 2 - Image / Ad</t>
        </is>
      </c>
      <c r="E63" s="10" t="inlineStr">
        <is>
          <t>New Year, Real Results</t>
        </is>
      </c>
      <c r="F63" s="10" t="inlineStr">
        <is>
          <t>Image post + boost</t>
        </is>
      </c>
      <c r="G63" s="10" t="inlineStr">
        <is>
          <t>IG feed + Facebook + GBP</t>
        </is>
      </c>
      <c r="H63" s="10" t="inlineStr">
        <is>
          <t>Education</t>
        </is>
      </c>
      <c r="I63" s="10" t="inlineStr">
        <is>
          <t>Brotox Is Not a Trend</t>
        </is>
      </c>
      <c r="J63" s="10" t="inlineStr">
        <is>
          <t>It is just Tuesday.</t>
        </is>
      </c>
      <c r="K63" s="10" t="inlineStr">
        <is>
          <t>Static card, dark template, plain type.</t>
        </is>
      </c>
      <c r="L63" s="10" t="inlineStr">
        <is>
          <t>MEN'S TREATMENTS / higher dose, lighter goal</t>
        </is>
      </c>
      <c r="M63" s="10" t="inlineStr">
        <is>
          <t>No special branding, no different room. Same consultation, same honesty, a different dose.</t>
        </is>
      </c>
      <c r="N63" s="10" t="inlineStr">
        <is>
          <t>DM to ask</t>
        </is>
      </c>
      <c r="O63" s="16" t="inlineStr">
        <is>
          <t>Set A</t>
        </is>
      </c>
      <c r="P63" s="10" t="inlineStr">
        <is>
          <t>Boost $10/day for 5 days. Target men 30-55 in the local radius.</t>
        </is>
      </c>
      <c r="Q63" s="10" t="inlineStr">
        <is>
          <t>Design card, 4:5 + 1:1</t>
        </is>
      </c>
      <c r="R63" s="10" t="n"/>
      <c r="S63" s="57" t="n"/>
      <c r="T63" s="57" t="n"/>
      <c r="U63" s="16" t="inlineStr">
        <is>
          <t>Idea</t>
        </is>
      </c>
      <c r="V63" s="54" t="n"/>
      <c r="W63" s="54" t="n"/>
      <c r="X63" s="54" t="n"/>
      <c r="Y63" s="54" t="n"/>
      <c r="Z63" s="54" t="n"/>
      <c r="AA63" s="54" t="n"/>
    </row>
    <row r="64" ht="75" customHeight="1" s="42">
      <c r="A64" s="16" t="n">
        <v>22</v>
      </c>
      <c r="B64" s="9" t="n">
        <v>46405</v>
      </c>
      <c r="C64" s="16" t="inlineStr">
        <is>
          <t>Mon</t>
        </is>
      </c>
      <c r="D64" s="10" t="inlineStr">
        <is>
          <t>Slot 3 - Reel</t>
        </is>
      </c>
      <c r="E64" s="10" t="inlineStr">
        <is>
          <t>New Year, Real Results</t>
        </is>
      </c>
      <c r="F64" s="10" t="inlineStr">
        <is>
          <t>Reel (video)</t>
        </is>
      </c>
      <c r="G64" s="10" t="inlineStr">
        <is>
          <t>IG Reels + Facebook Reels + TikTok</t>
        </is>
      </c>
      <c r="H64" s="10" t="inlineStr">
        <is>
          <t>Trust &amp; Proof</t>
        </is>
      </c>
      <c r="I64" s="10" t="inlineStr">
        <is>
          <t>Under-Eye Filler: The Honest Truth</t>
        </is>
      </c>
      <c r="J64" s="10" t="inlineStr">
        <is>
          <t>The most requested and most misunderstood treatment I do.</t>
        </is>
      </c>
      <c r="K64" s="10" t="inlineStr">
        <is>
          <t>Serious tone. Who is a candidate, who is absolutely not, what goes wrong (festooning, Tyndall), and why she turns most people down for it.</t>
        </is>
      </c>
      <c r="L64" s="10" t="inlineStr">
        <is>
          <t>WHO IT SUITS / WHO IT DOES NOT / what goes wrong</t>
        </is>
      </c>
      <c r="M64" s="10" t="inlineStr">
        <is>
          <t>I turn down more under-eye requests than I accept. When it is wrong it is very visibly wrong and it lasts a long time.</t>
        </is>
      </c>
      <c r="N64" s="10" t="inlineStr">
        <is>
          <t>DM UNDER EYE for an honest assessment</t>
        </is>
      </c>
      <c r="O64" s="16" t="inlineStr">
        <is>
          <t>Set C</t>
        </is>
      </c>
      <c r="P64" s="10" t="inlineStr">
        <is>
          <t>No music, direct to camera.</t>
        </is>
      </c>
      <c r="Q64" s="10" t="inlineStr">
        <is>
          <t>Film 60-sec piece</t>
        </is>
      </c>
      <c r="R64" s="10" t="inlineStr">
        <is>
          <t>Idea bank: Under-eye filler, high search volume</t>
        </is>
      </c>
      <c r="S64" s="57" t="n"/>
      <c r="T64" s="57" t="n"/>
      <c r="U64" s="16" t="inlineStr">
        <is>
          <t>Idea</t>
        </is>
      </c>
      <c r="V64" s="54" t="n"/>
      <c r="W64" s="54" t="n"/>
      <c r="X64" s="54" t="n"/>
      <c r="Y64" s="54" t="n"/>
      <c r="Z64" s="54" t="n"/>
      <c r="AA64" s="54" t="n"/>
    </row>
    <row r="65" ht="75" customHeight="1" s="42">
      <c r="A65" s="26" t="n">
        <v>23</v>
      </c>
      <c r="B65" s="27" t="n">
        <v>46407</v>
      </c>
      <c r="C65" s="26" t="inlineStr">
        <is>
          <t>Wed</t>
        </is>
      </c>
      <c r="D65" s="29" t="inlineStr">
        <is>
          <t>Slot 1 - Reel</t>
        </is>
      </c>
      <c r="E65" s="29" t="inlineStr">
        <is>
          <t>New Year, Real Results</t>
        </is>
      </c>
      <c r="F65" s="29" t="inlineStr">
        <is>
          <t>Reel (video)</t>
        </is>
      </c>
      <c r="G65" s="29" t="inlineStr">
        <is>
          <t>IG Reels + Facebook Reels + TikTok</t>
        </is>
      </c>
      <c r="H65" s="29" t="inlineStr">
        <is>
          <t>Education</t>
        </is>
      </c>
      <c r="I65" s="29" t="inlineStr">
        <is>
          <t>What Filters Did to Beauty Standards</t>
        </is>
      </c>
      <c r="J65" s="29" t="inlineStr">
        <is>
          <t>Your face is not supposed to look like a filter.</t>
        </is>
      </c>
      <c r="K65" s="29" t="inlineStr">
        <is>
          <t>Emotional piece. Show a filtered vs unfiltered still of herself. Talk about clients bringing in filtered photos of their own faces as the goal.</t>
        </is>
      </c>
      <c r="L65" s="29" t="inlineStr">
        <is>
          <t>FILTERED / REAL / one of these is a face</t>
        </is>
      </c>
      <c r="M65" s="29" t="inlineStr">
        <is>
          <t>People bring me filtered photos of themselves and ask to look like that. A filter is not a face. It is a shape no bone structure produces.</t>
        </is>
      </c>
      <c r="N65" s="29" t="inlineStr">
        <is>
          <t>Share this with someone who needs it</t>
        </is>
      </c>
      <c r="O65" s="26" t="inlineStr">
        <is>
          <t>Set A</t>
        </is>
      </c>
      <c r="P65" s="29" t="inlineStr">
        <is>
          <t>Soft music, honest edit.</t>
        </is>
      </c>
      <c r="Q65" s="29" t="inlineStr">
        <is>
          <t>Film 45-sec piece with filter comparison</t>
        </is>
      </c>
      <c r="R65" s="29" t="inlineStr">
        <is>
          <t>Idea bank: What filters did to beauty standards, highly shareable</t>
        </is>
      </c>
      <c r="S65" s="57" t="n"/>
      <c r="T65" s="57" t="n"/>
      <c r="U65" s="26" t="inlineStr">
        <is>
          <t>Idea</t>
        </is>
      </c>
      <c r="V65" s="54" t="n"/>
      <c r="W65" s="54" t="n"/>
      <c r="X65" s="54" t="n"/>
      <c r="Y65" s="54" t="n"/>
      <c r="Z65" s="54" t="n"/>
      <c r="AA65" s="54" t="n"/>
    </row>
    <row r="66" ht="75" customHeight="1" s="42">
      <c r="A66" s="26" t="n">
        <v>23</v>
      </c>
      <c r="B66" s="27" t="n">
        <v>46408</v>
      </c>
      <c r="C66" s="26" t="inlineStr">
        <is>
          <t>Thu</t>
        </is>
      </c>
      <c r="D66" s="29" t="inlineStr">
        <is>
          <t>Slot 2 - Image / Ad</t>
        </is>
      </c>
      <c r="E66" s="29" t="inlineStr">
        <is>
          <t>New Year, Real Results</t>
        </is>
      </c>
      <c r="F66" s="29" t="inlineStr">
        <is>
          <t>Paid ad (static)</t>
        </is>
      </c>
      <c r="G66" s="29" t="inlineStr">
        <is>
          <t>Meta Ads (IG + FB) + GBP</t>
        </is>
      </c>
      <c r="H66" s="29" t="inlineStr">
        <is>
          <t>Promo &amp; CTA</t>
        </is>
      </c>
      <c r="I66" s="29" t="inlineStr">
        <is>
          <t>Retargeting: Book a Consult</t>
        </is>
      </c>
      <c r="J66" s="29" t="inlineStr">
        <is>
          <t>You have been reading for a while.</t>
        </is>
      </c>
      <c r="K66" s="29" t="inlineStr">
        <is>
          <t>Static ad, light template. Retarget viewers of the last 90 days of video and profile visitors.</t>
        </is>
      </c>
      <c r="L66" s="29" t="inlineStr">
        <is>
          <t>STILL THINKING ABOUT IT? / the consult is free</t>
        </is>
      </c>
      <c r="M66" s="29" t="inlineStr">
        <is>
          <t>No pressure and no sales script. Forty-five minutes, an honest answer, and you decide afterwards.</t>
        </is>
      </c>
      <c r="N66" s="29" t="inlineStr">
        <is>
          <t>DM CONSULT to book</t>
        </is>
      </c>
      <c r="O66" s="26" t="inlineStr">
        <is>
          <t>Set E</t>
        </is>
      </c>
      <c r="P66" s="29" t="inlineStr">
        <is>
          <t>Meta ad, $12/day for 7 days. Custom audience: video viewers 75% + profile engagers, last 90 days.</t>
        </is>
      </c>
      <c r="Q66" s="29" t="inlineStr">
        <is>
          <t>Design retargeting ad, 1:1 + 4:5</t>
        </is>
      </c>
      <c r="R66" s="29" t="n"/>
      <c r="S66" s="57" t="n"/>
      <c r="T66" s="57" t="n"/>
      <c r="U66" s="26" t="inlineStr">
        <is>
          <t>Idea</t>
        </is>
      </c>
      <c r="V66" s="54" t="n"/>
      <c r="W66" s="54" t="n"/>
      <c r="X66" s="54" t="n"/>
      <c r="Y66" s="54" t="n"/>
      <c r="Z66" s="54" t="n"/>
      <c r="AA66" s="54" t="n"/>
    </row>
    <row r="67" ht="75" customHeight="1" s="42">
      <c r="A67" s="26" t="n">
        <v>23</v>
      </c>
      <c r="B67" s="27" t="n">
        <v>46412</v>
      </c>
      <c r="C67" s="26" t="inlineStr">
        <is>
          <t>Mon</t>
        </is>
      </c>
      <c r="D67" s="29" t="inlineStr">
        <is>
          <t>Slot 3 - Reel</t>
        </is>
      </c>
      <c r="E67" s="29" t="inlineStr">
        <is>
          <t>New Year, Real Results</t>
        </is>
      </c>
      <c r="F67" s="29" t="inlineStr">
        <is>
          <t>Reel (video)</t>
        </is>
      </c>
      <c r="G67" s="29" t="inlineStr">
        <is>
          <t>IG Reels + Facebook Reels + TikTok</t>
        </is>
      </c>
      <c r="H67" s="29" t="inlineStr">
        <is>
          <t>Trust &amp; Proof</t>
        </is>
      </c>
      <c r="I67" s="29" t="inlineStr">
        <is>
          <t>Three Sessions, One Client</t>
        </is>
      </c>
      <c r="J67" s="29" t="inlineStr">
        <is>
          <t>Watch what six months actually looks like.</t>
        </is>
      </c>
      <c r="K67" s="29" t="inlineStr">
        <is>
          <t>Progress series. Three consented time points with dates on screen. Voiceover on why slow beats dramatic.</t>
        </is>
      </c>
      <c r="L67" s="29" t="inlineStr">
        <is>
          <t>SESSION 1 / SESSION 2 / SESSION 3</t>
        </is>
      </c>
      <c r="M67" s="29" t="inlineStr">
        <is>
          <t>Six months, three appointments, nothing dramatic on any single day. That is what a plan looks like from the outside.</t>
        </is>
      </c>
      <c r="N67" s="29" t="inlineStr">
        <is>
          <t>DM to start your own plan</t>
        </is>
      </c>
      <c r="O67" s="26" t="inlineStr">
        <is>
          <t>Set C</t>
        </is>
      </c>
      <c r="P67" s="29" t="inlineStr">
        <is>
          <t>Slow music, cross-dissolves.</t>
        </is>
      </c>
      <c r="Q67" s="29" t="inlineStr">
        <is>
          <t>Sequence 3 consented time points</t>
        </is>
      </c>
      <c r="R67" s="29" t="inlineStr">
        <is>
          <t>Idea bank: Progress series. NEEDS fresh client consent and photos over time - confirm before filming</t>
        </is>
      </c>
      <c r="S67" s="57" t="n"/>
      <c r="T67" s="57" t="n"/>
      <c r="U67" s="26" t="inlineStr">
        <is>
          <t>Idea</t>
        </is>
      </c>
      <c r="V67" s="54" t="n"/>
      <c r="W67" s="54" t="n"/>
      <c r="X67" s="54" t="n"/>
      <c r="Y67" s="54" t="n"/>
      <c r="Z67" s="54" t="n"/>
      <c r="AA67" s="54" t="n"/>
    </row>
    <row r="68" ht="75" customHeight="1" s="42">
      <c r="A68" s="16" t="n">
        <v>24</v>
      </c>
      <c r="B68" s="9" t="n">
        <v>46414</v>
      </c>
      <c r="C68" s="16" t="inlineStr">
        <is>
          <t>Wed</t>
        </is>
      </c>
      <c r="D68" s="10" t="inlineStr">
        <is>
          <t>Slot 1 - Reel</t>
        </is>
      </c>
      <c r="E68" s="10" t="inlineStr">
        <is>
          <t>New Year, Real Results</t>
        </is>
      </c>
      <c r="F68" s="10" t="inlineStr">
        <is>
          <t>Reel (video)</t>
        </is>
      </c>
      <c r="G68" s="10" t="inlineStr">
        <is>
          <t>IG Reels + Facebook Reels + TikTok</t>
        </is>
      </c>
      <c r="H68" s="10" t="inlineStr">
        <is>
          <t>Personality &amp; BTS</t>
        </is>
      </c>
      <c r="I68" s="10" t="inlineStr">
        <is>
          <t>Ask Me Anything: The January Live, Clipped</t>
        </is>
      </c>
      <c r="J68" s="10" t="inlineStr">
        <is>
          <t>You asked. Here are the three best ones.</t>
        </is>
      </c>
      <c r="K68" s="10" t="inlineStr">
        <is>
          <t>Clip the three strongest answers from the monthly IG Live into one reel with chapter cards.</t>
        </is>
      </c>
      <c r="L68" s="10" t="inlineStr">
        <is>
          <t>LIVE Q&amp;A / Q1 / Q2 / Q3</t>
        </is>
      </c>
      <c r="M68" s="10" t="inlineStr">
        <is>
          <t>Clipped from Monday's live. If your question did not get answered, put it below and it goes in February's.</t>
        </is>
      </c>
      <c r="N68" s="10" t="inlineStr">
        <is>
          <t>Drop your question for next month</t>
        </is>
      </c>
      <c r="O68" s="16" t="inlineStr">
        <is>
          <t>Set D</t>
        </is>
      </c>
      <c r="P68" s="10" t="inlineStr">
        <is>
          <t>Native live audio, chapter cards.</t>
        </is>
      </c>
      <c r="Q68" s="10" t="inlineStr">
        <is>
          <t>Run the IG Live first, then clip 3 answers</t>
        </is>
      </c>
      <c r="R68" s="10" t="inlineStr">
        <is>
          <t>Idea bank: IG Live AMA. Each live produces 3-5 reels</t>
        </is>
      </c>
      <c r="S68" s="57" t="n"/>
      <c r="T68" s="57" t="n"/>
      <c r="U68" s="16" t="inlineStr">
        <is>
          <t>Idea</t>
        </is>
      </c>
      <c r="V68" s="54" t="n"/>
      <c r="W68" s="54" t="n"/>
      <c r="X68" s="54" t="n"/>
      <c r="Y68" s="54" t="n"/>
      <c r="Z68" s="54" t="n"/>
      <c r="AA68" s="54" t="n"/>
    </row>
    <row r="69" ht="75" customHeight="1" s="42">
      <c r="A69" s="16" t="n">
        <v>24</v>
      </c>
      <c r="B69" s="9" t="n">
        <v>46415</v>
      </c>
      <c r="C69" s="16" t="inlineStr">
        <is>
          <t>Thu</t>
        </is>
      </c>
      <c r="D69" s="10" t="inlineStr">
        <is>
          <t>Slot 2 - Image / Ad</t>
        </is>
      </c>
      <c r="E69" s="10" t="inlineStr">
        <is>
          <t>New Year, Real Results</t>
        </is>
      </c>
      <c r="F69" s="10" t="inlineStr">
        <is>
          <t>Image post + boost</t>
        </is>
      </c>
      <c r="G69" s="10" t="inlineStr">
        <is>
          <t>IG feed + Facebook + GBP</t>
        </is>
      </c>
      <c r="H69" s="10" t="inlineStr">
        <is>
          <t>Trust &amp; Proof</t>
        </is>
      </c>
      <c r="I69" s="10" t="inlineStr">
        <is>
          <t>Six Months of Honest Work</t>
        </is>
      </c>
      <c r="J69" s="10" t="inlineStr">
        <is>
          <t>Every result here belongs to someone who said yes.</t>
        </is>
      </c>
      <c r="K69" s="10" t="inlineStr">
        <is>
          <t>Static grid of consented healed results, 3x3, light template.</t>
        </is>
      </c>
      <c r="L69" s="10" t="inlineStr">
        <is>
          <t>SIX MONTHS / every face here consented</t>
        </is>
      </c>
      <c r="M69" s="10" t="inlineStr">
        <is>
          <t>Six months of a one-room studio. Every image posted with permission and nothing retouched beyond colour.</t>
        </is>
      </c>
      <c r="N69" s="10" t="inlineStr">
        <is>
          <t>DM to book</t>
        </is>
      </c>
      <c r="O69" s="16" t="inlineStr">
        <is>
          <t>Set C</t>
        </is>
      </c>
      <c r="P69" s="10" t="inlineStr">
        <is>
          <t>Boost $12/day for 5 days.</t>
        </is>
      </c>
      <c r="Q69" s="10" t="inlineStr">
        <is>
          <t>Build 3x3 consented results grid, 4:5 + 1:1</t>
        </is>
      </c>
      <c r="R69" s="10" t="inlineStr">
        <is>
          <t>Photo library: consented images only</t>
        </is>
      </c>
      <c r="S69" s="57" t="n"/>
      <c r="T69" s="57" t="n"/>
      <c r="U69" s="16" t="inlineStr">
        <is>
          <t>Idea</t>
        </is>
      </c>
      <c r="V69" s="54" t="n"/>
      <c r="W69" s="54" t="n"/>
      <c r="X69" s="54" t="n"/>
      <c r="Y69" s="54" t="n"/>
      <c r="Z69" s="54" t="n"/>
      <c r="AA69" s="54" t="n"/>
    </row>
    <row r="70" ht="75" customHeight="1" s="42">
      <c r="A70" s="16" t="n">
        <v>24</v>
      </c>
      <c r="B70" s="9" t="n">
        <v>46419</v>
      </c>
      <c r="C70" s="16" t="inlineStr">
        <is>
          <t>Mon</t>
        </is>
      </c>
      <c r="D70" s="10" t="inlineStr">
        <is>
          <t>Slot 3 - Reel</t>
        </is>
      </c>
      <c r="E70" s="10" t="inlineStr">
        <is>
          <t>New Year, Real Results</t>
        </is>
      </c>
      <c r="F70" s="10" t="inlineStr">
        <is>
          <t>Reel (video)</t>
        </is>
      </c>
      <c r="G70" s="10" t="inlineStr">
        <is>
          <t>IG Reels + Facebook Reels + TikTok</t>
        </is>
      </c>
      <c r="H70" s="10" t="inlineStr">
        <is>
          <t>Promo &amp; CTA</t>
        </is>
      </c>
      <c r="I70" s="10" t="inlineStr">
        <is>
          <t>Month 6: What Is Next</t>
        </is>
      </c>
      <c r="J70" s="10" t="inlineStr">
        <is>
          <t>Six months in. Here is what changes.</t>
        </is>
      </c>
      <c r="K70" s="10" t="inlineStr">
        <is>
          <t>Talking head. What the next six months add (new treatments, booking page launch, referral programme), and a direct ask to book.</t>
        </is>
      </c>
      <c r="L70" s="10" t="inlineStr">
        <is>
          <t>MONTH 6 / what is next</t>
        </is>
      </c>
      <c r="M70" s="10" t="inlineStr">
        <is>
          <t>Six months of posting the honest version. Next up: a proper booking page so you stop having to DM me at midnight.</t>
        </is>
      </c>
      <c r="N70" s="10" t="inlineStr">
        <is>
          <t>DM to book, or use the link in bio</t>
        </is>
      </c>
      <c r="O70" s="16" t="inlineStr">
        <is>
          <t>Set E</t>
        </is>
      </c>
      <c r="P70" s="10" t="inlineStr">
        <is>
          <t>No music, one take.</t>
        </is>
      </c>
      <c r="Q70" s="10" t="inlineStr">
        <is>
          <t>Film 45-sec forward-look</t>
        </is>
      </c>
      <c r="R70" s="10" t="inlineStr">
        <is>
          <t>Swap every DM CTA to the booking link once the page is live</t>
        </is>
      </c>
      <c r="S70" s="57" t="n"/>
      <c r="T70" s="57" t="n"/>
      <c r="U70" s="16" t="inlineStr">
        <is>
          <t>Idea</t>
        </is>
      </c>
      <c r="V70" s="54" t="n"/>
      <c r="W70" s="54" t="n"/>
      <c r="X70" s="54" t="n"/>
      <c r="Y70" s="54" t="n"/>
      <c r="Z70" s="54" t="n"/>
      <c r="AA70" s="54" t="n"/>
    </row>
    <row r="71" ht="15.75" customHeight="1" s="42">
      <c r="A71" s="2" t="n"/>
      <c r="B71" s="2" t="n"/>
      <c r="C71" s="2" t="n"/>
      <c r="D71" s="2" t="n"/>
      <c r="E71" s="2" t="n"/>
      <c r="F71" s="2" t="n"/>
      <c r="G71" s="2" t="n"/>
      <c r="H71" s="2" t="n"/>
      <c r="I71" s="2" t="n"/>
      <c r="J71" s="2" t="n"/>
      <c r="K71" s="2" t="n"/>
      <c r="L71" s="2" t="n"/>
      <c r="M71" s="2" t="n"/>
      <c r="N71" s="2" t="n"/>
      <c r="O71" s="2" t="n"/>
      <c r="P71" s="2" t="n"/>
      <c r="Q71" s="2" t="n"/>
      <c r="R71" s="2" t="n"/>
      <c r="S71" s="56" t="n"/>
      <c r="T71" s="56" t="n"/>
      <c r="U71" s="56" t="n"/>
      <c r="V71" s="56" t="n"/>
      <c r="W71" s="56" t="n"/>
      <c r="X71" s="56" t="n"/>
      <c r="Y71" s="56" t="n"/>
      <c r="Z71" s="56" t="n"/>
      <c r="AA71" s="56" t="n"/>
    </row>
    <row r="72" ht="15.75" customHeight="1" s="42">
      <c r="A72" s="2" t="n"/>
      <c r="B72" s="2" t="n"/>
      <c r="C72" s="2" t="n"/>
      <c r="D72" s="2" t="n"/>
      <c r="E72" s="2" t="n"/>
      <c r="F72" s="2" t="n"/>
      <c r="G72" s="2" t="n"/>
      <c r="H72" s="2" t="n"/>
      <c r="I72" s="2" t="n"/>
      <c r="J72" s="2" t="n"/>
      <c r="K72" s="2" t="n"/>
      <c r="L72" s="2" t="n"/>
      <c r="M72" s="2" t="n"/>
      <c r="N72" s="2" t="n"/>
      <c r="O72" s="2" t="n"/>
      <c r="P72" s="2" t="n"/>
      <c r="Q72" s="2" t="n"/>
      <c r="R72" s="2" t="n"/>
      <c r="S72" s="56" t="n"/>
      <c r="T72" s="56" t="n"/>
      <c r="U72" s="56" t="n"/>
      <c r="V72" s="56" t="n"/>
      <c r="W72" s="56" t="n"/>
      <c r="X72" s="56" t="n"/>
      <c r="Y72" s="56" t="n"/>
      <c r="Z72" s="56" t="n"/>
      <c r="AA72" s="56" t="n"/>
    </row>
    <row r="73" ht="15.75" customHeight="1" s="42">
      <c r="A73" s="2" t="n"/>
      <c r="B73" s="2" t="n"/>
      <c r="C73" s="2" t="n"/>
      <c r="D73" s="2" t="n"/>
      <c r="E73" s="2" t="n"/>
      <c r="F73" s="2" t="n"/>
      <c r="G73" s="2" t="n"/>
      <c r="H73" s="2" t="n"/>
      <c r="I73" s="2" t="n"/>
      <c r="J73" s="2" t="n"/>
      <c r="K73" s="2" t="n"/>
      <c r="L73" s="2" t="n"/>
      <c r="M73" s="2" t="n"/>
      <c r="N73" s="2" t="n"/>
      <c r="O73" s="2" t="n"/>
      <c r="P73" s="2" t="n"/>
      <c r="Q73" s="2" t="n"/>
      <c r="R73" s="2" t="n"/>
      <c r="S73" s="56" t="n"/>
      <c r="T73" s="56" t="n"/>
      <c r="U73" s="56" t="n"/>
      <c r="V73" s="56" t="n"/>
      <c r="W73" s="56" t="n"/>
      <c r="X73" s="56" t="n"/>
      <c r="Y73" s="56" t="n"/>
      <c r="Z73" s="56" t="n"/>
      <c r="AA73" s="56" t="n"/>
    </row>
    <row r="74" ht="15.75" customHeight="1" s="42">
      <c r="A74" s="2" t="n"/>
      <c r="B74" s="2" t="n"/>
      <c r="C74" s="2" t="n"/>
      <c r="D74" s="2" t="n"/>
      <c r="E74" s="2" t="n"/>
      <c r="F74" s="2" t="n"/>
      <c r="G74" s="2" t="n"/>
      <c r="H74" s="2" t="n"/>
      <c r="I74" s="2" t="n"/>
      <c r="J74" s="2" t="n"/>
      <c r="K74" s="2" t="n"/>
      <c r="L74" s="2" t="n"/>
      <c r="M74" s="2" t="n"/>
      <c r="N74" s="2" t="n"/>
      <c r="O74" s="2" t="n"/>
      <c r="P74" s="2" t="n"/>
      <c r="Q74" s="2" t="n"/>
      <c r="R74" s="2" t="n"/>
      <c r="S74" s="56" t="n"/>
      <c r="T74" s="56" t="n"/>
      <c r="U74" s="56" t="n"/>
      <c r="V74" s="56" t="n"/>
      <c r="W74" s="56" t="n"/>
      <c r="X74" s="56" t="n"/>
      <c r="Y74" s="56" t="n"/>
      <c r="Z74" s="56" t="n"/>
      <c r="AA74" s="56" t="n"/>
    </row>
    <row r="75" ht="15.75" customHeight="1" s="42">
      <c r="A75" s="2" t="n"/>
      <c r="B75" s="2" t="n"/>
      <c r="C75" s="2" t="n"/>
      <c r="D75" s="2" t="n"/>
      <c r="E75" s="2" t="n"/>
      <c r="F75" s="2" t="n"/>
      <c r="G75" s="2" t="n"/>
      <c r="H75" s="2" t="n"/>
      <c r="I75" s="2" t="n"/>
      <c r="J75" s="2" t="n"/>
      <c r="K75" s="2" t="n"/>
      <c r="L75" s="2" t="n"/>
      <c r="M75" s="2" t="n"/>
      <c r="N75" s="2" t="n"/>
      <c r="O75" s="2" t="n"/>
      <c r="P75" s="2" t="n"/>
      <c r="Q75" s="2" t="n"/>
      <c r="R75" s="2" t="n"/>
      <c r="S75" s="56" t="n"/>
      <c r="T75" s="56" t="n"/>
      <c r="U75" s="56" t="n"/>
      <c r="V75" s="56" t="n"/>
      <c r="W75" s="56" t="n"/>
      <c r="X75" s="56" t="n"/>
      <c r="Y75" s="56" t="n"/>
      <c r="Z75" s="56" t="n"/>
      <c r="AA75" s="56" t="n"/>
    </row>
    <row r="76" ht="15.75" customHeight="1" s="42">
      <c r="A76" s="2" t="n"/>
      <c r="B76" s="2" t="n"/>
      <c r="C76" s="2" t="n"/>
      <c r="D76" s="2" t="n"/>
      <c r="E76" s="2" t="n"/>
      <c r="F76" s="2" t="n"/>
      <c r="G76" s="2" t="n"/>
      <c r="H76" s="2" t="n"/>
      <c r="I76" s="2" t="n"/>
      <c r="J76" s="2" t="n"/>
      <c r="K76" s="2" t="n"/>
      <c r="L76" s="2" t="n"/>
      <c r="M76" s="2" t="n"/>
      <c r="N76" s="2" t="n"/>
      <c r="O76" s="2" t="n"/>
      <c r="P76" s="2" t="n"/>
      <c r="Q76" s="2" t="n"/>
      <c r="R76" s="2" t="n"/>
      <c r="S76" s="56" t="n"/>
      <c r="T76" s="56" t="n"/>
      <c r="U76" s="56" t="n"/>
      <c r="V76" s="56" t="n"/>
      <c r="W76" s="56" t="n"/>
      <c r="X76" s="56" t="n"/>
      <c r="Y76" s="56" t="n"/>
      <c r="Z76" s="56" t="n"/>
      <c r="AA76" s="56" t="n"/>
    </row>
    <row r="77" ht="15.75" customHeight="1" s="42">
      <c r="A77" s="2" t="n"/>
      <c r="B77" s="2" t="n"/>
      <c r="C77" s="2" t="n"/>
      <c r="D77" s="2" t="n"/>
      <c r="E77" s="2" t="n"/>
      <c r="F77" s="2" t="n"/>
      <c r="G77" s="2" t="n"/>
      <c r="H77" s="2" t="n"/>
      <c r="I77" s="2" t="n"/>
      <c r="J77" s="2" t="n"/>
      <c r="K77" s="2" t="n"/>
      <c r="L77" s="2" t="n"/>
      <c r="M77" s="2" t="n"/>
      <c r="N77" s="2" t="n"/>
      <c r="O77" s="2" t="n"/>
      <c r="P77" s="2" t="n"/>
      <c r="Q77" s="2" t="n"/>
      <c r="R77" s="2" t="n"/>
      <c r="S77" s="56" t="n"/>
      <c r="T77" s="56" t="n"/>
      <c r="U77" s="56" t="n"/>
      <c r="V77" s="56" t="n"/>
      <c r="W77" s="56" t="n"/>
      <c r="X77" s="56" t="n"/>
      <c r="Y77" s="56" t="n"/>
      <c r="Z77" s="56" t="n"/>
      <c r="AA77" s="56" t="n"/>
    </row>
    <row r="78" ht="15.75" customHeight="1" s="42">
      <c r="A78" s="2" t="n"/>
      <c r="B78" s="2" t="n"/>
      <c r="C78" s="2" t="n"/>
      <c r="D78" s="2" t="n"/>
      <c r="E78" s="2" t="n"/>
      <c r="F78" s="2" t="n"/>
      <c r="G78" s="2" t="n"/>
      <c r="H78" s="2" t="n"/>
      <c r="I78" s="2" t="n"/>
      <c r="J78" s="2" t="n"/>
      <c r="K78" s="2" t="n"/>
      <c r="L78" s="2" t="n"/>
      <c r="M78" s="2" t="n"/>
      <c r="N78" s="2" t="n"/>
      <c r="O78" s="2" t="n"/>
      <c r="P78" s="2" t="n"/>
      <c r="Q78" s="2" t="n"/>
      <c r="R78" s="2" t="n"/>
      <c r="S78" s="56" t="n"/>
      <c r="T78" s="56" t="n"/>
      <c r="U78" s="56" t="n"/>
      <c r="V78" s="56" t="n"/>
      <c r="W78" s="56" t="n"/>
      <c r="X78" s="56" t="n"/>
      <c r="Y78" s="56" t="n"/>
      <c r="Z78" s="56" t="n"/>
      <c r="AA78" s="56" t="n"/>
    </row>
    <row r="79" ht="15.75" customHeight="1" s="42">
      <c r="A79" s="2" t="n"/>
      <c r="B79" s="2" t="n"/>
      <c r="C79" s="2" t="n"/>
      <c r="D79" s="2" t="n"/>
      <c r="E79" s="2" t="n"/>
      <c r="F79" s="2" t="n"/>
      <c r="G79" s="2" t="n"/>
      <c r="H79" s="2" t="n"/>
      <c r="I79" s="2" t="n"/>
      <c r="J79" s="2" t="n"/>
      <c r="K79" s="2" t="n"/>
      <c r="L79" s="2" t="n"/>
      <c r="M79" s="2" t="n"/>
      <c r="N79" s="2" t="n"/>
      <c r="O79" s="2" t="n"/>
      <c r="P79" s="2" t="n"/>
      <c r="Q79" s="2" t="n"/>
      <c r="R79" s="2" t="n"/>
      <c r="S79" s="56" t="n"/>
      <c r="T79" s="56" t="n"/>
      <c r="U79" s="56" t="n"/>
      <c r="V79" s="56" t="n"/>
      <c r="W79" s="56" t="n"/>
      <c r="X79" s="56" t="n"/>
      <c r="Y79" s="56" t="n"/>
      <c r="Z79" s="56" t="n"/>
      <c r="AA79" s="56" t="n"/>
    </row>
    <row r="80" ht="15.75" customHeight="1" s="42">
      <c r="A80" s="2" t="n"/>
      <c r="B80" s="2" t="n"/>
      <c r="C80" s="2" t="n"/>
      <c r="D80" s="2" t="n"/>
      <c r="E80" s="2" t="n"/>
      <c r="F80" s="2" t="n"/>
      <c r="G80" s="2" t="n"/>
      <c r="H80" s="2" t="n"/>
      <c r="I80" s="2" t="n"/>
      <c r="J80" s="2" t="n"/>
      <c r="K80" s="2" t="n"/>
      <c r="L80" s="2" t="n"/>
      <c r="M80" s="2" t="n"/>
      <c r="N80" s="2" t="n"/>
      <c r="O80" s="2" t="n"/>
      <c r="P80" s="2" t="n"/>
      <c r="Q80" s="2" t="n"/>
      <c r="R80" s="2" t="n"/>
      <c r="S80" s="56" t="n"/>
      <c r="T80" s="56" t="n"/>
      <c r="U80" s="56" t="n"/>
      <c r="V80" s="56" t="n"/>
      <c r="W80" s="56" t="n"/>
      <c r="X80" s="56" t="n"/>
      <c r="Y80" s="56" t="n"/>
      <c r="Z80" s="56" t="n"/>
      <c r="AA80" s="56" t="n"/>
    </row>
    <row r="81" ht="15.75" customHeight="1" s="42">
      <c r="A81" s="2" t="n"/>
      <c r="B81" s="2" t="n"/>
      <c r="C81" s="2" t="n"/>
      <c r="D81" s="2" t="n"/>
      <c r="E81" s="2" t="n"/>
      <c r="F81" s="2" t="n"/>
      <c r="G81" s="2" t="n"/>
      <c r="H81" s="2" t="n"/>
      <c r="I81" s="2" t="n"/>
      <c r="J81" s="2" t="n"/>
      <c r="K81" s="2" t="n"/>
      <c r="L81" s="2" t="n"/>
      <c r="M81" s="2" t="n"/>
      <c r="N81" s="2" t="n"/>
      <c r="O81" s="2" t="n"/>
      <c r="P81" s="2" t="n"/>
      <c r="Q81" s="2" t="n"/>
      <c r="R81" s="2" t="n"/>
      <c r="S81" s="56" t="n"/>
      <c r="T81" s="56" t="n"/>
      <c r="U81" s="56" t="n"/>
      <c r="V81" s="56" t="n"/>
      <c r="W81" s="56" t="n"/>
      <c r="X81" s="56" t="n"/>
      <c r="Y81" s="56" t="n"/>
      <c r="Z81" s="56" t="n"/>
      <c r="AA81" s="56" t="n"/>
    </row>
    <row r="82" ht="15.75" customHeight="1" s="42">
      <c r="A82" s="2" t="n"/>
      <c r="B82" s="2" t="n"/>
      <c r="C82" s="2" t="n"/>
      <c r="D82" s="2" t="n"/>
      <c r="E82" s="2" t="n"/>
      <c r="F82" s="2" t="n"/>
      <c r="G82" s="2" t="n"/>
      <c r="H82" s="2" t="n"/>
      <c r="I82" s="2" t="n"/>
      <c r="J82" s="2" t="n"/>
      <c r="K82" s="2" t="n"/>
      <c r="L82" s="2" t="n"/>
      <c r="M82" s="2" t="n"/>
      <c r="N82" s="2" t="n"/>
      <c r="O82" s="2" t="n"/>
      <c r="P82" s="2" t="n"/>
      <c r="Q82" s="2" t="n"/>
      <c r="R82" s="2" t="n"/>
      <c r="S82" s="56" t="n"/>
      <c r="T82" s="56" t="n"/>
      <c r="U82" s="56" t="n"/>
      <c r="V82" s="56" t="n"/>
      <c r="W82" s="56" t="n"/>
      <c r="X82" s="56" t="n"/>
      <c r="Y82" s="56" t="n"/>
      <c r="Z82" s="56" t="n"/>
      <c r="AA82" s="56" t="n"/>
    </row>
    <row r="83" ht="15.75" customHeight="1" s="42">
      <c r="A83" s="2" t="n"/>
      <c r="B83" s="2" t="n"/>
      <c r="C83" s="2" t="n"/>
      <c r="D83" s="2" t="n"/>
      <c r="E83" s="2" t="n"/>
      <c r="F83" s="2" t="n"/>
      <c r="G83" s="2" t="n"/>
      <c r="H83" s="2" t="n"/>
      <c r="I83" s="2" t="n"/>
      <c r="J83" s="2" t="n"/>
      <c r="K83" s="2" t="n"/>
      <c r="L83" s="2" t="n"/>
      <c r="M83" s="2" t="n"/>
      <c r="N83" s="2" t="n"/>
      <c r="O83" s="2" t="n"/>
      <c r="P83" s="2" t="n"/>
      <c r="Q83" s="2" t="n"/>
      <c r="R83" s="2" t="n"/>
      <c r="S83" s="56" t="n"/>
      <c r="T83" s="56" t="n"/>
      <c r="U83" s="56" t="n"/>
      <c r="V83" s="56" t="n"/>
      <c r="W83" s="56" t="n"/>
      <c r="X83" s="56" t="n"/>
      <c r="Y83" s="56" t="n"/>
      <c r="Z83" s="56" t="n"/>
      <c r="AA83" s="56" t="n"/>
    </row>
    <row r="84" ht="15.75" customHeight="1" s="42">
      <c r="A84" s="2" t="n"/>
      <c r="B84" s="2" t="n"/>
      <c r="C84" s="2" t="n"/>
      <c r="D84" s="2" t="n"/>
      <c r="E84" s="2" t="n"/>
      <c r="F84" s="2" t="n"/>
      <c r="G84" s="2" t="n"/>
      <c r="H84" s="2" t="n"/>
      <c r="I84" s="2" t="n"/>
      <c r="J84" s="2" t="n"/>
      <c r="K84" s="2" t="n"/>
      <c r="L84" s="2" t="n"/>
      <c r="M84" s="2" t="n"/>
      <c r="N84" s="2" t="n"/>
      <c r="O84" s="2" t="n"/>
      <c r="P84" s="2" t="n"/>
      <c r="Q84" s="2" t="n"/>
      <c r="R84" s="2" t="n"/>
      <c r="S84" s="56" t="n"/>
      <c r="T84" s="56" t="n"/>
      <c r="U84" s="56" t="n"/>
      <c r="V84" s="56" t="n"/>
      <c r="W84" s="56" t="n"/>
      <c r="X84" s="56" t="n"/>
      <c r="Y84" s="56" t="n"/>
      <c r="Z84" s="56" t="n"/>
      <c r="AA84" s="56" t="n"/>
    </row>
    <row r="85" ht="15.75" customHeight="1" s="42">
      <c r="A85" s="2" t="n"/>
      <c r="B85" s="2" t="n"/>
      <c r="C85" s="2" t="n"/>
      <c r="D85" s="2" t="n"/>
      <c r="E85" s="2" t="n"/>
      <c r="F85" s="2" t="n"/>
      <c r="G85" s="2" t="n"/>
      <c r="H85" s="2" t="n"/>
      <c r="I85" s="2" t="n"/>
      <c r="J85" s="2" t="n"/>
      <c r="K85" s="2" t="n"/>
      <c r="L85" s="2" t="n"/>
      <c r="M85" s="2" t="n"/>
      <c r="N85" s="2" t="n"/>
      <c r="O85" s="2" t="n"/>
      <c r="P85" s="2" t="n"/>
      <c r="Q85" s="2" t="n"/>
      <c r="R85" s="2" t="n"/>
      <c r="S85" s="56" t="n"/>
      <c r="T85" s="56" t="n"/>
      <c r="U85" s="56" t="n"/>
      <c r="V85" s="56" t="n"/>
      <c r="W85" s="56" t="n"/>
      <c r="X85" s="56" t="n"/>
      <c r="Y85" s="56" t="n"/>
      <c r="Z85" s="56" t="n"/>
      <c r="AA85" s="56" t="n"/>
    </row>
    <row r="86" ht="15.75" customHeight="1" s="42">
      <c r="A86" s="2" t="n"/>
      <c r="B86" s="2" t="n"/>
      <c r="C86" s="2" t="n"/>
      <c r="D86" s="2" t="n"/>
      <c r="E86" s="2" t="n"/>
      <c r="F86" s="2" t="n"/>
      <c r="G86" s="2" t="n"/>
      <c r="H86" s="2" t="n"/>
      <c r="I86" s="2" t="n"/>
      <c r="J86" s="2" t="n"/>
      <c r="K86" s="2" t="n"/>
      <c r="L86" s="2" t="n"/>
      <c r="M86" s="2" t="n"/>
      <c r="N86" s="2" t="n"/>
      <c r="O86" s="2" t="n"/>
      <c r="P86" s="2" t="n"/>
      <c r="Q86" s="2" t="n"/>
      <c r="R86" s="2" t="n"/>
      <c r="S86" s="56" t="n"/>
      <c r="T86" s="56" t="n"/>
      <c r="U86" s="56" t="n"/>
      <c r="V86" s="56" t="n"/>
      <c r="W86" s="56" t="n"/>
      <c r="X86" s="56" t="n"/>
      <c r="Y86" s="56" t="n"/>
      <c r="Z86" s="56" t="n"/>
      <c r="AA86" s="56" t="n"/>
    </row>
    <row r="87" ht="15.75" customHeight="1" s="42">
      <c r="A87" s="2" t="n"/>
      <c r="B87" s="2" t="n"/>
      <c r="C87" s="2" t="n"/>
      <c r="D87" s="2" t="n"/>
      <c r="E87" s="2" t="n"/>
      <c r="F87" s="2" t="n"/>
      <c r="G87" s="2" t="n"/>
      <c r="H87" s="2" t="n"/>
      <c r="I87" s="2" t="n"/>
      <c r="J87" s="2" t="n"/>
      <c r="K87" s="2" t="n"/>
      <c r="L87" s="2" t="n"/>
      <c r="M87" s="2" t="n"/>
      <c r="N87" s="2" t="n"/>
      <c r="O87" s="2" t="n"/>
      <c r="P87" s="2" t="n"/>
      <c r="Q87" s="2" t="n"/>
      <c r="R87" s="2" t="n"/>
      <c r="S87" s="56" t="n"/>
      <c r="T87" s="56" t="n"/>
      <c r="U87" s="56" t="n"/>
      <c r="V87" s="56" t="n"/>
      <c r="W87" s="56" t="n"/>
      <c r="X87" s="56" t="n"/>
      <c r="Y87" s="56" t="n"/>
      <c r="Z87" s="56" t="n"/>
      <c r="AA87" s="56" t="n"/>
    </row>
    <row r="88" ht="15.75" customHeight="1" s="42">
      <c r="A88" s="2" t="n"/>
      <c r="B88" s="2" t="n"/>
      <c r="C88" s="2" t="n"/>
      <c r="D88" s="2" t="n"/>
      <c r="E88" s="2" t="n"/>
      <c r="F88" s="2" t="n"/>
      <c r="G88" s="2" t="n"/>
      <c r="H88" s="2" t="n"/>
      <c r="I88" s="2" t="n"/>
      <c r="J88" s="2" t="n"/>
      <c r="K88" s="2" t="n"/>
      <c r="L88" s="2" t="n"/>
      <c r="M88" s="2" t="n"/>
      <c r="N88" s="2" t="n"/>
      <c r="O88" s="2" t="n"/>
      <c r="P88" s="2" t="n"/>
      <c r="Q88" s="2" t="n"/>
      <c r="R88" s="2" t="n"/>
      <c r="S88" s="56" t="n"/>
      <c r="T88" s="56" t="n"/>
      <c r="U88" s="56" t="n"/>
      <c r="V88" s="56" t="n"/>
      <c r="W88" s="56" t="n"/>
      <c r="X88" s="56" t="n"/>
      <c r="Y88" s="56" t="n"/>
      <c r="Z88" s="56" t="n"/>
      <c r="AA88" s="56" t="n"/>
    </row>
    <row r="89" ht="15.75" customHeight="1" s="42">
      <c r="A89" s="2" t="n"/>
      <c r="B89" s="2" t="n"/>
      <c r="C89" s="2" t="n"/>
      <c r="D89" s="2" t="n"/>
      <c r="E89" s="2" t="n"/>
      <c r="F89" s="2" t="n"/>
      <c r="G89" s="2" t="n"/>
      <c r="H89" s="2" t="n"/>
      <c r="I89" s="2" t="n"/>
      <c r="J89" s="2" t="n"/>
      <c r="K89" s="2" t="n"/>
      <c r="L89" s="2" t="n"/>
      <c r="M89" s="2" t="n"/>
      <c r="N89" s="2" t="n"/>
      <c r="O89" s="2" t="n"/>
      <c r="P89" s="2" t="n"/>
      <c r="Q89" s="2" t="n"/>
      <c r="R89" s="2" t="n"/>
      <c r="S89" s="56" t="n"/>
      <c r="T89" s="56" t="n"/>
      <c r="U89" s="56" t="n"/>
      <c r="V89" s="56" t="n"/>
      <c r="W89" s="56" t="n"/>
      <c r="X89" s="56" t="n"/>
      <c r="Y89" s="56" t="n"/>
      <c r="Z89" s="56" t="n"/>
      <c r="AA89" s="56" t="n"/>
    </row>
    <row r="90" ht="15.75" customHeight="1" s="42">
      <c r="A90" s="2" t="n"/>
      <c r="B90" s="2" t="n"/>
      <c r="C90" s="2" t="n"/>
      <c r="D90" s="2" t="n"/>
      <c r="E90" s="2" t="n"/>
      <c r="F90" s="2" t="n"/>
      <c r="G90" s="2" t="n"/>
      <c r="H90" s="2" t="n"/>
      <c r="I90" s="2" t="n"/>
      <c r="J90" s="2" t="n"/>
      <c r="K90" s="2" t="n"/>
      <c r="L90" s="2" t="n"/>
      <c r="M90" s="2" t="n"/>
      <c r="N90" s="2" t="n"/>
      <c r="O90" s="2" t="n"/>
      <c r="P90" s="2" t="n"/>
      <c r="Q90" s="2" t="n"/>
      <c r="R90" s="2" t="n"/>
      <c r="S90" s="56" t="n"/>
      <c r="T90" s="56" t="n"/>
      <c r="U90" s="56" t="n"/>
      <c r="V90" s="56" t="n"/>
      <c r="W90" s="56" t="n"/>
      <c r="X90" s="56" t="n"/>
      <c r="Y90" s="56" t="n"/>
      <c r="Z90" s="56" t="n"/>
      <c r="AA90" s="56" t="n"/>
    </row>
    <row r="91" ht="15.75" customHeight="1" s="42">
      <c r="A91" s="2" t="n"/>
      <c r="B91" s="2" t="n"/>
      <c r="C91" s="2" t="n"/>
      <c r="D91" s="2" t="n"/>
      <c r="E91" s="2" t="n"/>
      <c r="F91" s="2" t="n"/>
      <c r="G91" s="2" t="n"/>
      <c r="H91" s="2" t="n"/>
      <c r="I91" s="2" t="n"/>
      <c r="J91" s="2" t="n"/>
      <c r="K91" s="2" t="n"/>
      <c r="L91" s="2" t="n"/>
      <c r="M91" s="2" t="n"/>
      <c r="N91" s="2" t="n"/>
      <c r="O91" s="2" t="n"/>
      <c r="P91" s="2" t="n"/>
      <c r="Q91" s="2" t="n"/>
      <c r="R91" s="2" t="n"/>
      <c r="S91" s="56" t="n"/>
      <c r="T91" s="56" t="n"/>
      <c r="U91" s="56" t="n"/>
      <c r="V91" s="56" t="n"/>
      <c r="W91" s="56" t="n"/>
      <c r="X91" s="56" t="n"/>
      <c r="Y91" s="56" t="n"/>
      <c r="Z91" s="56" t="n"/>
      <c r="AA91" s="56" t="n"/>
    </row>
    <row r="92" ht="15.75" customHeight="1" s="42">
      <c r="A92" s="2" t="n"/>
      <c r="B92" s="2" t="n"/>
      <c r="C92" s="2" t="n"/>
      <c r="D92" s="2" t="n"/>
      <c r="E92" s="2" t="n"/>
      <c r="F92" s="2" t="n"/>
      <c r="G92" s="2" t="n"/>
      <c r="H92" s="2" t="n"/>
      <c r="I92" s="2" t="n"/>
      <c r="J92" s="2" t="n"/>
      <c r="K92" s="2" t="n"/>
      <c r="L92" s="2" t="n"/>
      <c r="M92" s="2" t="n"/>
      <c r="N92" s="2" t="n"/>
      <c r="O92" s="2" t="n"/>
      <c r="P92" s="2" t="n"/>
      <c r="Q92" s="2" t="n"/>
      <c r="R92" s="2" t="n"/>
      <c r="S92" s="56" t="n"/>
      <c r="T92" s="56" t="n"/>
      <c r="U92" s="56" t="n"/>
      <c r="V92" s="56" t="n"/>
      <c r="W92" s="56" t="n"/>
      <c r="X92" s="56" t="n"/>
      <c r="Y92" s="56" t="n"/>
      <c r="Z92" s="56" t="n"/>
      <c r="AA92" s="56" t="n"/>
    </row>
    <row r="93" ht="15.75" customHeight="1" s="42">
      <c r="A93" s="2" t="n"/>
      <c r="B93" s="2" t="n"/>
      <c r="C93" s="2" t="n"/>
      <c r="D93" s="2" t="n"/>
      <c r="E93" s="2" t="n"/>
      <c r="F93" s="2" t="n"/>
      <c r="G93" s="2" t="n"/>
      <c r="H93" s="2" t="n"/>
      <c r="I93" s="2" t="n"/>
      <c r="J93" s="2" t="n"/>
      <c r="K93" s="2" t="n"/>
      <c r="L93" s="2" t="n"/>
      <c r="M93" s="2" t="n"/>
      <c r="N93" s="2" t="n"/>
      <c r="O93" s="2" t="n"/>
      <c r="P93" s="2" t="n"/>
      <c r="Q93" s="2" t="n"/>
      <c r="R93" s="2" t="n"/>
      <c r="S93" s="56" t="n"/>
      <c r="T93" s="56" t="n"/>
      <c r="U93" s="56" t="n"/>
      <c r="V93" s="56" t="n"/>
      <c r="W93" s="56" t="n"/>
      <c r="X93" s="56" t="n"/>
      <c r="Y93" s="56" t="n"/>
      <c r="Z93" s="56" t="n"/>
      <c r="AA93" s="56" t="n"/>
    </row>
    <row r="94" ht="15.75" customHeight="1" s="42">
      <c r="A94" s="2" t="n"/>
      <c r="B94" s="2" t="n"/>
      <c r="C94" s="2" t="n"/>
      <c r="D94" s="2" t="n"/>
      <c r="E94" s="2" t="n"/>
      <c r="F94" s="2" t="n"/>
      <c r="G94" s="2" t="n"/>
      <c r="H94" s="2" t="n"/>
      <c r="I94" s="2" t="n"/>
      <c r="J94" s="2" t="n"/>
      <c r="K94" s="2" t="n"/>
      <c r="L94" s="2" t="n"/>
      <c r="M94" s="2" t="n"/>
      <c r="N94" s="2" t="n"/>
      <c r="O94" s="2" t="n"/>
      <c r="P94" s="2" t="n"/>
      <c r="Q94" s="2" t="n"/>
      <c r="R94" s="2" t="n"/>
      <c r="S94" s="56" t="n"/>
      <c r="T94" s="56" t="n"/>
      <c r="U94" s="56" t="n"/>
      <c r="V94" s="56" t="n"/>
      <c r="W94" s="56" t="n"/>
      <c r="X94" s="56" t="n"/>
      <c r="Y94" s="56" t="n"/>
      <c r="Z94" s="56" t="n"/>
      <c r="AA94" s="56" t="n"/>
    </row>
    <row r="95" ht="15.75" customHeight="1" s="42">
      <c r="A95" s="2" t="n"/>
      <c r="B95" s="2" t="n"/>
      <c r="C95" s="2" t="n"/>
      <c r="D95" s="2" t="n"/>
      <c r="E95" s="2" t="n"/>
      <c r="F95" s="2" t="n"/>
      <c r="G95" s="2" t="n"/>
      <c r="H95" s="2" t="n"/>
      <c r="I95" s="2" t="n"/>
      <c r="J95" s="2" t="n"/>
      <c r="K95" s="2" t="n"/>
      <c r="L95" s="2" t="n"/>
      <c r="M95" s="2" t="n"/>
      <c r="N95" s="2" t="n"/>
      <c r="O95" s="2" t="n"/>
      <c r="P95" s="2" t="n"/>
      <c r="Q95" s="2" t="n"/>
      <c r="R95" s="2" t="n"/>
      <c r="S95" s="56" t="n"/>
      <c r="T95" s="56" t="n"/>
      <c r="U95" s="56" t="n"/>
      <c r="V95" s="56" t="n"/>
      <c r="W95" s="56" t="n"/>
      <c r="X95" s="56" t="n"/>
      <c r="Y95" s="56" t="n"/>
      <c r="Z95" s="56" t="n"/>
      <c r="AA95" s="56" t="n"/>
    </row>
    <row r="96" ht="15.75" customHeight="1" s="42">
      <c r="A96" s="2" t="n"/>
      <c r="B96" s="2" t="n"/>
      <c r="C96" s="2" t="n"/>
      <c r="D96" s="2" t="n"/>
      <c r="E96" s="2" t="n"/>
      <c r="F96" s="2" t="n"/>
      <c r="G96" s="2" t="n"/>
      <c r="H96" s="2" t="n"/>
      <c r="I96" s="2" t="n"/>
      <c r="J96" s="2" t="n"/>
      <c r="K96" s="2" t="n"/>
      <c r="L96" s="2" t="n"/>
      <c r="M96" s="2" t="n"/>
      <c r="N96" s="2" t="n"/>
      <c r="O96" s="2" t="n"/>
      <c r="P96" s="2" t="n"/>
      <c r="Q96" s="2" t="n"/>
      <c r="R96" s="2" t="n"/>
      <c r="S96" s="56" t="n"/>
      <c r="T96" s="56" t="n"/>
      <c r="U96" s="56" t="n"/>
      <c r="V96" s="56" t="n"/>
      <c r="W96" s="56" t="n"/>
      <c r="X96" s="56" t="n"/>
      <c r="Y96" s="56" t="n"/>
      <c r="Z96" s="56" t="n"/>
      <c r="AA96" s="56" t="n"/>
    </row>
    <row r="97" ht="15.75" customHeight="1" s="42">
      <c r="A97" s="2" t="n"/>
      <c r="B97" s="2" t="n"/>
      <c r="C97" s="2" t="n"/>
      <c r="D97" s="2" t="n"/>
      <c r="E97" s="2" t="n"/>
      <c r="F97" s="2" t="n"/>
      <c r="G97" s="2" t="n"/>
      <c r="H97" s="2" t="n"/>
      <c r="I97" s="2" t="n"/>
      <c r="J97" s="2" t="n"/>
      <c r="K97" s="2" t="n"/>
      <c r="L97" s="2" t="n"/>
      <c r="M97" s="2" t="n"/>
      <c r="N97" s="2" t="n"/>
      <c r="O97" s="2" t="n"/>
      <c r="P97" s="2" t="n"/>
      <c r="Q97" s="2" t="n"/>
      <c r="R97" s="2" t="n"/>
      <c r="S97" s="56" t="n"/>
      <c r="T97" s="56" t="n"/>
      <c r="U97" s="56" t="n"/>
      <c r="V97" s="56" t="n"/>
      <c r="W97" s="56" t="n"/>
      <c r="X97" s="56" t="n"/>
      <c r="Y97" s="56" t="n"/>
      <c r="Z97" s="56" t="n"/>
      <c r="AA97" s="56" t="n"/>
    </row>
    <row r="98" ht="15.75" customHeight="1" s="42">
      <c r="A98" s="2" t="n"/>
      <c r="B98" s="2" t="n"/>
      <c r="C98" s="2" t="n"/>
      <c r="D98" s="2" t="n"/>
      <c r="E98" s="2" t="n"/>
      <c r="F98" s="2" t="n"/>
      <c r="G98" s="2" t="n"/>
      <c r="H98" s="2" t="n"/>
      <c r="I98" s="2" t="n"/>
      <c r="J98" s="2" t="n"/>
      <c r="K98" s="2" t="n"/>
      <c r="L98" s="2" t="n"/>
      <c r="M98" s="2" t="n"/>
      <c r="N98" s="2" t="n"/>
      <c r="O98" s="2" t="n"/>
      <c r="P98" s="2" t="n"/>
      <c r="Q98" s="2" t="n"/>
      <c r="R98" s="2" t="n"/>
      <c r="S98" s="56" t="n"/>
      <c r="T98" s="56" t="n"/>
      <c r="U98" s="56" t="n"/>
      <c r="V98" s="56" t="n"/>
      <c r="W98" s="56" t="n"/>
      <c r="X98" s="56" t="n"/>
      <c r="Y98" s="56" t="n"/>
      <c r="Z98" s="56" t="n"/>
      <c r="AA98" s="56" t="n"/>
    </row>
    <row r="99" ht="15.75" customHeight="1" s="42">
      <c r="A99" s="2" t="n"/>
      <c r="B99" s="2" t="n"/>
      <c r="C99" s="2" t="n"/>
      <c r="D99" s="2" t="n"/>
      <c r="E99" s="2" t="n"/>
      <c r="F99" s="2" t="n"/>
      <c r="G99" s="2" t="n"/>
      <c r="H99" s="2" t="n"/>
      <c r="I99" s="2" t="n"/>
      <c r="J99" s="2" t="n"/>
      <c r="K99" s="2" t="n"/>
      <c r="L99" s="2" t="n"/>
      <c r="M99" s="2" t="n"/>
      <c r="N99" s="2" t="n"/>
      <c r="O99" s="2" t="n"/>
      <c r="P99" s="2" t="n"/>
      <c r="Q99" s="2" t="n"/>
      <c r="R99" s="2" t="n"/>
      <c r="S99" s="56" t="n"/>
      <c r="T99" s="56" t="n"/>
      <c r="U99" s="56" t="n"/>
      <c r="V99" s="56" t="n"/>
      <c r="W99" s="56" t="n"/>
      <c r="X99" s="56" t="n"/>
      <c r="Y99" s="56" t="n"/>
      <c r="Z99" s="56" t="n"/>
      <c r="AA99" s="56" t="n"/>
    </row>
    <row r="100" ht="15.75" customHeight="1" s="42">
      <c r="A100" s="2" t="n"/>
      <c r="B100" s="2" t="n"/>
      <c r="C100" s="2" t="n"/>
      <c r="D100" s="2" t="n"/>
      <c r="E100" s="2" t="n"/>
      <c r="F100" s="2" t="n"/>
      <c r="G100" s="2" t="n"/>
      <c r="H100" s="2" t="n"/>
      <c r="I100" s="2" t="n"/>
      <c r="J100" s="2" t="n"/>
      <c r="K100" s="2" t="n"/>
      <c r="L100" s="2" t="n"/>
      <c r="M100" s="2" t="n"/>
      <c r="N100" s="2" t="n"/>
      <c r="O100" s="2" t="n"/>
      <c r="P100" s="2" t="n"/>
      <c r="Q100" s="2" t="n"/>
      <c r="R100" s="2" t="n"/>
      <c r="S100" s="56" t="n"/>
      <c r="T100" s="56" t="n"/>
      <c r="U100" s="56" t="n"/>
      <c r="V100" s="56" t="n"/>
      <c r="W100" s="56" t="n"/>
      <c r="X100" s="56" t="n"/>
      <c r="Y100" s="56" t="n"/>
      <c r="Z100" s="56" t="n"/>
      <c r="AA100" s="56" t="n"/>
    </row>
    <row r="101" ht="15.75" customHeight="1" s="42">
      <c r="A101" s="2" t="n"/>
      <c r="B101" s="2" t="n"/>
      <c r="C101" s="2" t="n"/>
      <c r="D101" s="2" t="n"/>
      <c r="E101" s="2" t="n"/>
      <c r="F101" s="2" t="n"/>
      <c r="G101" s="2" t="n"/>
      <c r="H101" s="2" t="n"/>
      <c r="I101" s="2" t="n"/>
      <c r="J101" s="2" t="n"/>
      <c r="K101" s="2" t="n"/>
      <c r="L101" s="2" t="n"/>
      <c r="M101" s="2" t="n"/>
      <c r="N101" s="2" t="n"/>
      <c r="O101" s="2" t="n"/>
      <c r="P101" s="2" t="n"/>
      <c r="Q101" s="2" t="n"/>
      <c r="R101" s="2" t="n"/>
      <c r="S101" s="56" t="n"/>
      <c r="T101" s="56" t="n"/>
      <c r="U101" s="56" t="n"/>
      <c r="V101" s="56" t="n"/>
      <c r="W101" s="56" t="n"/>
      <c r="X101" s="56" t="n"/>
      <c r="Y101" s="56" t="n"/>
      <c r="Z101" s="56" t="n"/>
      <c r="AA101" s="56" t="n"/>
    </row>
    <row r="102" ht="15.75" customHeight="1" s="42">
      <c r="A102" s="2" t="n"/>
      <c r="B102" s="2" t="n"/>
      <c r="C102" s="2" t="n"/>
      <c r="D102" s="2" t="n"/>
      <c r="E102" s="2" t="n"/>
      <c r="F102" s="2" t="n"/>
      <c r="G102" s="2" t="n"/>
      <c r="H102" s="2" t="n"/>
      <c r="I102" s="2" t="n"/>
      <c r="J102" s="2" t="n"/>
      <c r="K102" s="2" t="n"/>
      <c r="L102" s="2" t="n"/>
      <c r="M102" s="2" t="n"/>
      <c r="N102" s="2" t="n"/>
      <c r="O102" s="2" t="n"/>
      <c r="P102" s="2" t="n"/>
      <c r="Q102" s="2" t="n"/>
      <c r="R102" s="2" t="n"/>
      <c r="S102" s="56" t="n"/>
      <c r="T102" s="56" t="n"/>
      <c r="U102" s="56" t="n"/>
      <c r="V102" s="56" t="n"/>
      <c r="W102" s="56" t="n"/>
      <c r="X102" s="56" t="n"/>
      <c r="Y102" s="56" t="n"/>
      <c r="Z102" s="56" t="n"/>
      <c r="AA102" s="56" t="n"/>
    </row>
    <row r="103" ht="15.75" customHeight="1" s="42">
      <c r="A103" s="2" t="n"/>
      <c r="B103" s="2" t="n"/>
      <c r="C103" s="2" t="n"/>
      <c r="D103" s="2" t="n"/>
      <c r="E103" s="2" t="n"/>
      <c r="F103" s="2" t="n"/>
      <c r="G103" s="2" t="n"/>
      <c r="H103" s="2" t="n"/>
      <c r="I103" s="2" t="n"/>
      <c r="J103" s="2" t="n"/>
      <c r="K103" s="2" t="n"/>
      <c r="L103" s="2" t="n"/>
      <c r="M103" s="2" t="n"/>
      <c r="N103" s="2" t="n"/>
      <c r="O103" s="2" t="n"/>
      <c r="P103" s="2" t="n"/>
      <c r="Q103" s="2" t="n"/>
      <c r="R103" s="2" t="n"/>
      <c r="S103" s="56" t="n"/>
      <c r="T103" s="56" t="n"/>
      <c r="U103" s="56" t="n"/>
      <c r="V103" s="56" t="n"/>
      <c r="W103" s="56" t="n"/>
      <c r="X103" s="56" t="n"/>
      <c r="Y103" s="56" t="n"/>
      <c r="Z103" s="56" t="n"/>
      <c r="AA103" s="56" t="n"/>
    </row>
    <row r="104" ht="15.75" customHeight="1" s="42">
      <c r="A104" s="2" t="n"/>
      <c r="B104" s="2" t="n"/>
      <c r="C104" s="2" t="n"/>
      <c r="D104" s="2" t="n"/>
      <c r="E104" s="2" t="n"/>
      <c r="F104" s="2" t="n"/>
      <c r="G104" s="2" t="n"/>
      <c r="H104" s="2" t="n"/>
      <c r="I104" s="2" t="n"/>
      <c r="J104" s="2" t="n"/>
      <c r="K104" s="2" t="n"/>
      <c r="L104" s="2" t="n"/>
      <c r="M104" s="2" t="n"/>
      <c r="N104" s="2" t="n"/>
      <c r="O104" s="2" t="n"/>
      <c r="P104" s="2" t="n"/>
      <c r="Q104" s="2" t="n"/>
      <c r="R104" s="2" t="n"/>
      <c r="S104" s="56" t="n"/>
      <c r="T104" s="56" t="n"/>
      <c r="U104" s="56" t="n"/>
      <c r="V104" s="56" t="n"/>
      <c r="W104" s="56" t="n"/>
      <c r="X104" s="56" t="n"/>
      <c r="Y104" s="56" t="n"/>
      <c r="Z104" s="56" t="n"/>
      <c r="AA104" s="56" t="n"/>
    </row>
    <row r="105" ht="15.75" customHeight="1" s="42">
      <c r="A105" s="2" t="n"/>
      <c r="B105" s="2" t="n"/>
      <c r="C105" s="2" t="n"/>
      <c r="D105" s="2" t="n"/>
      <c r="E105" s="2" t="n"/>
      <c r="F105" s="2" t="n"/>
      <c r="G105" s="2" t="n"/>
      <c r="H105" s="2" t="n"/>
      <c r="I105" s="2" t="n"/>
      <c r="J105" s="2" t="n"/>
      <c r="K105" s="2" t="n"/>
      <c r="L105" s="2" t="n"/>
      <c r="M105" s="2" t="n"/>
      <c r="N105" s="2" t="n"/>
      <c r="O105" s="2" t="n"/>
      <c r="P105" s="2" t="n"/>
      <c r="Q105" s="2" t="n"/>
      <c r="R105" s="2" t="n"/>
      <c r="S105" s="56" t="n"/>
      <c r="T105" s="56" t="n"/>
      <c r="U105" s="56" t="n"/>
      <c r="V105" s="56" t="n"/>
      <c r="W105" s="56" t="n"/>
      <c r="X105" s="56" t="n"/>
      <c r="Y105" s="56" t="n"/>
      <c r="Z105" s="56" t="n"/>
      <c r="AA105" s="56" t="n"/>
    </row>
    <row r="106" ht="15.75" customHeight="1" s="42">
      <c r="A106" s="2" t="n"/>
      <c r="B106" s="2" t="n"/>
      <c r="C106" s="2" t="n"/>
      <c r="D106" s="2" t="n"/>
      <c r="E106" s="2" t="n"/>
      <c r="F106" s="2" t="n"/>
      <c r="G106" s="2" t="n"/>
      <c r="H106" s="2" t="n"/>
      <c r="I106" s="2" t="n"/>
      <c r="J106" s="2" t="n"/>
      <c r="K106" s="2" t="n"/>
      <c r="L106" s="2" t="n"/>
      <c r="M106" s="2" t="n"/>
      <c r="N106" s="2" t="n"/>
      <c r="O106" s="2" t="n"/>
      <c r="P106" s="2" t="n"/>
      <c r="Q106" s="2" t="n"/>
      <c r="R106" s="2" t="n"/>
      <c r="S106" s="56" t="n"/>
      <c r="T106" s="56" t="n"/>
      <c r="U106" s="56" t="n"/>
      <c r="V106" s="56" t="n"/>
      <c r="W106" s="56" t="n"/>
      <c r="X106" s="56" t="n"/>
      <c r="Y106" s="56" t="n"/>
      <c r="Z106" s="56" t="n"/>
      <c r="AA106" s="56" t="n"/>
    </row>
    <row r="107" ht="15.75" customHeight="1" s="42">
      <c r="A107" s="2" t="n"/>
      <c r="B107" s="2" t="n"/>
      <c r="C107" s="2" t="n"/>
      <c r="D107" s="2" t="n"/>
      <c r="E107" s="2" t="n"/>
      <c r="F107" s="2" t="n"/>
      <c r="G107" s="2" t="n"/>
      <c r="H107" s="2" t="n"/>
      <c r="I107" s="2" t="n"/>
      <c r="J107" s="2" t="n"/>
      <c r="K107" s="2" t="n"/>
      <c r="L107" s="2" t="n"/>
      <c r="M107" s="2" t="n"/>
      <c r="N107" s="2" t="n"/>
      <c r="O107" s="2" t="n"/>
      <c r="P107" s="2" t="n"/>
      <c r="Q107" s="2" t="n"/>
      <c r="R107" s="2" t="n"/>
      <c r="S107" s="56" t="n"/>
      <c r="T107" s="56" t="n"/>
      <c r="U107" s="56" t="n"/>
      <c r="V107" s="56" t="n"/>
      <c r="W107" s="56" t="n"/>
      <c r="X107" s="56" t="n"/>
      <c r="Y107" s="56" t="n"/>
      <c r="Z107" s="56" t="n"/>
      <c r="AA107" s="56" t="n"/>
    </row>
    <row r="108" ht="15.75" customHeight="1" s="42">
      <c r="A108" s="2" t="n"/>
      <c r="B108" s="2" t="n"/>
      <c r="C108" s="2" t="n"/>
      <c r="D108" s="2" t="n"/>
      <c r="E108" s="2" t="n"/>
      <c r="F108" s="2" t="n"/>
      <c r="G108" s="2" t="n"/>
      <c r="H108" s="2" t="n"/>
      <c r="I108" s="2" t="n"/>
      <c r="J108" s="2" t="n"/>
      <c r="K108" s="2" t="n"/>
      <c r="L108" s="2" t="n"/>
      <c r="M108" s="2" t="n"/>
      <c r="N108" s="2" t="n"/>
      <c r="O108" s="2" t="n"/>
      <c r="P108" s="2" t="n"/>
      <c r="Q108" s="2" t="n"/>
      <c r="R108" s="2" t="n"/>
      <c r="S108" s="56" t="n"/>
      <c r="T108" s="56" t="n"/>
      <c r="U108" s="56" t="n"/>
      <c r="V108" s="56" t="n"/>
      <c r="W108" s="56" t="n"/>
      <c r="X108" s="56" t="n"/>
      <c r="Y108" s="56" t="n"/>
      <c r="Z108" s="56" t="n"/>
      <c r="AA108" s="56" t="n"/>
    </row>
    <row r="109" ht="15.75" customHeight="1" s="42">
      <c r="A109" s="2" t="n"/>
      <c r="B109" s="2" t="n"/>
      <c r="C109" s="2" t="n"/>
      <c r="D109" s="2" t="n"/>
      <c r="E109" s="2" t="n"/>
      <c r="F109" s="2" t="n"/>
      <c r="G109" s="2" t="n"/>
      <c r="H109" s="2" t="n"/>
      <c r="I109" s="2" t="n"/>
      <c r="J109" s="2" t="n"/>
      <c r="K109" s="2" t="n"/>
      <c r="L109" s="2" t="n"/>
      <c r="M109" s="2" t="n"/>
      <c r="N109" s="2" t="n"/>
      <c r="O109" s="2" t="n"/>
      <c r="P109" s="2" t="n"/>
      <c r="Q109" s="2" t="n"/>
      <c r="R109" s="2" t="n"/>
      <c r="S109" s="56" t="n"/>
      <c r="T109" s="56" t="n"/>
      <c r="U109" s="56" t="n"/>
      <c r="V109" s="56" t="n"/>
      <c r="W109" s="56" t="n"/>
      <c r="X109" s="56" t="n"/>
      <c r="Y109" s="56" t="n"/>
      <c r="Z109" s="56" t="n"/>
      <c r="AA109" s="56" t="n"/>
    </row>
    <row r="110" ht="15.75" customHeight="1" s="42">
      <c r="A110" s="2" t="n"/>
      <c r="B110" s="2" t="n"/>
      <c r="C110" s="2" t="n"/>
      <c r="D110" s="2" t="n"/>
      <c r="E110" s="2" t="n"/>
      <c r="F110" s="2" t="n"/>
      <c r="G110" s="2" t="n"/>
      <c r="H110" s="2" t="n"/>
      <c r="I110" s="2" t="n"/>
      <c r="J110" s="2" t="n"/>
      <c r="K110" s="2" t="n"/>
      <c r="L110" s="2" t="n"/>
      <c r="M110" s="2" t="n"/>
      <c r="N110" s="2" t="n"/>
      <c r="O110" s="2" t="n"/>
      <c r="P110" s="2" t="n"/>
      <c r="Q110" s="2" t="n"/>
      <c r="R110" s="2" t="n"/>
      <c r="S110" s="56" t="n"/>
      <c r="T110" s="56" t="n"/>
      <c r="U110" s="56" t="n"/>
      <c r="V110" s="56" t="n"/>
      <c r="W110" s="56" t="n"/>
      <c r="X110" s="56" t="n"/>
      <c r="Y110" s="56" t="n"/>
      <c r="Z110" s="56" t="n"/>
      <c r="AA110" s="56" t="n"/>
    </row>
    <row r="111" ht="15.75" customHeight="1" s="42">
      <c r="A111" s="2" t="n"/>
      <c r="B111" s="2" t="n"/>
      <c r="C111" s="2" t="n"/>
      <c r="D111" s="2" t="n"/>
      <c r="E111" s="2" t="n"/>
      <c r="F111" s="2" t="n"/>
      <c r="G111" s="2" t="n"/>
      <c r="H111" s="2" t="n"/>
      <c r="I111" s="2" t="n"/>
      <c r="J111" s="2" t="n"/>
      <c r="K111" s="2" t="n"/>
      <c r="L111" s="2" t="n"/>
      <c r="M111" s="2" t="n"/>
      <c r="N111" s="2" t="n"/>
      <c r="O111" s="2" t="n"/>
      <c r="P111" s="2" t="n"/>
      <c r="Q111" s="2" t="n"/>
      <c r="R111" s="2" t="n"/>
      <c r="S111" s="56" t="n"/>
      <c r="T111" s="56" t="n"/>
      <c r="U111" s="56" t="n"/>
      <c r="V111" s="56" t="n"/>
      <c r="W111" s="56" t="n"/>
      <c r="X111" s="56" t="n"/>
      <c r="Y111" s="56" t="n"/>
      <c r="Z111" s="56" t="n"/>
      <c r="AA111" s="56" t="n"/>
    </row>
    <row r="112" ht="15.75" customHeight="1" s="42">
      <c r="A112" s="2" t="n"/>
      <c r="B112" s="2" t="n"/>
      <c r="C112" s="2" t="n"/>
      <c r="D112" s="2" t="n"/>
      <c r="E112" s="2" t="n"/>
      <c r="F112" s="2" t="n"/>
      <c r="G112" s="2" t="n"/>
      <c r="H112" s="2" t="n"/>
      <c r="I112" s="2" t="n"/>
      <c r="J112" s="2" t="n"/>
      <c r="K112" s="2" t="n"/>
      <c r="L112" s="2" t="n"/>
      <c r="M112" s="2" t="n"/>
      <c r="N112" s="2" t="n"/>
      <c r="O112" s="2" t="n"/>
      <c r="P112" s="2" t="n"/>
      <c r="Q112" s="2" t="n"/>
      <c r="R112" s="2" t="n"/>
      <c r="S112" s="56" t="n"/>
      <c r="T112" s="56" t="n"/>
      <c r="U112" s="56" t="n"/>
      <c r="V112" s="56" t="n"/>
      <c r="W112" s="56" t="n"/>
      <c r="X112" s="56" t="n"/>
      <c r="Y112" s="56" t="n"/>
      <c r="Z112" s="56" t="n"/>
      <c r="AA112" s="56" t="n"/>
    </row>
    <row r="113" ht="15.75" customHeight="1" s="42">
      <c r="A113" s="2" t="n"/>
      <c r="B113" s="2" t="n"/>
      <c r="C113" s="2" t="n"/>
      <c r="D113" s="2" t="n"/>
      <c r="E113" s="2" t="n"/>
      <c r="F113" s="2" t="n"/>
      <c r="G113" s="2" t="n"/>
      <c r="H113" s="2" t="n"/>
      <c r="I113" s="2" t="n"/>
      <c r="J113" s="2" t="n"/>
      <c r="K113" s="2" t="n"/>
      <c r="L113" s="2" t="n"/>
      <c r="M113" s="2" t="n"/>
      <c r="N113" s="2" t="n"/>
      <c r="O113" s="2" t="n"/>
      <c r="P113" s="2" t="n"/>
      <c r="Q113" s="2" t="n"/>
      <c r="R113" s="2" t="n"/>
      <c r="S113" s="56" t="n"/>
      <c r="T113" s="56" t="n"/>
      <c r="U113" s="56" t="n"/>
      <c r="V113" s="56" t="n"/>
      <c r="W113" s="56" t="n"/>
      <c r="X113" s="56" t="n"/>
      <c r="Y113" s="56" t="n"/>
      <c r="Z113" s="56" t="n"/>
      <c r="AA113" s="56" t="n"/>
    </row>
    <row r="114" ht="15.75" customHeight="1" s="42">
      <c r="A114" s="2" t="n"/>
      <c r="B114" s="2" t="n"/>
      <c r="C114" s="2" t="n"/>
      <c r="D114" s="2" t="n"/>
      <c r="E114" s="2" t="n"/>
      <c r="F114" s="2" t="n"/>
      <c r="G114" s="2" t="n"/>
      <c r="H114" s="2" t="n"/>
      <c r="I114" s="2" t="n"/>
      <c r="J114" s="2" t="n"/>
      <c r="K114" s="2" t="n"/>
      <c r="L114" s="2" t="n"/>
      <c r="M114" s="2" t="n"/>
      <c r="N114" s="2" t="n"/>
      <c r="O114" s="2" t="n"/>
      <c r="P114" s="2" t="n"/>
      <c r="Q114" s="2" t="n"/>
      <c r="R114" s="2" t="n"/>
      <c r="S114" s="56" t="n"/>
      <c r="T114" s="56" t="n"/>
      <c r="U114" s="56" t="n"/>
      <c r="V114" s="56" t="n"/>
      <c r="W114" s="56" t="n"/>
      <c r="X114" s="56" t="n"/>
      <c r="Y114" s="56" t="n"/>
      <c r="Z114" s="56" t="n"/>
      <c r="AA114" s="56" t="n"/>
    </row>
    <row r="115" ht="15.75" customHeight="1" s="42">
      <c r="A115" s="2" t="n"/>
      <c r="B115" s="2" t="n"/>
      <c r="C115" s="2" t="n"/>
      <c r="D115" s="2" t="n"/>
      <c r="E115" s="2" t="n"/>
      <c r="F115" s="2" t="n"/>
      <c r="G115" s="2" t="n"/>
      <c r="H115" s="2" t="n"/>
      <c r="I115" s="2" t="n"/>
      <c r="J115" s="2" t="n"/>
      <c r="K115" s="2" t="n"/>
      <c r="L115" s="2" t="n"/>
      <c r="M115" s="2" t="n"/>
      <c r="N115" s="2" t="n"/>
      <c r="O115" s="2" t="n"/>
      <c r="P115" s="2" t="n"/>
      <c r="Q115" s="2" t="n"/>
      <c r="R115" s="2" t="n"/>
      <c r="S115" s="56" t="n"/>
      <c r="T115" s="56" t="n"/>
      <c r="U115" s="56" t="n"/>
      <c r="V115" s="56" t="n"/>
      <c r="W115" s="56" t="n"/>
      <c r="X115" s="56" t="n"/>
      <c r="Y115" s="56" t="n"/>
      <c r="Z115" s="56" t="n"/>
      <c r="AA115" s="56" t="n"/>
    </row>
    <row r="116" ht="15.75" customHeight="1" s="42">
      <c r="A116" s="2" t="n"/>
      <c r="B116" s="2" t="n"/>
      <c r="C116" s="2" t="n"/>
      <c r="D116" s="2" t="n"/>
      <c r="E116" s="2" t="n"/>
      <c r="F116" s="2" t="n"/>
      <c r="G116" s="2" t="n"/>
      <c r="H116" s="2" t="n"/>
      <c r="I116" s="2" t="n"/>
      <c r="J116" s="2" t="n"/>
      <c r="K116" s="2" t="n"/>
      <c r="L116" s="2" t="n"/>
      <c r="M116" s="2" t="n"/>
      <c r="N116" s="2" t="n"/>
      <c r="O116" s="2" t="n"/>
      <c r="P116" s="2" t="n"/>
      <c r="Q116" s="2" t="n"/>
      <c r="R116" s="2" t="n"/>
      <c r="S116" s="56" t="n"/>
      <c r="T116" s="56" t="n"/>
      <c r="U116" s="56" t="n"/>
      <c r="V116" s="56" t="n"/>
      <c r="W116" s="56" t="n"/>
      <c r="X116" s="56" t="n"/>
      <c r="Y116" s="56" t="n"/>
      <c r="Z116" s="56" t="n"/>
      <c r="AA116" s="56" t="n"/>
    </row>
    <row r="117" ht="15.75" customHeight="1" s="42">
      <c r="A117" s="2" t="n"/>
      <c r="B117" s="2" t="n"/>
      <c r="C117" s="2" t="n"/>
      <c r="D117" s="2" t="n"/>
      <c r="E117" s="2" t="n"/>
      <c r="F117" s="2" t="n"/>
      <c r="G117" s="2" t="n"/>
      <c r="H117" s="2" t="n"/>
      <c r="I117" s="2" t="n"/>
      <c r="J117" s="2" t="n"/>
      <c r="K117" s="2" t="n"/>
      <c r="L117" s="2" t="n"/>
      <c r="M117" s="2" t="n"/>
      <c r="N117" s="2" t="n"/>
      <c r="O117" s="2" t="n"/>
      <c r="P117" s="2" t="n"/>
      <c r="Q117" s="2" t="n"/>
      <c r="R117" s="2" t="n"/>
      <c r="S117" s="56" t="n"/>
      <c r="T117" s="56" t="n"/>
      <c r="U117" s="56" t="n"/>
      <c r="V117" s="56" t="n"/>
      <c r="W117" s="56" t="n"/>
      <c r="X117" s="56" t="n"/>
      <c r="Y117" s="56" t="n"/>
      <c r="Z117" s="56" t="n"/>
      <c r="AA117" s="56" t="n"/>
    </row>
    <row r="118" ht="15.75" customHeight="1" s="42">
      <c r="A118" s="2" t="n"/>
      <c r="B118" s="2" t="n"/>
      <c r="C118" s="2" t="n"/>
      <c r="D118" s="2" t="n"/>
      <c r="E118" s="2" t="n"/>
      <c r="F118" s="2" t="n"/>
      <c r="G118" s="2" t="n"/>
      <c r="H118" s="2" t="n"/>
      <c r="I118" s="2" t="n"/>
      <c r="J118" s="2" t="n"/>
      <c r="K118" s="2" t="n"/>
      <c r="L118" s="2" t="n"/>
      <c r="M118" s="2" t="n"/>
      <c r="N118" s="2" t="n"/>
      <c r="O118" s="2" t="n"/>
      <c r="P118" s="2" t="n"/>
      <c r="Q118" s="2" t="n"/>
      <c r="R118" s="2" t="n"/>
      <c r="S118" s="56" t="n"/>
      <c r="T118" s="56" t="n"/>
      <c r="U118" s="56" t="n"/>
      <c r="V118" s="56" t="n"/>
      <c r="W118" s="56" t="n"/>
      <c r="X118" s="56" t="n"/>
      <c r="Y118" s="56" t="n"/>
      <c r="Z118" s="56" t="n"/>
      <c r="AA118" s="56" t="n"/>
    </row>
    <row r="119" ht="15.75" customHeight="1" s="42">
      <c r="A119" s="2" t="n"/>
      <c r="B119" s="2" t="n"/>
      <c r="C119" s="2" t="n"/>
      <c r="D119" s="2" t="n"/>
      <c r="E119" s="2" t="n"/>
      <c r="F119" s="2" t="n"/>
      <c r="G119" s="2" t="n"/>
      <c r="H119" s="2" t="n"/>
      <c r="I119" s="2" t="n"/>
      <c r="J119" s="2" t="n"/>
      <c r="K119" s="2" t="n"/>
      <c r="L119" s="2" t="n"/>
      <c r="M119" s="2" t="n"/>
      <c r="N119" s="2" t="n"/>
      <c r="O119" s="2" t="n"/>
      <c r="P119" s="2" t="n"/>
      <c r="Q119" s="2" t="n"/>
      <c r="R119" s="2" t="n"/>
      <c r="S119" s="56" t="n"/>
      <c r="T119" s="56" t="n"/>
      <c r="U119" s="56" t="n"/>
      <c r="V119" s="56" t="n"/>
      <c r="W119" s="56" t="n"/>
      <c r="X119" s="56" t="n"/>
      <c r="Y119" s="56" t="n"/>
      <c r="Z119" s="56" t="n"/>
      <c r="AA119" s="56" t="n"/>
    </row>
    <row r="120" ht="15.75" customHeight="1" s="42">
      <c r="A120" s="2" t="n"/>
      <c r="B120" s="2" t="n"/>
      <c r="C120" s="2" t="n"/>
      <c r="D120" s="2" t="n"/>
      <c r="E120" s="2" t="n"/>
      <c r="F120" s="2" t="n"/>
      <c r="G120" s="2" t="n"/>
      <c r="H120" s="2" t="n"/>
      <c r="I120" s="2" t="n"/>
      <c r="J120" s="2" t="n"/>
      <c r="K120" s="2" t="n"/>
      <c r="L120" s="2" t="n"/>
      <c r="M120" s="2" t="n"/>
      <c r="N120" s="2" t="n"/>
      <c r="O120" s="2" t="n"/>
      <c r="P120" s="2" t="n"/>
      <c r="Q120" s="2" t="n"/>
      <c r="R120" s="2" t="n"/>
      <c r="S120" s="56" t="n"/>
      <c r="T120" s="56" t="n"/>
      <c r="U120" s="56" t="n"/>
      <c r="V120" s="56" t="n"/>
      <c r="W120" s="56" t="n"/>
      <c r="X120" s="56" t="n"/>
      <c r="Y120" s="56" t="n"/>
      <c r="Z120" s="56" t="n"/>
      <c r="AA120" s="56" t="n"/>
    </row>
    <row r="121" ht="15.75" customHeight="1" s="42">
      <c r="A121" s="2" t="n"/>
      <c r="B121" s="2" t="n"/>
      <c r="C121" s="2" t="n"/>
      <c r="D121" s="2" t="n"/>
      <c r="E121" s="2" t="n"/>
      <c r="F121" s="2" t="n"/>
      <c r="G121" s="2" t="n"/>
      <c r="H121" s="2" t="n"/>
      <c r="I121" s="2" t="n"/>
      <c r="J121" s="2" t="n"/>
      <c r="K121" s="2" t="n"/>
      <c r="L121" s="2" t="n"/>
      <c r="M121" s="2" t="n"/>
      <c r="N121" s="2" t="n"/>
      <c r="O121" s="2" t="n"/>
      <c r="P121" s="2" t="n"/>
      <c r="Q121" s="2" t="n"/>
      <c r="R121" s="2" t="n"/>
      <c r="S121" s="56" t="n"/>
      <c r="T121" s="56" t="n"/>
      <c r="U121" s="56" t="n"/>
      <c r="V121" s="56" t="n"/>
      <c r="W121" s="56" t="n"/>
      <c r="X121" s="56" t="n"/>
      <c r="Y121" s="56" t="n"/>
      <c r="Z121" s="56" t="n"/>
      <c r="AA121" s="56" t="n"/>
    </row>
    <row r="122" ht="15.75" customHeight="1" s="42">
      <c r="A122" s="2" t="n"/>
      <c r="B122" s="2" t="n"/>
      <c r="C122" s="2" t="n"/>
      <c r="D122" s="2" t="n"/>
      <c r="E122" s="2" t="n"/>
      <c r="F122" s="2" t="n"/>
      <c r="G122" s="2" t="n"/>
      <c r="H122" s="2" t="n"/>
      <c r="I122" s="2" t="n"/>
      <c r="J122" s="2" t="n"/>
      <c r="K122" s="2" t="n"/>
      <c r="L122" s="2" t="n"/>
      <c r="M122" s="2" t="n"/>
      <c r="N122" s="2" t="n"/>
      <c r="O122" s="2" t="n"/>
      <c r="P122" s="2" t="n"/>
      <c r="Q122" s="2" t="n"/>
      <c r="R122" s="2" t="n"/>
      <c r="S122" s="56" t="n"/>
      <c r="T122" s="56" t="n"/>
      <c r="U122" s="56" t="n"/>
      <c r="V122" s="56" t="n"/>
      <c r="W122" s="56" t="n"/>
      <c r="X122" s="56" t="n"/>
      <c r="Y122" s="56" t="n"/>
      <c r="Z122" s="56" t="n"/>
      <c r="AA122" s="56" t="n"/>
    </row>
    <row r="123" ht="15.75" customHeight="1" s="42">
      <c r="A123" s="2" t="n"/>
      <c r="B123" s="2" t="n"/>
      <c r="C123" s="2" t="n"/>
      <c r="D123" s="2" t="n"/>
      <c r="E123" s="2" t="n"/>
      <c r="F123" s="2" t="n"/>
      <c r="G123" s="2" t="n"/>
      <c r="H123" s="2" t="n"/>
      <c r="I123" s="2" t="n"/>
      <c r="J123" s="2" t="n"/>
      <c r="K123" s="2" t="n"/>
      <c r="L123" s="2" t="n"/>
      <c r="M123" s="2" t="n"/>
      <c r="N123" s="2" t="n"/>
      <c r="O123" s="2" t="n"/>
      <c r="P123" s="2" t="n"/>
      <c r="Q123" s="2" t="n"/>
      <c r="R123" s="2" t="n"/>
      <c r="S123" s="56" t="n"/>
      <c r="T123" s="56" t="n"/>
      <c r="U123" s="56" t="n"/>
      <c r="V123" s="56" t="n"/>
      <c r="W123" s="56" t="n"/>
      <c r="X123" s="56" t="n"/>
      <c r="Y123" s="56" t="n"/>
      <c r="Z123" s="56" t="n"/>
      <c r="AA123" s="56" t="n"/>
    </row>
    <row r="124" ht="15.75" customHeight="1" s="42">
      <c r="A124" s="2" t="n"/>
      <c r="B124" s="2" t="n"/>
      <c r="C124" s="2" t="n"/>
      <c r="D124" s="2" t="n"/>
      <c r="E124" s="2" t="n"/>
      <c r="F124" s="2" t="n"/>
      <c r="G124" s="2" t="n"/>
      <c r="H124" s="2" t="n"/>
      <c r="I124" s="2" t="n"/>
      <c r="J124" s="2" t="n"/>
      <c r="K124" s="2" t="n"/>
      <c r="L124" s="2" t="n"/>
      <c r="M124" s="2" t="n"/>
      <c r="N124" s="2" t="n"/>
      <c r="O124" s="2" t="n"/>
      <c r="P124" s="2" t="n"/>
      <c r="Q124" s="2" t="n"/>
      <c r="R124" s="2" t="n"/>
      <c r="S124" s="56" t="n"/>
      <c r="T124" s="56" t="n"/>
      <c r="U124" s="56" t="n"/>
      <c r="V124" s="56" t="n"/>
      <c r="W124" s="56" t="n"/>
      <c r="X124" s="56" t="n"/>
      <c r="Y124" s="56" t="n"/>
      <c r="Z124" s="56" t="n"/>
      <c r="AA124" s="56" t="n"/>
    </row>
    <row r="125" ht="15.75" customHeight="1" s="42">
      <c r="A125" s="2" t="n"/>
      <c r="B125" s="2" t="n"/>
      <c r="C125" s="2" t="n"/>
      <c r="D125" s="2" t="n"/>
      <c r="E125" s="2" t="n"/>
      <c r="F125" s="2" t="n"/>
      <c r="G125" s="2" t="n"/>
      <c r="H125" s="2" t="n"/>
      <c r="I125" s="2" t="n"/>
      <c r="J125" s="2" t="n"/>
      <c r="K125" s="2" t="n"/>
      <c r="L125" s="2" t="n"/>
      <c r="M125" s="2" t="n"/>
      <c r="N125" s="2" t="n"/>
      <c r="O125" s="2" t="n"/>
      <c r="P125" s="2" t="n"/>
      <c r="Q125" s="2" t="n"/>
      <c r="R125" s="2" t="n"/>
      <c r="S125" s="56" t="n"/>
      <c r="T125" s="56" t="n"/>
      <c r="U125" s="56" t="n"/>
      <c r="V125" s="56" t="n"/>
      <c r="W125" s="56" t="n"/>
      <c r="X125" s="56" t="n"/>
      <c r="Y125" s="56" t="n"/>
      <c r="Z125" s="56" t="n"/>
      <c r="AA125" s="56" t="n"/>
    </row>
    <row r="126" ht="15.75" customHeight="1" s="42">
      <c r="A126" s="2" t="n"/>
      <c r="B126" s="2" t="n"/>
      <c r="C126" s="2" t="n"/>
      <c r="D126" s="2" t="n"/>
      <c r="E126" s="2" t="n"/>
      <c r="F126" s="2" t="n"/>
      <c r="G126" s="2" t="n"/>
      <c r="H126" s="2" t="n"/>
      <c r="I126" s="2" t="n"/>
      <c r="J126" s="2" t="n"/>
      <c r="K126" s="2" t="n"/>
      <c r="L126" s="2" t="n"/>
      <c r="M126" s="2" t="n"/>
      <c r="N126" s="2" t="n"/>
      <c r="O126" s="2" t="n"/>
      <c r="P126" s="2" t="n"/>
      <c r="Q126" s="2" t="n"/>
      <c r="R126" s="2" t="n"/>
      <c r="S126" s="56" t="n"/>
      <c r="T126" s="56" t="n"/>
      <c r="U126" s="56" t="n"/>
      <c r="V126" s="56" t="n"/>
      <c r="W126" s="56" t="n"/>
      <c r="X126" s="56" t="n"/>
      <c r="Y126" s="56" t="n"/>
      <c r="Z126" s="56" t="n"/>
      <c r="AA126" s="56" t="n"/>
    </row>
    <row r="127" ht="15.75" customHeight="1" s="42">
      <c r="A127" s="2" t="n"/>
      <c r="B127" s="2" t="n"/>
      <c r="C127" s="2" t="n"/>
      <c r="D127" s="2" t="n"/>
      <c r="E127" s="2" t="n"/>
      <c r="F127" s="2" t="n"/>
      <c r="G127" s="2" t="n"/>
      <c r="H127" s="2" t="n"/>
      <c r="I127" s="2" t="n"/>
      <c r="J127" s="2" t="n"/>
      <c r="K127" s="2" t="n"/>
      <c r="L127" s="2" t="n"/>
      <c r="M127" s="2" t="n"/>
      <c r="N127" s="2" t="n"/>
      <c r="O127" s="2" t="n"/>
      <c r="P127" s="2" t="n"/>
      <c r="Q127" s="2" t="n"/>
      <c r="R127" s="2" t="n"/>
      <c r="S127" s="56" t="n"/>
      <c r="T127" s="56" t="n"/>
      <c r="U127" s="56" t="n"/>
      <c r="V127" s="56" t="n"/>
      <c r="W127" s="56" t="n"/>
      <c r="X127" s="56" t="n"/>
      <c r="Y127" s="56" t="n"/>
      <c r="Z127" s="56" t="n"/>
      <c r="AA127" s="56" t="n"/>
    </row>
    <row r="128" ht="15.75" customHeight="1" s="42">
      <c r="A128" s="2" t="n"/>
      <c r="B128" s="2" t="n"/>
      <c r="C128" s="2" t="n"/>
      <c r="D128" s="2" t="n"/>
      <c r="E128" s="2" t="n"/>
      <c r="F128" s="2" t="n"/>
      <c r="G128" s="2" t="n"/>
      <c r="H128" s="2" t="n"/>
      <c r="I128" s="2" t="n"/>
      <c r="J128" s="2" t="n"/>
      <c r="K128" s="2" t="n"/>
      <c r="L128" s="2" t="n"/>
      <c r="M128" s="2" t="n"/>
      <c r="N128" s="2" t="n"/>
      <c r="O128" s="2" t="n"/>
      <c r="P128" s="2" t="n"/>
      <c r="Q128" s="2" t="n"/>
      <c r="R128" s="2" t="n"/>
      <c r="S128" s="56" t="n"/>
      <c r="T128" s="56" t="n"/>
      <c r="U128" s="56" t="n"/>
      <c r="V128" s="56" t="n"/>
      <c r="W128" s="56" t="n"/>
      <c r="X128" s="56" t="n"/>
      <c r="Y128" s="56" t="n"/>
      <c r="Z128" s="56" t="n"/>
      <c r="AA128" s="56" t="n"/>
    </row>
    <row r="129" ht="15.75" customHeight="1" s="42">
      <c r="A129" s="2" t="n"/>
      <c r="B129" s="2" t="n"/>
      <c r="C129" s="2" t="n"/>
      <c r="D129" s="2" t="n"/>
      <c r="E129" s="2" t="n"/>
      <c r="F129" s="2" t="n"/>
      <c r="G129" s="2" t="n"/>
      <c r="H129" s="2" t="n"/>
      <c r="I129" s="2" t="n"/>
      <c r="J129" s="2" t="n"/>
      <c r="K129" s="2" t="n"/>
      <c r="L129" s="2" t="n"/>
      <c r="M129" s="2" t="n"/>
      <c r="N129" s="2" t="n"/>
      <c r="O129" s="2" t="n"/>
      <c r="P129" s="2" t="n"/>
      <c r="Q129" s="2" t="n"/>
      <c r="R129" s="2" t="n"/>
      <c r="S129" s="56" t="n"/>
      <c r="T129" s="56" t="n"/>
      <c r="U129" s="56" t="n"/>
      <c r="V129" s="56" t="n"/>
      <c r="W129" s="56" t="n"/>
      <c r="X129" s="56" t="n"/>
      <c r="Y129" s="56" t="n"/>
      <c r="Z129" s="56" t="n"/>
      <c r="AA129" s="56" t="n"/>
    </row>
    <row r="130" ht="15.75" customHeight="1" s="42">
      <c r="A130" s="2" t="n"/>
      <c r="B130" s="2" t="n"/>
      <c r="C130" s="2" t="n"/>
      <c r="D130" s="2" t="n"/>
      <c r="E130" s="2" t="n"/>
      <c r="F130" s="2" t="n"/>
      <c r="G130" s="2" t="n"/>
      <c r="H130" s="2" t="n"/>
      <c r="I130" s="2" t="n"/>
      <c r="J130" s="2" t="n"/>
      <c r="K130" s="2" t="n"/>
      <c r="L130" s="2" t="n"/>
      <c r="M130" s="2" t="n"/>
      <c r="N130" s="2" t="n"/>
      <c r="O130" s="2" t="n"/>
      <c r="P130" s="2" t="n"/>
      <c r="Q130" s="2" t="n"/>
      <c r="R130" s="2" t="n"/>
      <c r="S130" s="56" t="n"/>
      <c r="T130" s="56" t="n"/>
      <c r="U130" s="56" t="n"/>
      <c r="V130" s="56" t="n"/>
      <c r="W130" s="56" t="n"/>
      <c r="X130" s="56" t="n"/>
      <c r="Y130" s="56" t="n"/>
      <c r="Z130" s="56" t="n"/>
      <c r="AA130" s="56" t="n"/>
    </row>
    <row r="131" ht="15.75" customHeight="1" s="42">
      <c r="A131" s="2" t="n"/>
      <c r="B131" s="2" t="n"/>
      <c r="C131" s="2" t="n"/>
      <c r="D131" s="2" t="n"/>
      <c r="E131" s="2" t="n"/>
      <c r="F131" s="2" t="n"/>
      <c r="G131" s="2" t="n"/>
      <c r="H131" s="2" t="n"/>
      <c r="I131" s="2" t="n"/>
      <c r="J131" s="2" t="n"/>
      <c r="K131" s="2" t="n"/>
      <c r="L131" s="2" t="n"/>
      <c r="M131" s="2" t="n"/>
      <c r="N131" s="2" t="n"/>
      <c r="O131" s="2" t="n"/>
      <c r="P131" s="2" t="n"/>
      <c r="Q131" s="2" t="n"/>
      <c r="R131" s="2" t="n"/>
      <c r="S131" s="56" t="n"/>
      <c r="T131" s="56" t="n"/>
      <c r="U131" s="56" t="n"/>
      <c r="V131" s="56" t="n"/>
      <c r="W131" s="56" t="n"/>
      <c r="X131" s="56" t="n"/>
      <c r="Y131" s="56" t="n"/>
      <c r="Z131" s="56" t="n"/>
      <c r="AA131" s="56" t="n"/>
    </row>
    <row r="132" ht="15.75" customHeight="1" s="42">
      <c r="A132" s="2" t="n"/>
      <c r="B132" s="2" t="n"/>
      <c r="C132" s="2" t="n"/>
      <c r="D132" s="2" t="n"/>
      <c r="E132" s="2" t="n"/>
      <c r="F132" s="2" t="n"/>
      <c r="G132" s="2" t="n"/>
      <c r="H132" s="2" t="n"/>
      <c r="I132" s="2" t="n"/>
      <c r="J132" s="2" t="n"/>
      <c r="K132" s="2" t="n"/>
      <c r="L132" s="2" t="n"/>
      <c r="M132" s="2" t="n"/>
      <c r="N132" s="2" t="n"/>
      <c r="O132" s="2" t="n"/>
      <c r="P132" s="2" t="n"/>
      <c r="Q132" s="2" t="n"/>
      <c r="R132" s="2" t="n"/>
      <c r="S132" s="56" t="n"/>
      <c r="T132" s="56" t="n"/>
      <c r="U132" s="56" t="n"/>
      <c r="V132" s="56" t="n"/>
      <c r="W132" s="56" t="n"/>
      <c r="X132" s="56" t="n"/>
      <c r="Y132" s="56" t="n"/>
      <c r="Z132" s="56" t="n"/>
      <c r="AA132" s="56" t="n"/>
    </row>
    <row r="133" ht="15.75" customHeight="1" s="42">
      <c r="A133" s="2" t="n"/>
      <c r="B133" s="2" t="n"/>
      <c r="C133" s="2" t="n"/>
      <c r="D133" s="2" t="n"/>
      <c r="E133" s="2" t="n"/>
      <c r="F133" s="2" t="n"/>
      <c r="G133" s="2" t="n"/>
      <c r="H133" s="2" t="n"/>
      <c r="I133" s="2" t="n"/>
      <c r="J133" s="2" t="n"/>
      <c r="K133" s="2" t="n"/>
      <c r="L133" s="2" t="n"/>
      <c r="M133" s="2" t="n"/>
      <c r="N133" s="2" t="n"/>
      <c r="O133" s="2" t="n"/>
      <c r="P133" s="2" t="n"/>
      <c r="Q133" s="2" t="n"/>
      <c r="R133" s="2" t="n"/>
      <c r="S133" s="56" t="n"/>
      <c r="T133" s="56" t="n"/>
      <c r="U133" s="56" t="n"/>
      <c r="V133" s="56" t="n"/>
      <c r="W133" s="56" t="n"/>
      <c r="X133" s="56" t="n"/>
      <c r="Y133" s="56" t="n"/>
      <c r="Z133" s="56" t="n"/>
      <c r="AA133" s="56" t="n"/>
    </row>
    <row r="134" ht="15.75" customHeight="1" s="42">
      <c r="A134" s="2" t="n"/>
      <c r="B134" s="2" t="n"/>
      <c r="C134" s="2" t="n"/>
      <c r="D134" s="2" t="n"/>
      <c r="E134" s="2" t="n"/>
      <c r="F134" s="2" t="n"/>
      <c r="G134" s="2" t="n"/>
      <c r="H134" s="2" t="n"/>
      <c r="I134" s="2" t="n"/>
      <c r="J134" s="2" t="n"/>
      <c r="K134" s="2" t="n"/>
      <c r="L134" s="2" t="n"/>
      <c r="M134" s="2" t="n"/>
      <c r="N134" s="2" t="n"/>
      <c r="O134" s="2" t="n"/>
      <c r="P134" s="2" t="n"/>
      <c r="Q134" s="2" t="n"/>
      <c r="R134" s="2" t="n"/>
      <c r="S134" s="56" t="n"/>
      <c r="T134" s="56" t="n"/>
      <c r="U134" s="56" t="n"/>
      <c r="V134" s="56" t="n"/>
      <c r="W134" s="56" t="n"/>
      <c r="X134" s="56" t="n"/>
      <c r="Y134" s="56" t="n"/>
      <c r="Z134" s="56" t="n"/>
      <c r="AA134" s="56" t="n"/>
    </row>
    <row r="135" ht="15.75" customHeight="1" s="42">
      <c r="A135" s="2" t="n"/>
      <c r="B135" s="2" t="n"/>
      <c r="C135" s="2" t="n"/>
      <c r="D135" s="2" t="n"/>
      <c r="E135" s="2" t="n"/>
      <c r="F135" s="2" t="n"/>
      <c r="G135" s="2" t="n"/>
      <c r="H135" s="2" t="n"/>
      <c r="I135" s="2" t="n"/>
      <c r="J135" s="2" t="n"/>
      <c r="K135" s="2" t="n"/>
      <c r="L135" s="2" t="n"/>
      <c r="M135" s="2" t="n"/>
      <c r="N135" s="2" t="n"/>
      <c r="O135" s="2" t="n"/>
      <c r="P135" s="2" t="n"/>
      <c r="Q135" s="2" t="n"/>
      <c r="R135" s="2" t="n"/>
      <c r="S135" s="56" t="n"/>
      <c r="T135" s="56" t="n"/>
      <c r="U135" s="56" t="n"/>
      <c r="V135" s="56" t="n"/>
      <c r="W135" s="56" t="n"/>
      <c r="X135" s="56" t="n"/>
      <c r="Y135" s="56" t="n"/>
      <c r="Z135" s="56" t="n"/>
      <c r="AA135" s="56" t="n"/>
    </row>
    <row r="136" ht="15.75" customHeight="1" s="42">
      <c r="A136" s="2" t="n"/>
      <c r="B136" s="2" t="n"/>
      <c r="C136" s="2" t="n"/>
      <c r="D136" s="2" t="n"/>
      <c r="E136" s="2" t="n"/>
      <c r="F136" s="2" t="n"/>
      <c r="G136" s="2" t="n"/>
      <c r="H136" s="2" t="n"/>
      <c r="I136" s="2" t="n"/>
      <c r="J136" s="2" t="n"/>
      <c r="K136" s="2" t="n"/>
      <c r="L136" s="2" t="n"/>
      <c r="M136" s="2" t="n"/>
      <c r="N136" s="2" t="n"/>
      <c r="O136" s="2" t="n"/>
      <c r="P136" s="2" t="n"/>
      <c r="Q136" s="2" t="n"/>
      <c r="R136" s="2" t="n"/>
      <c r="S136" s="56" t="n"/>
      <c r="T136" s="56" t="n"/>
      <c r="U136" s="56" t="n"/>
      <c r="V136" s="56" t="n"/>
      <c r="W136" s="56" t="n"/>
      <c r="X136" s="56" t="n"/>
      <c r="Y136" s="56" t="n"/>
      <c r="Z136" s="56" t="n"/>
      <c r="AA136" s="56" t="n"/>
    </row>
    <row r="137" ht="15.75" customHeight="1" s="42">
      <c r="A137" s="2" t="n"/>
      <c r="B137" s="2" t="n"/>
      <c r="C137" s="2" t="n"/>
      <c r="D137" s="2" t="n"/>
      <c r="E137" s="2" t="n"/>
      <c r="F137" s="2" t="n"/>
      <c r="G137" s="2" t="n"/>
      <c r="H137" s="2" t="n"/>
      <c r="I137" s="2" t="n"/>
      <c r="J137" s="2" t="n"/>
      <c r="K137" s="2" t="n"/>
      <c r="L137" s="2" t="n"/>
      <c r="M137" s="2" t="n"/>
      <c r="N137" s="2" t="n"/>
      <c r="O137" s="2" t="n"/>
      <c r="P137" s="2" t="n"/>
      <c r="Q137" s="2" t="n"/>
      <c r="R137" s="2" t="n"/>
      <c r="S137" s="56" t="n"/>
      <c r="T137" s="56" t="n"/>
      <c r="U137" s="56" t="n"/>
      <c r="V137" s="56" t="n"/>
      <c r="W137" s="56" t="n"/>
      <c r="X137" s="56" t="n"/>
      <c r="Y137" s="56" t="n"/>
      <c r="Z137" s="56" t="n"/>
      <c r="AA137" s="56" t="n"/>
    </row>
    <row r="138" ht="15.75" customHeight="1" s="42">
      <c r="A138" s="2" t="n"/>
      <c r="B138" s="2" t="n"/>
      <c r="C138" s="2" t="n"/>
      <c r="D138" s="2" t="n"/>
      <c r="E138" s="2" t="n"/>
      <c r="F138" s="2" t="n"/>
      <c r="G138" s="2" t="n"/>
      <c r="H138" s="2" t="n"/>
      <c r="I138" s="2" t="n"/>
      <c r="J138" s="2" t="n"/>
      <c r="K138" s="2" t="n"/>
      <c r="L138" s="2" t="n"/>
      <c r="M138" s="2" t="n"/>
      <c r="N138" s="2" t="n"/>
      <c r="O138" s="2" t="n"/>
      <c r="P138" s="2" t="n"/>
      <c r="Q138" s="2" t="n"/>
      <c r="R138" s="2" t="n"/>
      <c r="S138" s="56" t="n"/>
      <c r="T138" s="56" t="n"/>
      <c r="U138" s="56" t="n"/>
      <c r="V138" s="56" t="n"/>
      <c r="W138" s="56" t="n"/>
      <c r="X138" s="56" t="n"/>
      <c r="Y138" s="56" t="n"/>
      <c r="Z138" s="56" t="n"/>
      <c r="AA138" s="56" t="n"/>
    </row>
    <row r="139" ht="15.75" customHeight="1" s="42">
      <c r="A139" s="2" t="n"/>
      <c r="B139" s="2" t="n"/>
      <c r="C139" s="2" t="n"/>
      <c r="D139" s="2" t="n"/>
      <c r="E139" s="2" t="n"/>
      <c r="F139" s="2" t="n"/>
      <c r="G139" s="2" t="n"/>
      <c r="H139" s="2" t="n"/>
      <c r="I139" s="2" t="n"/>
      <c r="J139" s="2" t="n"/>
      <c r="K139" s="2" t="n"/>
      <c r="L139" s="2" t="n"/>
      <c r="M139" s="2" t="n"/>
      <c r="N139" s="2" t="n"/>
      <c r="O139" s="2" t="n"/>
      <c r="P139" s="2" t="n"/>
      <c r="Q139" s="2" t="n"/>
      <c r="R139" s="2" t="n"/>
      <c r="S139" s="56" t="n"/>
      <c r="T139" s="56" t="n"/>
      <c r="U139" s="56" t="n"/>
      <c r="V139" s="56" t="n"/>
      <c r="W139" s="56" t="n"/>
      <c r="X139" s="56" t="n"/>
      <c r="Y139" s="56" t="n"/>
      <c r="Z139" s="56" t="n"/>
      <c r="AA139" s="56" t="n"/>
    </row>
    <row r="140" ht="15.75" customHeight="1" s="42">
      <c r="A140" s="2" t="n"/>
      <c r="B140" s="2" t="n"/>
      <c r="C140" s="2" t="n"/>
      <c r="D140" s="2" t="n"/>
      <c r="E140" s="2" t="n"/>
      <c r="F140" s="2" t="n"/>
      <c r="G140" s="2" t="n"/>
      <c r="H140" s="2" t="n"/>
      <c r="I140" s="2" t="n"/>
      <c r="J140" s="2" t="n"/>
      <c r="K140" s="2" t="n"/>
      <c r="L140" s="2" t="n"/>
      <c r="M140" s="2" t="n"/>
      <c r="N140" s="2" t="n"/>
      <c r="O140" s="2" t="n"/>
      <c r="P140" s="2" t="n"/>
      <c r="Q140" s="2" t="n"/>
      <c r="R140" s="2" t="n"/>
      <c r="S140" s="56" t="n"/>
      <c r="T140" s="56" t="n"/>
      <c r="U140" s="56" t="n"/>
      <c r="V140" s="56" t="n"/>
      <c r="W140" s="56" t="n"/>
      <c r="X140" s="56" t="n"/>
      <c r="Y140" s="56" t="n"/>
      <c r="Z140" s="56" t="n"/>
      <c r="AA140" s="56" t="n"/>
    </row>
    <row r="141" ht="15.75" customHeight="1" s="42">
      <c r="A141" s="2" t="n"/>
      <c r="B141" s="2" t="n"/>
      <c r="C141" s="2" t="n"/>
      <c r="D141" s="2" t="n"/>
      <c r="E141" s="2" t="n"/>
      <c r="F141" s="2" t="n"/>
      <c r="G141" s="2" t="n"/>
      <c r="H141" s="2" t="n"/>
      <c r="I141" s="2" t="n"/>
      <c r="J141" s="2" t="n"/>
      <c r="K141" s="2" t="n"/>
      <c r="L141" s="2" t="n"/>
      <c r="M141" s="2" t="n"/>
      <c r="N141" s="2" t="n"/>
      <c r="O141" s="2" t="n"/>
      <c r="P141" s="2" t="n"/>
      <c r="Q141" s="2" t="n"/>
      <c r="R141" s="2" t="n"/>
      <c r="S141" s="56" t="n"/>
      <c r="T141" s="56" t="n"/>
      <c r="U141" s="56" t="n"/>
      <c r="V141" s="56" t="n"/>
      <c r="W141" s="56" t="n"/>
      <c r="X141" s="56" t="n"/>
      <c r="Y141" s="56" t="n"/>
      <c r="Z141" s="56" t="n"/>
      <c r="AA141" s="56" t="n"/>
    </row>
    <row r="142" ht="15.75" customHeight="1" s="42">
      <c r="A142" s="2" t="n"/>
      <c r="B142" s="2" t="n"/>
      <c r="C142" s="2" t="n"/>
      <c r="D142" s="2" t="n"/>
      <c r="E142" s="2" t="n"/>
      <c r="F142" s="2" t="n"/>
      <c r="G142" s="2" t="n"/>
      <c r="H142" s="2" t="n"/>
      <c r="I142" s="2" t="n"/>
      <c r="J142" s="2" t="n"/>
      <c r="K142" s="2" t="n"/>
      <c r="L142" s="2" t="n"/>
      <c r="M142" s="2" t="n"/>
      <c r="N142" s="2" t="n"/>
      <c r="O142" s="2" t="n"/>
      <c r="P142" s="2" t="n"/>
      <c r="Q142" s="2" t="n"/>
      <c r="R142" s="2" t="n"/>
      <c r="S142" s="56" t="n"/>
      <c r="T142" s="56" t="n"/>
      <c r="U142" s="56" t="n"/>
      <c r="V142" s="56" t="n"/>
      <c r="W142" s="56" t="n"/>
      <c r="X142" s="56" t="n"/>
      <c r="Y142" s="56" t="n"/>
      <c r="Z142" s="56" t="n"/>
      <c r="AA142" s="56" t="n"/>
    </row>
    <row r="143" ht="15.75" customHeight="1" s="42">
      <c r="A143" s="2" t="n"/>
      <c r="B143" s="2" t="n"/>
      <c r="C143" s="2" t="n"/>
      <c r="D143" s="2" t="n"/>
      <c r="E143" s="2" t="n"/>
      <c r="F143" s="2" t="n"/>
      <c r="G143" s="2" t="n"/>
      <c r="H143" s="2" t="n"/>
      <c r="I143" s="2" t="n"/>
      <c r="J143" s="2" t="n"/>
      <c r="K143" s="2" t="n"/>
      <c r="L143" s="2" t="n"/>
      <c r="M143" s="2" t="n"/>
      <c r="N143" s="2" t="n"/>
      <c r="O143" s="2" t="n"/>
      <c r="P143" s="2" t="n"/>
      <c r="Q143" s="2" t="n"/>
      <c r="R143" s="2" t="n"/>
      <c r="S143" s="56" t="n"/>
      <c r="T143" s="56" t="n"/>
      <c r="U143" s="56" t="n"/>
      <c r="V143" s="56" t="n"/>
      <c r="W143" s="56" t="n"/>
      <c r="X143" s="56" t="n"/>
      <c r="Y143" s="56" t="n"/>
      <c r="Z143" s="56" t="n"/>
      <c r="AA143" s="56" t="n"/>
    </row>
    <row r="144" ht="15.75" customHeight="1" s="42">
      <c r="A144" s="2" t="n"/>
      <c r="B144" s="2" t="n"/>
      <c r="C144" s="2" t="n"/>
      <c r="D144" s="2" t="n"/>
      <c r="E144" s="2" t="n"/>
      <c r="F144" s="2" t="n"/>
      <c r="G144" s="2" t="n"/>
      <c r="H144" s="2" t="n"/>
      <c r="I144" s="2" t="n"/>
      <c r="J144" s="2" t="n"/>
      <c r="K144" s="2" t="n"/>
      <c r="L144" s="2" t="n"/>
      <c r="M144" s="2" t="n"/>
      <c r="N144" s="2" t="n"/>
      <c r="O144" s="2" t="n"/>
      <c r="P144" s="2" t="n"/>
      <c r="Q144" s="2" t="n"/>
      <c r="R144" s="2" t="n"/>
      <c r="S144" s="56" t="n"/>
      <c r="T144" s="56" t="n"/>
      <c r="U144" s="56" t="n"/>
      <c r="V144" s="56" t="n"/>
      <c r="W144" s="56" t="n"/>
      <c r="X144" s="56" t="n"/>
      <c r="Y144" s="56" t="n"/>
      <c r="Z144" s="56" t="n"/>
      <c r="AA144" s="56" t="n"/>
    </row>
    <row r="145" ht="15.75" customHeight="1" s="42">
      <c r="A145" s="2" t="n"/>
      <c r="B145" s="2" t="n"/>
      <c r="C145" s="2" t="n"/>
      <c r="D145" s="2" t="n"/>
      <c r="E145" s="2" t="n"/>
      <c r="F145" s="2" t="n"/>
      <c r="G145" s="2" t="n"/>
      <c r="H145" s="2" t="n"/>
      <c r="I145" s="2" t="n"/>
      <c r="J145" s="2" t="n"/>
      <c r="K145" s="2" t="n"/>
      <c r="L145" s="2" t="n"/>
      <c r="M145" s="2" t="n"/>
      <c r="N145" s="2" t="n"/>
      <c r="O145" s="2" t="n"/>
      <c r="P145" s="2" t="n"/>
      <c r="Q145" s="2" t="n"/>
      <c r="R145" s="2" t="n"/>
      <c r="S145" s="56" t="n"/>
      <c r="T145" s="56" t="n"/>
      <c r="U145" s="56" t="n"/>
      <c r="V145" s="56" t="n"/>
      <c r="W145" s="56" t="n"/>
      <c r="X145" s="56" t="n"/>
      <c r="Y145" s="56" t="n"/>
      <c r="Z145" s="56" t="n"/>
      <c r="AA145" s="56" t="n"/>
    </row>
    <row r="146" ht="15.75" customHeight="1" s="42">
      <c r="A146" s="2" t="n"/>
      <c r="B146" s="2" t="n"/>
      <c r="C146" s="2" t="n"/>
      <c r="D146" s="2" t="n"/>
      <c r="E146" s="2" t="n"/>
      <c r="F146" s="2" t="n"/>
      <c r="G146" s="2" t="n"/>
      <c r="H146" s="2" t="n"/>
      <c r="I146" s="2" t="n"/>
      <c r="J146" s="2" t="n"/>
      <c r="K146" s="2" t="n"/>
      <c r="L146" s="2" t="n"/>
      <c r="M146" s="2" t="n"/>
      <c r="N146" s="2" t="n"/>
      <c r="O146" s="2" t="n"/>
      <c r="P146" s="2" t="n"/>
      <c r="Q146" s="2" t="n"/>
      <c r="R146" s="2" t="n"/>
      <c r="S146" s="56" t="n"/>
      <c r="T146" s="56" t="n"/>
      <c r="U146" s="56" t="n"/>
      <c r="V146" s="56" t="n"/>
      <c r="W146" s="56" t="n"/>
      <c r="X146" s="56" t="n"/>
      <c r="Y146" s="56" t="n"/>
      <c r="Z146" s="56" t="n"/>
      <c r="AA146" s="56" t="n"/>
    </row>
    <row r="147" ht="15.75" customHeight="1" s="42">
      <c r="A147" s="2" t="n"/>
      <c r="B147" s="2" t="n"/>
      <c r="C147" s="2" t="n"/>
      <c r="D147" s="2" t="n"/>
      <c r="E147" s="2" t="n"/>
      <c r="F147" s="2" t="n"/>
      <c r="G147" s="2" t="n"/>
      <c r="H147" s="2" t="n"/>
      <c r="I147" s="2" t="n"/>
      <c r="J147" s="2" t="n"/>
      <c r="K147" s="2" t="n"/>
      <c r="L147" s="2" t="n"/>
      <c r="M147" s="2" t="n"/>
      <c r="N147" s="2" t="n"/>
      <c r="O147" s="2" t="n"/>
      <c r="P147" s="2" t="n"/>
      <c r="Q147" s="2" t="n"/>
      <c r="R147" s="2" t="n"/>
      <c r="S147" s="56" t="n"/>
      <c r="T147" s="56" t="n"/>
      <c r="U147" s="56" t="n"/>
      <c r="V147" s="56" t="n"/>
      <c r="W147" s="56" t="n"/>
      <c r="X147" s="56" t="n"/>
      <c r="Y147" s="56" t="n"/>
      <c r="Z147" s="56" t="n"/>
      <c r="AA147" s="56" t="n"/>
    </row>
    <row r="148" ht="15.75" customHeight="1" s="42">
      <c r="A148" s="2" t="n"/>
      <c r="B148" s="2" t="n"/>
      <c r="C148" s="2" t="n"/>
      <c r="D148" s="2" t="n"/>
      <c r="E148" s="2" t="n"/>
      <c r="F148" s="2" t="n"/>
      <c r="G148" s="2" t="n"/>
      <c r="H148" s="2" t="n"/>
      <c r="I148" s="2" t="n"/>
      <c r="J148" s="2" t="n"/>
      <c r="K148" s="2" t="n"/>
      <c r="L148" s="2" t="n"/>
      <c r="M148" s="2" t="n"/>
      <c r="N148" s="2" t="n"/>
      <c r="O148" s="2" t="n"/>
      <c r="P148" s="2" t="n"/>
      <c r="Q148" s="2" t="n"/>
      <c r="R148" s="2" t="n"/>
      <c r="S148" s="56" t="n"/>
      <c r="T148" s="56" t="n"/>
      <c r="U148" s="56" t="n"/>
      <c r="V148" s="56" t="n"/>
      <c r="W148" s="56" t="n"/>
      <c r="X148" s="56" t="n"/>
      <c r="Y148" s="56" t="n"/>
      <c r="Z148" s="56" t="n"/>
      <c r="AA148" s="56" t="n"/>
    </row>
    <row r="149" ht="15.75" customHeight="1" s="42">
      <c r="A149" s="2" t="n"/>
      <c r="B149" s="2" t="n"/>
      <c r="C149" s="2" t="n"/>
      <c r="D149" s="2" t="n"/>
      <c r="E149" s="2" t="n"/>
      <c r="F149" s="2" t="n"/>
      <c r="G149" s="2" t="n"/>
      <c r="H149" s="2" t="n"/>
      <c r="I149" s="2" t="n"/>
      <c r="J149" s="2" t="n"/>
      <c r="K149" s="2" t="n"/>
      <c r="L149" s="2" t="n"/>
      <c r="M149" s="2" t="n"/>
      <c r="N149" s="2" t="n"/>
      <c r="O149" s="2" t="n"/>
      <c r="P149" s="2" t="n"/>
      <c r="Q149" s="2" t="n"/>
      <c r="R149" s="2" t="n"/>
      <c r="S149" s="56" t="n"/>
      <c r="T149" s="56" t="n"/>
      <c r="U149" s="56" t="n"/>
      <c r="V149" s="56" t="n"/>
      <c r="W149" s="56" t="n"/>
      <c r="X149" s="56" t="n"/>
      <c r="Y149" s="56" t="n"/>
      <c r="Z149" s="56" t="n"/>
      <c r="AA149" s="56" t="n"/>
    </row>
    <row r="150" ht="15.75" customHeight="1" s="42">
      <c r="A150" s="2" t="n"/>
      <c r="B150" s="2" t="n"/>
      <c r="C150" s="2" t="n"/>
      <c r="D150" s="2" t="n"/>
      <c r="E150" s="2" t="n"/>
      <c r="F150" s="2" t="n"/>
      <c r="G150" s="2" t="n"/>
      <c r="H150" s="2" t="n"/>
      <c r="I150" s="2" t="n"/>
      <c r="J150" s="2" t="n"/>
      <c r="K150" s="2" t="n"/>
      <c r="L150" s="2" t="n"/>
      <c r="M150" s="2" t="n"/>
      <c r="N150" s="2" t="n"/>
      <c r="O150" s="2" t="n"/>
      <c r="P150" s="2" t="n"/>
      <c r="Q150" s="2" t="n"/>
      <c r="R150" s="2" t="n"/>
      <c r="S150" s="56" t="n"/>
      <c r="T150" s="56" t="n"/>
      <c r="U150" s="56" t="n"/>
      <c r="V150" s="56" t="n"/>
      <c r="W150" s="56" t="n"/>
      <c r="X150" s="56" t="n"/>
      <c r="Y150" s="56" t="n"/>
      <c r="Z150" s="56" t="n"/>
      <c r="AA150" s="56" t="n"/>
    </row>
    <row r="151" ht="15.75" customHeight="1" s="42">
      <c r="A151" s="2" t="n"/>
      <c r="B151" s="2" t="n"/>
      <c r="C151" s="2" t="n"/>
      <c r="D151" s="2" t="n"/>
      <c r="E151" s="2" t="n"/>
      <c r="F151" s="2" t="n"/>
      <c r="G151" s="2" t="n"/>
      <c r="H151" s="2" t="n"/>
      <c r="I151" s="2" t="n"/>
      <c r="J151" s="2" t="n"/>
      <c r="K151" s="2" t="n"/>
      <c r="L151" s="2" t="n"/>
      <c r="M151" s="2" t="n"/>
      <c r="N151" s="2" t="n"/>
      <c r="O151" s="2" t="n"/>
      <c r="P151" s="2" t="n"/>
      <c r="Q151" s="2" t="n"/>
      <c r="R151" s="2" t="n"/>
      <c r="S151" s="56" t="n"/>
      <c r="T151" s="56" t="n"/>
      <c r="U151" s="56" t="n"/>
      <c r="V151" s="56" t="n"/>
      <c r="W151" s="56" t="n"/>
      <c r="X151" s="56" t="n"/>
      <c r="Y151" s="56" t="n"/>
      <c r="Z151" s="56" t="n"/>
      <c r="AA151" s="56" t="n"/>
    </row>
    <row r="152" ht="15.75" customHeight="1" s="42">
      <c r="A152" s="2" t="n"/>
      <c r="B152" s="2" t="n"/>
      <c r="C152" s="2" t="n"/>
      <c r="D152" s="2" t="n"/>
      <c r="E152" s="2" t="n"/>
      <c r="F152" s="2" t="n"/>
      <c r="G152" s="2" t="n"/>
      <c r="H152" s="2" t="n"/>
      <c r="I152" s="2" t="n"/>
      <c r="J152" s="2" t="n"/>
      <c r="K152" s="2" t="n"/>
      <c r="L152" s="2" t="n"/>
      <c r="M152" s="2" t="n"/>
      <c r="N152" s="2" t="n"/>
      <c r="O152" s="2" t="n"/>
      <c r="P152" s="2" t="n"/>
      <c r="Q152" s="2" t="n"/>
      <c r="R152" s="2" t="n"/>
      <c r="S152" s="56" t="n"/>
      <c r="T152" s="56" t="n"/>
      <c r="U152" s="56" t="n"/>
      <c r="V152" s="56" t="n"/>
      <c r="W152" s="56" t="n"/>
      <c r="X152" s="56" t="n"/>
      <c r="Y152" s="56" t="n"/>
      <c r="Z152" s="56" t="n"/>
      <c r="AA152" s="56" t="n"/>
    </row>
    <row r="153" ht="15.75" customHeight="1" s="42">
      <c r="A153" s="2" t="n"/>
      <c r="B153" s="2" t="n"/>
      <c r="C153" s="2" t="n"/>
      <c r="D153" s="2" t="n"/>
      <c r="E153" s="2" t="n"/>
      <c r="F153" s="2" t="n"/>
      <c r="G153" s="2" t="n"/>
      <c r="H153" s="2" t="n"/>
      <c r="I153" s="2" t="n"/>
      <c r="J153" s="2" t="n"/>
      <c r="K153" s="2" t="n"/>
      <c r="L153" s="2" t="n"/>
      <c r="M153" s="2" t="n"/>
      <c r="N153" s="2" t="n"/>
      <c r="O153" s="2" t="n"/>
      <c r="P153" s="2" t="n"/>
      <c r="Q153" s="2" t="n"/>
      <c r="R153" s="2" t="n"/>
      <c r="S153" s="56" t="n"/>
      <c r="T153" s="56" t="n"/>
      <c r="U153" s="56" t="n"/>
      <c r="V153" s="56" t="n"/>
      <c r="W153" s="56" t="n"/>
      <c r="X153" s="56" t="n"/>
      <c r="Y153" s="56" t="n"/>
      <c r="Z153" s="56" t="n"/>
      <c r="AA153" s="56" t="n"/>
    </row>
    <row r="154" ht="15.75" customHeight="1" s="42">
      <c r="A154" s="2" t="n"/>
      <c r="B154" s="2" t="n"/>
      <c r="C154" s="2" t="n"/>
      <c r="D154" s="2" t="n"/>
      <c r="E154" s="2" t="n"/>
      <c r="F154" s="2" t="n"/>
      <c r="G154" s="2" t="n"/>
      <c r="H154" s="2" t="n"/>
      <c r="I154" s="2" t="n"/>
      <c r="J154" s="2" t="n"/>
      <c r="K154" s="2" t="n"/>
      <c r="L154" s="2" t="n"/>
      <c r="M154" s="2" t="n"/>
      <c r="N154" s="2" t="n"/>
      <c r="O154" s="2" t="n"/>
      <c r="P154" s="2" t="n"/>
      <c r="Q154" s="2" t="n"/>
      <c r="R154" s="2" t="n"/>
      <c r="S154" s="56" t="n"/>
      <c r="T154" s="56" t="n"/>
      <c r="U154" s="56" t="n"/>
      <c r="V154" s="56" t="n"/>
      <c r="W154" s="56" t="n"/>
      <c r="X154" s="56" t="n"/>
      <c r="Y154" s="56" t="n"/>
      <c r="Z154" s="56" t="n"/>
      <c r="AA154" s="56" t="n"/>
    </row>
    <row r="155" ht="15.75" customHeight="1" s="42">
      <c r="A155" s="2" t="n"/>
      <c r="B155" s="2" t="n"/>
      <c r="C155" s="2" t="n"/>
      <c r="D155" s="2" t="n"/>
      <c r="E155" s="2" t="n"/>
      <c r="F155" s="2" t="n"/>
      <c r="G155" s="2" t="n"/>
      <c r="H155" s="2" t="n"/>
      <c r="I155" s="2" t="n"/>
      <c r="J155" s="2" t="n"/>
      <c r="K155" s="2" t="n"/>
      <c r="L155" s="2" t="n"/>
      <c r="M155" s="2" t="n"/>
      <c r="N155" s="2" t="n"/>
      <c r="O155" s="2" t="n"/>
      <c r="P155" s="2" t="n"/>
      <c r="Q155" s="2" t="n"/>
      <c r="R155" s="2" t="n"/>
      <c r="S155" s="56" t="n"/>
      <c r="T155" s="56" t="n"/>
      <c r="U155" s="56" t="n"/>
      <c r="V155" s="56" t="n"/>
      <c r="W155" s="56" t="n"/>
      <c r="X155" s="56" t="n"/>
      <c r="Y155" s="56" t="n"/>
      <c r="Z155" s="56" t="n"/>
      <c r="AA155" s="56" t="n"/>
    </row>
    <row r="156" ht="15.75" customHeight="1" s="42">
      <c r="A156" s="2" t="n"/>
      <c r="B156" s="2" t="n"/>
      <c r="C156" s="2" t="n"/>
      <c r="D156" s="2" t="n"/>
      <c r="E156" s="2" t="n"/>
      <c r="F156" s="2" t="n"/>
      <c r="G156" s="2" t="n"/>
      <c r="H156" s="2" t="n"/>
      <c r="I156" s="2" t="n"/>
      <c r="J156" s="2" t="n"/>
      <c r="K156" s="2" t="n"/>
      <c r="L156" s="2" t="n"/>
      <c r="M156" s="2" t="n"/>
      <c r="N156" s="2" t="n"/>
      <c r="O156" s="2" t="n"/>
      <c r="P156" s="2" t="n"/>
      <c r="Q156" s="2" t="n"/>
      <c r="R156" s="2" t="n"/>
      <c r="S156" s="56" t="n"/>
      <c r="T156" s="56" t="n"/>
      <c r="U156" s="56" t="n"/>
      <c r="V156" s="56" t="n"/>
      <c r="W156" s="56" t="n"/>
      <c r="X156" s="56" t="n"/>
      <c r="Y156" s="56" t="n"/>
      <c r="Z156" s="56" t="n"/>
      <c r="AA156" s="56" t="n"/>
    </row>
    <row r="157" ht="15.75" customHeight="1" s="42">
      <c r="A157" s="2" t="n"/>
      <c r="B157" s="2" t="n"/>
      <c r="C157" s="2" t="n"/>
      <c r="D157" s="2" t="n"/>
      <c r="E157" s="2" t="n"/>
      <c r="F157" s="2" t="n"/>
      <c r="G157" s="2" t="n"/>
      <c r="H157" s="2" t="n"/>
      <c r="I157" s="2" t="n"/>
      <c r="J157" s="2" t="n"/>
      <c r="K157" s="2" t="n"/>
      <c r="L157" s="2" t="n"/>
      <c r="M157" s="2" t="n"/>
      <c r="N157" s="2" t="n"/>
      <c r="O157" s="2" t="n"/>
      <c r="P157" s="2" t="n"/>
      <c r="Q157" s="2" t="n"/>
      <c r="R157" s="2" t="n"/>
      <c r="S157" s="56" t="n"/>
      <c r="T157" s="56" t="n"/>
      <c r="U157" s="56" t="n"/>
      <c r="V157" s="56" t="n"/>
      <c r="W157" s="56" t="n"/>
      <c r="X157" s="56" t="n"/>
      <c r="Y157" s="56" t="n"/>
      <c r="Z157" s="56" t="n"/>
      <c r="AA157" s="56" t="n"/>
    </row>
    <row r="158" ht="15.75" customHeight="1" s="42">
      <c r="A158" s="2" t="n"/>
      <c r="B158" s="2" t="n"/>
      <c r="C158" s="2" t="n"/>
      <c r="D158" s="2" t="n"/>
      <c r="E158" s="2" t="n"/>
      <c r="F158" s="2" t="n"/>
      <c r="G158" s="2" t="n"/>
      <c r="H158" s="2" t="n"/>
      <c r="I158" s="2" t="n"/>
      <c r="J158" s="2" t="n"/>
      <c r="K158" s="2" t="n"/>
      <c r="L158" s="2" t="n"/>
      <c r="M158" s="2" t="n"/>
      <c r="N158" s="2" t="n"/>
      <c r="O158" s="2" t="n"/>
      <c r="P158" s="2" t="n"/>
      <c r="Q158" s="2" t="n"/>
      <c r="R158" s="2" t="n"/>
      <c r="S158" s="56" t="n"/>
      <c r="T158" s="56" t="n"/>
      <c r="U158" s="56" t="n"/>
      <c r="V158" s="56" t="n"/>
      <c r="W158" s="56" t="n"/>
      <c r="X158" s="56" t="n"/>
      <c r="Y158" s="56" t="n"/>
      <c r="Z158" s="56" t="n"/>
      <c r="AA158" s="56" t="n"/>
    </row>
    <row r="159" ht="15.75" customHeight="1" s="42">
      <c r="A159" s="2" t="n"/>
      <c r="B159" s="2" t="n"/>
      <c r="C159" s="2" t="n"/>
      <c r="D159" s="2" t="n"/>
      <c r="E159" s="2" t="n"/>
      <c r="F159" s="2" t="n"/>
      <c r="G159" s="2" t="n"/>
      <c r="H159" s="2" t="n"/>
      <c r="I159" s="2" t="n"/>
      <c r="J159" s="2" t="n"/>
      <c r="K159" s="2" t="n"/>
      <c r="L159" s="2" t="n"/>
      <c r="M159" s="2" t="n"/>
      <c r="N159" s="2" t="n"/>
      <c r="O159" s="2" t="n"/>
      <c r="P159" s="2" t="n"/>
      <c r="Q159" s="2" t="n"/>
      <c r="R159" s="2" t="n"/>
      <c r="S159" s="56" t="n"/>
      <c r="T159" s="56" t="n"/>
      <c r="U159" s="56" t="n"/>
      <c r="V159" s="56" t="n"/>
      <c r="W159" s="56" t="n"/>
      <c r="X159" s="56" t="n"/>
      <c r="Y159" s="56" t="n"/>
      <c r="Z159" s="56" t="n"/>
      <c r="AA159" s="56" t="n"/>
    </row>
    <row r="160" ht="15.75" customHeight="1" s="42">
      <c r="A160" s="2" t="n"/>
      <c r="B160" s="2" t="n"/>
      <c r="C160" s="2" t="n"/>
      <c r="D160" s="2" t="n"/>
      <c r="E160" s="2" t="n"/>
      <c r="F160" s="2" t="n"/>
      <c r="G160" s="2" t="n"/>
      <c r="H160" s="2" t="n"/>
      <c r="I160" s="2" t="n"/>
      <c r="J160" s="2" t="n"/>
      <c r="K160" s="2" t="n"/>
      <c r="L160" s="2" t="n"/>
      <c r="M160" s="2" t="n"/>
      <c r="N160" s="2" t="n"/>
      <c r="O160" s="2" t="n"/>
      <c r="P160" s="2" t="n"/>
      <c r="Q160" s="2" t="n"/>
      <c r="R160" s="2" t="n"/>
      <c r="S160" s="56" t="n"/>
      <c r="T160" s="56" t="n"/>
      <c r="U160" s="56" t="n"/>
      <c r="V160" s="56" t="n"/>
      <c r="W160" s="56" t="n"/>
      <c r="X160" s="56" t="n"/>
      <c r="Y160" s="56" t="n"/>
      <c r="Z160" s="56" t="n"/>
      <c r="AA160" s="56" t="n"/>
    </row>
    <row r="161" ht="15.75" customHeight="1" s="42">
      <c r="A161" s="2" t="n"/>
      <c r="B161" s="2" t="n"/>
      <c r="C161" s="2" t="n"/>
      <c r="D161" s="2" t="n"/>
      <c r="E161" s="2" t="n"/>
      <c r="F161" s="2" t="n"/>
      <c r="G161" s="2" t="n"/>
      <c r="H161" s="2" t="n"/>
      <c r="I161" s="2" t="n"/>
      <c r="J161" s="2" t="n"/>
      <c r="K161" s="2" t="n"/>
      <c r="L161" s="2" t="n"/>
      <c r="M161" s="2" t="n"/>
      <c r="N161" s="2" t="n"/>
      <c r="O161" s="2" t="n"/>
      <c r="P161" s="2" t="n"/>
      <c r="Q161" s="2" t="n"/>
      <c r="R161" s="2" t="n"/>
      <c r="S161" s="56" t="n"/>
      <c r="T161" s="56" t="n"/>
      <c r="U161" s="56" t="n"/>
      <c r="V161" s="56" t="n"/>
      <c r="W161" s="56" t="n"/>
      <c r="X161" s="56" t="n"/>
      <c r="Y161" s="56" t="n"/>
      <c r="Z161" s="56" t="n"/>
      <c r="AA161" s="56" t="n"/>
    </row>
    <row r="162" ht="15.75" customHeight="1" s="42">
      <c r="A162" s="2" t="n"/>
      <c r="B162" s="2" t="n"/>
      <c r="C162" s="2" t="n"/>
      <c r="D162" s="2" t="n"/>
      <c r="E162" s="2" t="n"/>
      <c r="F162" s="2" t="n"/>
      <c r="G162" s="2" t="n"/>
      <c r="H162" s="2" t="n"/>
      <c r="I162" s="2" t="n"/>
      <c r="J162" s="2" t="n"/>
      <c r="K162" s="2" t="n"/>
      <c r="L162" s="2" t="n"/>
      <c r="M162" s="2" t="n"/>
      <c r="N162" s="2" t="n"/>
      <c r="O162" s="2" t="n"/>
      <c r="P162" s="2" t="n"/>
      <c r="Q162" s="2" t="n"/>
      <c r="R162" s="2" t="n"/>
      <c r="S162" s="56" t="n"/>
      <c r="T162" s="56" t="n"/>
      <c r="U162" s="56" t="n"/>
      <c r="V162" s="56" t="n"/>
      <c r="W162" s="56" t="n"/>
      <c r="X162" s="56" t="n"/>
      <c r="Y162" s="56" t="n"/>
      <c r="Z162" s="56" t="n"/>
      <c r="AA162" s="56" t="n"/>
    </row>
    <row r="163" ht="15.75" customHeight="1" s="42">
      <c r="A163" s="2" t="n"/>
      <c r="B163" s="2" t="n"/>
      <c r="C163" s="2" t="n"/>
      <c r="D163" s="2" t="n"/>
      <c r="E163" s="2" t="n"/>
      <c r="F163" s="2" t="n"/>
      <c r="G163" s="2" t="n"/>
      <c r="H163" s="2" t="n"/>
      <c r="I163" s="2" t="n"/>
      <c r="J163" s="2" t="n"/>
      <c r="K163" s="2" t="n"/>
      <c r="L163" s="2" t="n"/>
      <c r="M163" s="2" t="n"/>
      <c r="N163" s="2" t="n"/>
      <c r="O163" s="2" t="n"/>
      <c r="P163" s="2" t="n"/>
      <c r="Q163" s="2" t="n"/>
      <c r="R163" s="2" t="n"/>
      <c r="S163" s="56" t="n"/>
      <c r="T163" s="56" t="n"/>
      <c r="U163" s="56" t="n"/>
      <c r="V163" s="56" t="n"/>
      <c r="W163" s="56" t="n"/>
      <c r="X163" s="56" t="n"/>
      <c r="Y163" s="56" t="n"/>
      <c r="Z163" s="56" t="n"/>
      <c r="AA163" s="56" t="n"/>
    </row>
    <row r="164" ht="15.75" customHeight="1" s="42">
      <c r="A164" s="2" t="n"/>
      <c r="B164" s="2" t="n"/>
      <c r="C164" s="2" t="n"/>
      <c r="D164" s="2" t="n"/>
      <c r="E164" s="2" t="n"/>
      <c r="F164" s="2" t="n"/>
      <c r="G164" s="2" t="n"/>
      <c r="H164" s="2" t="n"/>
      <c r="I164" s="2" t="n"/>
      <c r="J164" s="2" t="n"/>
      <c r="K164" s="2" t="n"/>
      <c r="L164" s="2" t="n"/>
      <c r="M164" s="2" t="n"/>
      <c r="N164" s="2" t="n"/>
      <c r="O164" s="2" t="n"/>
      <c r="P164" s="2" t="n"/>
      <c r="Q164" s="2" t="n"/>
      <c r="R164" s="2" t="n"/>
      <c r="S164" s="56" t="n"/>
      <c r="T164" s="56" t="n"/>
      <c r="U164" s="56" t="n"/>
      <c r="V164" s="56" t="n"/>
      <c r="W164" s="56" t="n"/>
      <c r="X164" s="56" t="n"/>
      <c r="Y164" s="56" t="n"/>
      <c r="Z164" s="56" t="n"/>
      <c r="AA164" s="56" t="n"/>
    </row>
    <row r="165" ht="15.75" customHeight="1" s="42">
      <c r="A165" s="2" t="n"/>
      <c r="B165" s="2" t="n"/>
      <c r="C165" s="2" t="n"/>
      <c r="D165" s="2" t="n"/>
      <c r="E165" s="2" t="n"/>
      <c r="F165" s="2" t="n"/>
      <c r="G165" s="2" t="n"/>
      <c r="H165" s="2" t="n"/>
      <c r="I165" s="2" t="n"/>
      <c r="J165" s="2" t="n"/>
      <c r="K165" s="2" t="n"/>
      <c r="L165" s="2" t="n"/>
      <c r="M165" s="2" t="n"/>
      <c r="N165" s="2" t="n"/>
      <c r="O165" s="2" t="n"/>
      <c r="P165" s="2" t="n"/>
      <c r="Q165" s="2" t="n"/>
      <c r="R165" s="2" t="n"/>
      <c r="S165" s="56" t="n"/>
      <c r="T165" s="56" t="n"/>
      <c r="U165" s="56" t="n"/>
      <c r="V165" s="56" t="n"/>
      <c r="W165" s="56" t="n"/>
      <c r="X165" s="56" t="n"/>
      <c r="Y165" s="56" t="n"/>
      <c r="Z165" s="56" t="n"/>
      <c r="AA165" s="56" t="n"/>
    </row>
    <row r="166" ht="15.75" customHeight="1" s="42">
      <c r="A166" s="2" t="n"/>
      <c r="B166" s="2" t="n"/>
      <c r="C166" s="2" t="n"/>
      <c r="D166" s="2" t="n"/>
      <c r="E166" s="2" t="n"/>
      <c r="F166" s="2" t="n"/>
      <c r="G166" s="2" t="n"/>
      <c r="H166" s="2" t="n"/>
      <c r="I166" s="2" t="n"/>
      <c r="J166" s="2" t="n"/>
      <c r="K166" s="2" t="n"/>
      <c r="L166" s="2" t="n"/>
      <c r="M166" s="2" t="n"/>
      <c r="N166" s="2" t="n"/>
      <c r="O166" s="2" t="n"/>
      <c r="P166" s="2" t="n"/>
      <c r="Q166" s="2" t="n"/>
      <c r="R166" s="2" t="n"/>
      <c r="S166" s="56" t="n"/>
      <c r="T166" s="56" t="n"/>
      <c r="U166" s="56" t="n"/>
      <c r="V166" s="56" t="n"/>
      <c r="W166" s="56" t="n"/>
      <c r="X166" s="56" t="n"/>
      <c r="Y166" s="56" t="n"/>
      <c r="Z166" s="56" t="n"/>
      <c r="AA166" s="56" t="n"/>
    </row>
    <row r="167" ht="15.75" customHeight="1" s="42">
      <c r="A167" s="2" t="n"/>
      <c r="B167" s="2" t="n"/>
      <c r="C167" s="2" t="n"/>
      <c r="D167" s="2" t="n"/>
      <c r="E167" s="2" t="n"/>
      <c r="F167" s="2" t="n"/>
      <c r="G167" s="2" t="n"/>
      <c r="H167" s="2" t="n"/>
      <c r="I167" s="2" t="n"/>
      <c r="J167" s="2" t="n"/>
      <c r="K167" s="2" t="n"/>
      <c r="L167" s="2" t="n"/>
      <c r="M167" s="2" t="n"/>
      <c r="N167" s="2" t="n"/>
      <c r="O167" s="2" t="n"/>
      <c r="P167" s="2" t="n"/>
      <c r="Q167" s="2" t="n"/>
      <c r="R167" s="2" t="n"/>
      <c r="S167" s="56" t="n"/>
      <c r="T167" s="56" t="n"/>
      <c r="U167" s="56" t="n"/>
      <c r="V167" s="56" t="n"/>
      <c r="W167" s="56" t="n"/>
      <c r="X167" s="56" t="n"/>
      <c r="Y167" s="56" t="n"/>
      <c r="Z167" s="56" t="n"/>
      <c r="AA167" s="56" t="n"/>
    </row>
    <row r="168" ht="15.75" customHeight="1" s="42">
      <c r="A168" s="2" t="n"/>
      <c r="B168" s="2" t="n"/>
      <c r="C168" s="2" t="n"/>
      <c r="D168" s="2" t="n"/>
      <c r="E168" s="2" t="n"/>
      <c r="F168" s="2" t="n"/>
      <c r="G168" s="2" t="n"/>
      <c r="H168" s="2" t="n"/>
      <c r="I168" s="2" t="n"/>
      <c r="J168" s="2" t="n"/>
      <c r="K168" s="2" t="n"/>
      <c r="L168" s="2" t="n"/>
      <c r="M168" s="2" t="n"/>
      <c r="N168" s="2" t="n"/>
      <c r="O168" s="2" t="n"/>
      <c r="P168" s="2" t="n"/>
      <c r="Q168" s="2" t="n"/>
      <c r="R168" s="2" t="n"/>
      <c r="S168" s="56" t="n"/>
      <c r="T168" s="56" t="n"/>
      <c r="U168" s="56" t="n"/>
      <c r="V168" s="56" t="n"/>
      <c r="W168" s="56" t="n"/>
      <c r="X168" s="56" t="n"/>
      <c r="Y168" s="56" t="n"/>
      <c r="Z168" s="56" t="n"/>
      <c r="AA168" s="56" t="n"/>
    </row>
    <row r="169" ht="15.75" customHeight="1" s="42">
      <c r="A169" s="2" t="n"/>
      <c r="B169" s="2" t="n"/>
      <c r="C169" s="2" t="n"/>
      <c r="D169" s="2" t="n"/>
      <c r="E169" s="2" t="n"/>
      <c r="F169" s="2" t="n"/>
      <c r="G169" s="2" t="n"/>
      <c r="H169" s="2" t="n"/>
      <c r="I169" s="2" t="n"/>
      <c r="J169" s="2" t="n"/>
      <c r="K169" s="2" t="n"/>
      <c r="L169" s="2" t="n"/>
      <c r="M169" s="2" t="n"/>
      <c r="N169" s="2" t="n"/>
      <c r="O169" s="2" t="n"/>
      <c r="P169" s="2" t="n"/>
      <c r="Q169" s="2" t="n"/>
      <c r="R169" s="2" t="n"/>
      <c r="S169" s="56" t="n"/>
      <c r="T169" s="56" t="n"/>
      <c r="U169" s="56" t="n"/>
      <c r="V169" s="56" t="n"/>
      <c r="W169" s="56" t="n"/>
      <c r="X169" s="56" t="n"/>
      <c r="Y169" s="56" t="n"/>
      <c r="Z169" s="56" t="n"/>
      <c r="AA169" s="56" t="n"/>
    </row>
    <row r="170" ht="15.75" customHeight="1" s="42">
      <c r="A170" s="2" t="n"/>
      <c r="B170" s="2" t="n"/>
      <c r="C170" s="2" t="n"/>
      <c r="D170" s="2" t="n"/>
      <c r="E170" s="2" t="n"/>
      <c r="F170" s="2" t="n"/>
      <c r="G170" s="2" t="n"/>
      <c r="H170" s="2" t="n"/>
      <c r="I170" s="2" t="n"/>
      <c r="J170" s="2" t="n"/>
      <c r="K170" s="2" t="n"/>
      <c r="L170" s="2" t="n"/>
      <c r="M170" s="2" t="n"/>
      <c r="N170" s="2" t="n"/>
      <c r="O170" s="2" t="n"/>
      <c r="P170" s="2" t="n"/>
      <c r="Q170" s="2" t="n"/>
      <c r="R170" s="2" t="n"/>
      <c r="S170" s="56" t="n"/>
      <c r="T170" s="56" t="n"/>
      <c r="U170" s="56" t="n"/>
      <c r="V170" s="56" t="n"/>
      <c r="W170" s="56" t="n"/>
      <c r="X170" s="56" t="n"/>
      <c r="Y170" s="56" t="n"/>
      <c r="Z170" s="56" t="n"/>
      <c r="AA170" s="56" t="n"/>
    </row>
    <row r="171" ht="15.75" customHeight="1" s="42">
      <c r="A171" s="2" t="n"/>
      <c r="B171" s="2" t="n"/>
      <c r="C171" s="2" t="n"/>
      <c r="D171" s="2" t="n"/>
      <c r="E171" s="2" t="n"/>
      <c r="F171" s="2" t="n"/>
      <c r="G171" s="2" t="n"/>
      <c r="H171" s="2" t="n"/>
      <c r="I171" s="2" t="n"/>
      <c r="J171" s="2" t="n"/>
      <c r="K171" s="2" t="n"/>
      <c r="L171" s="2" t="n"/>
      <c r="M171" s="2" t="n"/>
      <c r="N171" s="2" t="n"/>
      <c r="O171" s="2" t="n"/>
      <c r="P171" s="2" t="n"/>
      <c r="Q171" s="2" t="n"/>
      <c r="R171" s="2" t="n"/>
      <c r="S171" s="56" t="n"/>
      <c r="T171" s="56" t="n"/>
      <c r="U171" s="56" t="n"/>
      <c r="V171" s="56" t="n"/>
      <c r="W171" s="56" t="n"/>
      <c r="X171" s="56" t="n"/>
      <c r="Y171" s="56" t="n"/>
      <c r="Z171" s="56" t="n"/>
      <c r="AA171" s="56" t="n"/>
    </row>
    <row r="172" ht="15.75" customHeight="1" s="42">
      <c r="A172" s="2" t="n"/>
      <c r="B172" s="2" t="n"/>
      <c r="C172" s="2" t="n"/>
      <c r="D172" s="2" t="n"/>
      <c r="E172" s="2" t="n"/>
      <c r="F172" s="2" t="n"/>
      <c r="G172" s="2" t="n"/>
      <c r="H172" s="2" t="n"/>
      <c r="I172" s="2" t="n"/>
      <c r="J172" s="2" t="n"/>
      <c r="K172" s="2" t="n"/>
      <c r="L172" s="2" t="n"/>
      <c r="M172" s="2" t="n"/>
      <c r="N172" s="2" t="n"/>
      <c r="O172" s="2" t="n"/>
      <c r="P172" s="2" t="n"/>
      <c r="Q172" s="2" t="n"/>
      <c r="R172" s="2" t="n"/>
      <c r="S172" s="56" t="n"/>
      <c r="T172" s="56" t="n"/>
      <c r="U172" s="56" t="n"/>
      <c r="V172" s="56" t="n"/>
      <c r="W172" s="56" t="n"/>
      <c r="X172" s="56" t="n"/>
      <c r="Y172" s="56" t="n"/>
      <c r="Z172" s="56" t="n"/>
      <c r="AA172" s="56" t="n"/>
    </row>
    <row r="173" ht="15.75" customHeight="1" s="42">
      <c r="A173" s="2" t="n"/>
      <c r="B173" s="2" t="n"/>
      <c r="C173" s="2" t="n"/>
      <c r="D173" s="2" t="n"/>
      <c r="E173" s="2" t="n"/>
      <c r="F173" s="2" t="n"/>
      <c r="G173" s="2" t="n"/>
      <c r="H173" s="2" t="n"/>
      <c r="I173" s="2" t="n"/>
      <c r="J173" s="2" t="n"/>
      <c r="K173" s="2" t="n"/>
      <c r="L173" s="2" t="n"/>
      <c r="M173" s="2" t="n"/>
      <c r="N173" s="2" t="n"/>
      <c r="O173" s="2" t="n"/>
      <c r="P173" s="2" t="n"/>
      <c r="Q173" s="2" t="n"/>
      <c r="R173" s="2" t="n"/>
      <c r="S173" s="56" t="n"/>
      <c r="T173" s="56" t="n"/>
      <c r="U173" s="56" t="n"/>
      <c r="V173" s="56" t="n"/>
      <c r="W173" s="56" t="n"/>
      <c r="X173" s="56" t="n"/>
      <c r="Y173" s="56" t="n"/>
      <c r="Z173" s="56" t="n"/>
      <c r="AA173" s="56" t="n"/>
    </row>
    <row r="174" ht="15.75" customHeight="1" s="42">
      <c r="A174" s="2" t="n"/>
      <c r="B174" s="2" t="n"/>
      <c r="C174" s="2" t="n"/>
      <c r="D174" s="2" t="n"/>
      <c r="E174" s="2" t="n"/>
      <c r="F174" s="2" t="n"/>
      <c r="G174" s="2" t="n"/>
      <c r="H174" s="2" t="n"/>
      <c r="I174" s="2" t="n"/>
      <c r="J174" s="2" t="n"/>
      <c r="K174" s="2" t="n"/>
      <c r="L174" s="2" t="n"/>
      <c r="M174" s="2" t="n"/>
      <c r="N174" s="2" t="n"/>
      <c r="O174" s="2" t="n"/>
      <c r="P174" s="2" t="n"/>
      <c r="Q174" s="2" t="n"/>
      <c r="R174" s="2" t="n"/>
      <c r="S174" s="56" t="n"/>
      <c r="T174" s="56" t="n"/>
      <c r="U174" s="56" t="n"/>
      <c r="V174" s="56" t="n"/>
      <c r="W174" s="56" t="n"/>
      <c r="X174" s="56" t="n"/>
      <c r="Y174" s="56" t="n"/>
      <c r="Z174" s="56" t="n"/>
      <c r="AA174" s="56" t="n"/>
    </row>
    <row r="175" ht="15.75" customHeight="1" s="42">
      <c r="A175" s="2" t="n"/>
      <c r="B175" s="2" t="n"/>
      <c r="C175" s="2" t="n"/>
      <c r="D175" s="2" t="n"/>
      <c r="E175" s="2" t="n"/>
      <c r="F175" s="2" t="n"/>
      <c r="G175" s="2" t="n"/>
      <c r="H175" s="2" t="n"/>
      <c r="I175" s="2" t="n"/>
      <c r="J175" s="2" t="n"/>
      <c r="K175" s="2" t="n"/>
      <c r="L175" s="2" t="n"/>
      <c r="M175" s="2" t="n"/>
      <c r="N175" s="2" t="n"/>
      <c r="O175" s="2" t="n"/>
      <c r="P175" s="2" t="n"/>
      <c r="Q175" s="2" t="n"/>
      <c r="R175" s="2" t="n"/>
      <c r="S175" s="56" t="n"/>
      <c r="T175" s="56" t="n"/>
      <c r="U175" s="56" t="n"/>
      <c r="V175" s="56" t="n"/>
      <c r="W175" s="56" t="n"/>
      <c r="X175" s="56" t="n"/>
      <c r="Y175" s="56" t="n"/>
      <c r="Z175" s="56" t="n"/>
      <c r="AA175" s="56" t="n"/>
    </row>
    <row r="176" ht="15.75" customHeight="1" s="42">
      <c r="A176" s="2" t="n"/>
      <c r="B176" s="2" t="n"/>
      <c r="C176" s="2" t="n"/>
      <c r="D176" s="2" t="n"/>
      <c r="E176" s="2" t="n"/>
      <c r="F176" s="2" t="n"/>
      <c r="G176" s="2" t="n"/>
      <c r="H176" s="2" t="n"/>
      <c r="I176" s="2" t="n"/>
      <c r="J176" s="2" t="n"/>
      <c r="K176" s="2" t="n"/>
      <c r="L176" s="2" t="n"/>
      <c r="M176" s="2" t="n"/>
      <c r="N176" s="2" t="n"/>
      <c r="O176" s="2" t="n"/>
      <c r="P176" s="2" t="n"/>
      <c r="Q176" s="2" t="n"/>
      <c r="R176" s="2" t="n"/>
      <c r="S176" s="56" t="n"/>
      <c r="T176" s="56" t="n"/>
      <c r="U176" s="56" t="n"/>
      <c r="V176" s="56" t="n"/>
      <c r="W176" s="56" t="n"/>
      <c r="X176" s="56" t="n"/>
      <c r="Y176" s="56" t="n"/>
      <c r="Z176" s="56" t="n"/>
      <c r="AA176" s="56" t="n"/>
    </row>
    <row r="177" ht="15.75" customHeight="1" s="42">
      <c r="A177" s="2" t="n"/>
      <c r="B177" s="2" t="n"/>
      <c r="C177" s="2" t="n"/>
      <c r="D177" s="2" t="n"/>
      <c r="E177" s="2" t="n"/>
      <c r="F177" s="2" t="n"/>
      <c r="G177" s="2" t="n"/>
      <c r="H177" s="2" t="n"/>
      <c r="I177" s="2" t="n"/>
      <c r="J177" s="2" t="n"/>
      <c r="K177" s="2" t="n"/>
      <c r="L177" s="2" t="n"/>
      <c r="M177" s="2" t="n"/>
      <c r="N177" s="2" t="n"/>
      <c r="O177" s="2" t="n"/>
      <c r="P177" s="2" t="n"/>
      <c r="Q177" s="2" t="n"/>
      <c r="R177" s="2" t="n"/>
      <c r="S177" s="56" t="n"/>
      <c r="T177" s="56" t="n"/>
      <c r="U177" s="56" t="n"/>
      <c r="V177" s="56" t="n"/>
      <c r="W177" s="56" t="n"/>
      <c r="X177" s="56" t="n"/>
      <c r="Y177" s="56" t="n"/>
      <c r="Z177" s="56" t="n"/>
      <c r="AA177" s="56" t="n"/>
    </row>
    <row r="178" ht="15.75" customHeight="1" s="42">
      <c r="A178" s="2" t="n"/>
      <c r="B178" s="2" t="n"/>
      <c r="C178" s="2" t="n"/>
      <c r="D178" s="2" t="n"/>
      <c r="E178" s="2" t="n"/>
      <c r="F178" s="2" t="n"/>
      <c r="G178" s="2" t="n"/>
      <c r="H178" s="2" t="n"/>
      <c r="I178" s="2" t="n"/>
      <c r="J178" s="2" t="n"/>
      <c r="K178" s="2" t="n"/>
      <c r="L178" s="2" t="n"/>
      <c r="M178" s="2" t="n"/>
      <c r="N178" s="2" t="n"/>
      <c r="O178" s="2" t="n"/>
      <c r="P178" s="2" t="n"/>
      <c r="Q178" s="2" t="n"/>
      <c r="R178" s="2" t="n"/>
      <c r="S178" s="56" t="n"/>
      <c r="T178" s="56" t="n"/>
      <c r="U178" s="56" t="n"/>
      <c r="V178" s="56" t="n"/>
      <c r="W178" s="56" t="n"/>
      <c r="X178" s="56" t="n"/>
      <c r="Y178" s="56" t="n"/>
      <c r="Z178" s="56" t="n"/>
      <c r="AA178" s="56" t="n"/>
    </row>
    <row r="179" ht="15.75" customHeight="1" s="42">
      <c r="A179" s="2" t="n"/>
      <c r="B179" s="2" t="n"/>
      <c r="C179" s="2" t="n"/>
      <c r="D179" s="2" t="n"/>
      <c r="E179" s="2" t="n"/>
      <c r="F179" s="2" t="n"/>
      <c r="G179" s="2" t="n"/>
      <c r="H179" s="2" t="n"/>
      <c r="I179" s="2" t="n"/>
      <c r="J179" s="2" t="n"/>
      <c r="K179" s="2" t="n"/>
      <c r="L179" s="2" t="n"/>
      <c r="M179" s="2" t="n"/>
      <c r="N179" s="2" t="n"/>
      <c r="O179" s="2" t="n"/>
      <c r="P179" s="2" t="n"/>
      <c r="Q179" s="2" t="n"/>
      <c r="R179" s="2" t="n"/>
      <c r="S179" s="56" t="n"/>
      <c r="T179" s="56" t="n"/>
      <c r="U179" s="56" t="n"/>
      <c r="V179" s="56" t="n"/>
      <c r="W179" s="56" t="n"/>
      <c r="X179" s="56" t="n"/>
      <c r="Y179" s="56" t="n"/>
      <c r="Z179" s="56" t="n"/>
      <c r="AA179" s="56" t="n"/>
    </row>
    <row r="180" ht="15.75" customHeight="1" s="42">
      <c r="A180" s="2" t="n"/>
      <c r="B180" s="2" t="n"/>
      <c r="C180" s="2" t="n"/>
      <c r="D180" s="2" t="n"/>
      <c r="E180" s="2" t="n"/>
      <c r="F180" s="2" t="n"/>
      <c r="G180" s="2" t="n"/>
      <c r="H180" s="2" t="n"/>
      <c r="I180" s="2" t="n"/>
      <c r="J180" s="2" t="n"/>
      <c r="K180" s="2" t="n"/>
      <c r="L180" s="2" t="n"/>
      <c r="M180" s="2" t="n"/>
      <c r="N180" s="2" t="n"/>
      <c r="O180" s="2" t="n"/>
      <c r="P180" s="2" t="n"/>
      <c r="Q180" s="2" t="n"/>
      <c r="R180" s="2" t="n"/>
      <c r="S180" s="56" t="n"/>
      <c r="T180" s="56" t="n"/>
      <c r="U180" s="56" t="n"/>
      <c r="V180" s="56" t="n"/>
      <c r="W180" s="56" t="n"/>
      <c r="X180" s="56" t="n"/>
      <c r="Y180" s="56" t="n"/>
      <c r="Z180" s="56" t="n"/>
      <c r="AA180" s="56" t="n"/>
    </row>
    <row r="181" ht="15.75" customHeight="1" s="42">
      <c r="A181" s="2" t="n"/>
      <c r="B181" s="2" t="n"/>
      <c r="C181" s="2" t="n"/>
      <c r="D181" s="2" t="n"/>
      <c r="E181" s="2" t="n"/>
      <c r="F181" s="2" t="n"/>
      <c r="G181" s="2" t="n"/>
      <c r="H181" s="2" t="n"/>
      <c r="I181" s="2" t="n"/>
      <c r="J181" s="2" t="n"/>
      <c r="K181" s="2" t="n"/>
      <c r="L181" s="2" t="n"/>
      <c r="M181" s="2" t="n"/>
      <c r="N181" s="2" t="n"/>
      <c r="O181" s="2" t="n"/>
      <c r="P181" s="2" t="n"/>
      <c r="Q181" s="2" t="n"/>
      <c r="R181" s="2" t="n"/>
      <c r="S181" s="56" t="n"/>
      <c r="T181" s="56" t="n"/>
      <c r="U181" s="56" t="n"/>
      <c r="V181" s="56" t="n"/>
      <c r="W181" s="56" t="n"/>
      <c r="X181" s="56" t="n"/>
      <c r="Y181" s="56" t="n"/>
      <c r="Z181" s="56" t="n"/>
      <c r="AA181" s="56" t="n"/>
    </row>
    <row r="182" ht="15.75" customHeight="1" s="42">
      <c r="A182" s="2" t="n"/>
      <c r="B182" s="2" t="n"/>
      <c r="C182" s="2" t="n"/>
      <c r="D182" s="2" t="n"/>
      <c r="E182" s="2" t="n"/>
      <c r="F182" s="2" t="n"/>
      <c r="G182" s="2" t="n"/>
      <c r="H182" s="2" t="n"/>
      <c r="I182" s="2" t="n"/>
      <c r="J182" s="2" t="n"/>
      <c r="K182" s="2" t="n"/>
      <c r="L182" s="2" t="n"/>
      <c r="M182" s="2" t="n"/>
      <c r="N182" s="2" t="n"/>
      <c r="O182" s="2" t="n"/>
      <c r="P182" s="2" t="n"/>
      <c r="Q182" s="2" t="n"/>
      <c r="R182" s="2" t="n"/>
      <c r="S182" s="56" t="n"/>
      <c r="T182" s="56" t="n"/>
      <c r="U182" s="56" t="n"/>
      <c r="V182" s="56" t="n"/>
      <c r="W182" s="56" t="n"/>
      <c r="X182" s="56" t="n"/>
      <c r="Y182" s="56" t="n"/>
      <c r="Z182" s="56" t="n"/>
      <c r="AA182" s="56" t="n"/>
    </row>
    <row r="183" ht="15.75" customHeight="1" s="42">
      <c r="A183" s="2" t="n"/>
      <c r="B183" s="2" t="n"/>
      <c r="C183" s="2" t="n"/>
      <c r="D183" s="2" t="n"/>
      <c r="E183" s="2" t="n"/>
      <c r="F183" s="2" t="n"/>
      <c r="G183" s="2" t="n"/>
      <c r="H183" s="2" t="n"/>
      <c r="I183" s="2" t="n"/>
      <c r="J183" s="2" t="n"/>
      <c r="K183" s="2" t="n"/>
      <c r="L183" s="2" t="n"/>
      <c r="M183" s="2" t="n"/>
      <c r="N183" s="2" t="n"/>
      <c r="O183" s="2" t="n"/>
      <c r="P183" s="2" t="n"/>
      <c r="Q183" s="2" t="n"/>
      <c r="R183" s="2" t="n"/>
      <c r="S183" s="56" t="n"/>
      <c r="T183" s="56" t="n"/>
      <c r="U183" s="56" t="n"/>
      <c r="V183" s="56" t="n"/>
      <c r="W183" s="56" t="n"/>
      <c r="X183" s="56" t="n"/>
      <c r="Y183" s="56" t="n"/>
      <c r="Z183" s="56" t="n"/>
      <c r="AA183" s="56" t="n"/>
    </row>
    <row r="184" ht="15.75" customHeight="1" s="42">
      <c r="A184" s="2" t="n"/>
      <c r="B184" s="2" t="n"/>
      <c r="C184" s="2" t="n"/>
      <c r="D184" s="2" t="n"/>
      <c r="E184" s="2" t="n"/>
      <c r="F184" s="2" t="n"/>
      <c r="G184" s="2" t="n"/>
      <c r="H184" s="2" t="n"/>
      <c r="I184" s="2" t="n"/>
      <c r="J184" s="2" t="n"/>
      <c r="K184" s="2" t="n"/>
      <c r="L184" s="2" t="n"/>
      <c r="M184" s="2" t="n"/>
      <c r="N184" s="2" t="n"/>
      <c r="O184" s="2" t="n"/>
      <c r="P184" s="2" t="n"/>
      <c r="Q184" s="2" t="n"/>
      <c r="R184" s="2" t="n"/>
      <c r="S184" s="56" t="n"/>
      <c r="T184" s="56" t="n"/>
      <c r="U184" s="56" t="n"/>
      <c r="V184" s="56" t="n"/>
      <c r="W184" s="56" t="n"/>
      <c r="X184" s="56" t="n"/>
      <c r="Y184" s="56" t="n"/>
      <c r="Z184" s="56" t="n"/>
      <c r="AA184" s="56" t="n"/>
    </row>
    <row r="185" ht="15.75" customHeight="1" s="42">
      <c r="A185" s="2" t="n"/>
      <c r="B185" s="2" t="n"/>
      <c r="C185" s="2" t="n"/>
      <c r="D185" s="2" t="n"/>
      <c r="E185" s="2" t="n"/>
      <c r="F185" s="2" t="n"/>
      <c r="G185" s="2" t="n"/>
      <c r="H185" s="2" t="n"/>
      <c r="I185" s="2" t="n"/>
      <c r="J185" s="2" t="n"/>
      <c r="K185" s="2" t="n"/>
      <c r="L185" s="2" t="n"/>
      <c r="M185" s="2" t="n"/>
      <c r="N185" s="2" t="n"/>
      <c r="O185" s="2" t="n"/>
      <c r="P185" s="2" t="n"/>
      <c r="Q185" s="2" t="n"/>
      <c r="R185" s="2" t="n"/>
      <c r="S185" s="56" t="n"/>
      <c r="T185" s="56" t="n"/>
      <c r="U185" s="56" t="n"/>
      <c r="V185" s="56" t="n"/>
      <c r="W185" s="56" t="n"/>
      <c r="X185" s="56" t="n"/>
      <c r="Y185" s="56" t="n"/>
      <c r="Z185" s="56" t="n"/>
      <c r="AA185" s="56" t="n"/>
    </row>
    <row r="186" ht="15.75" customHeight="1" s="42">
      <c r="A186" s="2" t="n"/>
      <c r="B186" s="2" t="n"/>
      <c r="C186" s="2" t="n"/>
      <c r="D186" s="2" t="n"/>
      <c r="E186" s="2" t="n"/>
      <c r="F186" s="2" t="n"/>
      <c r="G186" s="2" t="n"/>
      <c r="H186" s="2" t="n"/>
      <c r="I186" s="2" t="n"/>
      <c r="J186" s="2" t="n"/>
      <c r="K186" s="2" t="n"/>
      <c r="L186" s="2" t="n"/>
      <c r="M186" s="2" t="n"/>
      <c r="N186" s="2" t="n"/>
      <c r="O186" s="2" t="n"/>
      <c r="P186" s="2" t="n"/>
      <c r="Q186" s="2" t="n"/>
      <c r="R186" s="2" t="n"/>
      <c r="S186" s="56" t="n"/>
      <c r="T186" s="56" t="n"/>
      <c r="U186" s="56" t="n"/>
      <c r="V186" s="56" t="n"/>
      <c r="W186" s="56" t="n"/>
      <c r="X186" s="56" t="n"/>
      <c r="Y186" s="56" t="n"/>
      <c r="Z186" s="56" t="n"/>
      <c r="AA186" s="56" t="n"/>
    </row>
    <row r="187" ht="15.75" customHeight="1" s="42">
      <c r="A187" s="2" t="n"/>
      <c r="B187" s="2" t="n"/>
      <c r="C187" s="2" t="n"/>
      <c r="D187" s="2" t="n"/>
      <c r="E187" s="2" t="n"/>
      <c r="F187" s="2" t="n"/>
      <c r="G187" s="2" t="n"/>
      <c r="H187" s="2" t="n"/>
      <c r="I187" s="2" t="n"/>
      <c r="J187" s="2" t="n"/>
      <c r="K187" s="2" t="n"/>
      <c r="L187" s="2" t="n"/>
      <c r="M187" s="2" t="n"/>
      <c r="N187" s="2" t="n"/>
      <c r="O187" s="2" t="n"/>
      <c r="P187" s="2" t="n"/>
      <c r="Q187" s="2" t="n"/>
      <c r="R187" s="2" t="n"/>
      <c r="S187" s="56" t="n"/>
      <c r="T187" s="56" t="n"/>
      <c r="U187" s="56" t="n"/>
      <c r="V187" s="56" t="n"/>
      <c r="W187" s="56" t="n"/>
      <c r="X187" s="56" t="n"/>
      <c r="Y187" s="56" t="n"/>
      <c r="Z187" s="56" t="n"/>
      <c r="AA187" s="56" t="n"/>
    </row>
    <row r="188" ht="15.75" customHeight="1" s="42">
      <c r="A188" s="2" t="n"/>
      <c r="B188" s="2" t="n"/>
      <c r="C188" s="2" t="n"/>
      <c r="D188" s="2" t="n"/>
      <c r="E188" s="2" t="n"/>
      <c r="F188" s="2" t="n"/>
      <c r="G188" s="2" t="n"/>
      <c r="H188" s="2" t="n"/>
      <c r="I188" s="2" t="n"/>
      <c r="J188" s="2" t="n"/>
      <c r="K188" s="2" t="n"/>
      <c r="L188" s="2" t="n"/>
      <c r="M188" s="2" t="n"/>
      <c r="N188" s="2" t="n"/>
      <c r="O188" s="2" t="n"/>
      <c r="P188" s="2" t="n"/>
      <c r="Q188" s="2" t="n"/>
      <c r="R188" s="2" t="n"/>
      <c r="S188" s="56" t="n"/>
      <c r="T188" s="56" t="n"/>
      <c r="U188" s="56" t="n"/>
      <c r="V188" s="56" t="n"/>
      <c r="W188" s="56" t="n"/>
      <c r="X188" s="56" t="n"/>
      <c r="Y188" s="56" t="n"/>
      <c r="Z188" s="56" t="n"/>
      <c r="AA188" s="56" t="n"/>
    </row>
    <row r="189" ht="15.75" customHeight="1" s="42">
      <c r="A189" s="2" t="n"/>
      <c r="B189" s="2" t="n"/>
      <c r="C189" s="2" t="n"/>
      <c r="D189" s="2" t="n"/>
      <c r="E189" s="2" t="n"/>
      <c r="F189" s="2" t="n"/>
      <c r="G189" s="2" t="n"/>
      <c r="H189" s="2" t="n"/>
      <c r="I189" s="2" t="n"/>
      <c r="J189" s="2" t="n"/>
      <c r="K189" s="2" t="n"/>
      <c r="L189" s="2" t="n"/>
      <c r="M189" s="2" t="n"/>
      <c r="N189" s="2" t="n"/>
      <c r="O189" s="2" t="n"/>
      <c r="P189" s="2" t="n"/>
      <c r="Q189" s="2" t="n"/>
      <c r="R189" s="2" t="n"/>
      <c r="S189" s="56" t="n"/>
      <c r="T189" s="56" t="n"/>
      <c r="U189" s="56" t="n"/>
      <c r="V189" s="56" t="n"/>
      <c r="W189" s="56" t="n"/>
      <c r="X189" s="56" t="n"/>
      <c r="Y189" s="56" t="n"/>
      <c r="Z189" s="56" t="n"/>
      <c r="AA189" s="56" t="n"/>
    </row>
    <row r="190" ht="15.75" customHeight="1" s="42">
      <c r="A190" s="2" t="n"/>
      <c r="B190" s="2" t="n"/>
      <c r="C190" s="2" t="n"/>
      <c r="D190" s="2" t="n"/>
      <c r="E190" s="2" t="n"/>
      <c r="F190" s="2" t="n"/>
      <c r="G190" s="2" t="n"/>
      <c r="H190" s="2" t="n"/>
      <c r="I190" s="2" t="n"/>
      <c r="J190" s="2" t="n"/>
      <c r="K190" s="2" t="n"/>
      <c r="L190" s="2" t="n"/>
      <c r="M190" s="2" t="n"/>
      <c r="N190" s="2" t="n"/>
      <c r="O190" s="2" t="n"/>
      <c r="P190" s="2" t="n"/>
      <c r="Q190" s="2" t="n"/>
      <c r="R190" s="2" t="n"/>
      <c r="S190" s="56" t="n"/>
      <c r="T190" s="56" t="n"/>
      <c r="U190" s="56" t="n"/>
      <c r="V190" s="56" t="n"/>
      <c r="W190" s="56" t="n"/>
      <c r="X190" s="56" t="n"/>
      <c r="Y190" s="56" t="n"/>
      <c r="Z190" s="56" t="n"/>
      <c r="AA190" s="56" t="n"/>
    </row>
    <row r="191" ht="15.75" customHeight="1" s="42">
      <c r="A191" s="2" t="n"/>
      <c r="B191" s="2" t="n"/>
      <c r="C191" s="2" t="n"/>
      <c r="D191" s="2" t="n"/>
      <c r="E191" s="2" t="n"/>
      <c r="F191" s="2" t="n"/>
      <c r="G191" s="2" t="n"/>
      <c r="H191" s="2" t="n"/>
      <c r="I191" s="2" t="n"/>
      <c r="J191" s="2" t="n"/>
      <c r="K191" s="2" t="n"/>
      <c r="L191" s="2" t="n"/>
      <c r="M191" s="2" t="n"/>
      <c r="N191" s="2" t="n"/>
      <c r="O191" s="2" t="n"/>
      <c r="P191" s="2" t="n"/>
      <c r="Q191" s="2" t="n"/>
      <c r="R191" s="2" t="n"/>
      <c r="S191" s="56" t="n"/>
      <c r="T191" s="56" t="n"/>
      <c r="U191" s="56" t="n"/>
      <c r="V191" s="56" t="n"/>
      <c r="W191" s="56" t="n"/>
      <c r="X191" s="56" t="n"/>
      <c r="Y191" s="56" t="n"/>
      <c r="Z191" s="56" t="n"/>
      <c r="AA191" s="56" t="n"/>
    </row>
    <row r="192" ht="15.75" customHeight="1" s="42">
      <c r="A192" s="2" t="n"/>
      <c r="B192" s="2" t="n"/>
      <c r="C192" s="2" t="n"/>
      <c r="D192" s="2" t="n"/>
      <c r="E192" s="2" t="n"/>
      <c r="F192" s="2" t="n"/>
      <c r="G192" s="2" t="n"/>
      <c r="H192" s="2" t="n"/>
      <c r="I192" s="2" t="n"/>
      <c r="J192" s="2" t="n"/>
      <c r="K192" s="2" t="n"/>
      <c r="L192" s="2" t="n"/>
      <c r="M192" s="2" t="n"/>
      <c r="N192" s="2" t="n"/>
      <c r="O192" s="2" t="n"/>
      <c r="P192" s="2" t="n"/>
      <c r="Q192" s="2" t="n"/>
      <c r="R192" s="2" t="n"/>
      <c r="S192" s="56" t="n"/>
      <c r="T192" s="56" t="n"/>
      <c r="U192" s="56" t="n"/>
      <c r="V192" s="56" t="n"/>
      <c r="W192" s="56" t="n"/>
      <c r="X192" s="56" t="n"/>
      <c r="Y192" s="56" t="n"/>
      <c r="Z192" s="56" t="n"/>
      <c r="AA192" s="56" t="n"/>
    </row>
    <row r="193" ht="15.75" customHeight="1" s="42">
      <c r="A193" s="2" t="n"/>
      <c r="B193" s="2" t="n"/>
      <c r="C193" s="2" t="n"/>
      <c r="D193" s="2" t="n"/>
      <c r="E193" s="2" t="n"/>
      <c r="F193" s="2" t="n"/>
      <c r="G193" s="2" t="n"/>
      <c r="H193" s="2" t="n"/>
      <c r="I193" s="2" t="n"/>
      <c r="J193" s="2" t="n"/>
      <c r="K193" s="2" t="n"/>
      <c r="L193" s="2" t="n"/>
      <c r="M193" s="2" t="n"/>
      <c r="N193" s="2" t="n"/>
      <c r="O193" s="2" t="n"/>
      <c r="P193" s="2" t="n"/>
      <c r="Q193" s="2" t="n"/>
      <c r="R193" s="2" t="n"/>
      <c r="S193" s="56" t="n"/>
      <c r="T193" s="56" t="n"/>
      <c r="U193" s="56" t="n"/>
      <c r="V193" s="56" t="n"/>
      <c r="W193" s="56" t="n"/>
      <c r="X193" s="56" t="n"/>
      <c r="Y193" s="56" t="n"/>
      <c r="Z193" s="56" t="n"/>
      <c r="AA193" s="56" t="n"/>
    </row>
    <row r="194" ht="15.75" customHeight="1" s="42">
      <c r="A194" s="2" t="n"/>
      <c r="B194" s="2" t="n"/>
      <c r="C194" s="2" t="n"/>
      <c r="D194" s="2" t="n"/>
      <c r="E194" s="2" t="n"/>
      <c r="F194" s="2" t="n"/>
      <c r="G194" s="2" t="n"/>
      <c r="H194" s="2" t="n"/>
      <c r="I194" s="2" t="n"/>
      <c r="J194" s="2" t="n"/>
      <c r="K194" s="2" t="n"/>
      <c r="L194" s="2" t="n"/>
      <c r="M194" s="2" t="n"/>
      <c r="N194" s="2" t="n"/>
      <c r="O194" s="2" t="n"/>
      <c r="P194" s="2" t="n"/>
      <c r="Q194" s="2" t="n"/>
      <c r="R194" s="2" t="n"/>
      <c r="S194" s="56" t="n"/>
      <c r="T194" s="56" t="n"/>
      <c r="U194" s="56" t="n"/>
      <c r="V194" s="56" t="n"/>
      <c r="W194" s="56" t="n"/>
      <c r="X194" s="56" t="n"/>
      <c r="Y194" s="56" t="n"/>
      <c r="Z194" s="56" t="n"/>
      <c r="AA194" s="56" t="n"/>
    </row>
    <row r="195" ht="15.75" customHeight="1" s="42">
      <c r="A195" s="2" t="n"/>
      <c r="B195" s="2" t="n"/>
      <c r="C195" s="2" t="n"/>
      <c r="D195" s="2" t="n"/>
      <c r="E195" s="2" t="n"/>
      <c r="F195" s="2" t="n"/>
      <c r="G195" s="2" t="n"/>
      <c r="H195" s="2" t="n"/>
      <c r="I195" s="2" t="n"/>
      <c r="J195" s="2" t="n"/>
      <c r="K195" s="2" t="n"/>
      <c r="L195" s="2" t="n"/>
      <c r="M195" s="2" t="n"/>
      <c r="N195" s="2" t="n"/>
      <c r="O195" s="2" t="n"/>
      <c r="P195" s="2" t="n"/>
      <c r="Q195" s="2" t="n"/>
      <c r="R195" s="2" t="n"/>
      <c r="S195" s="56" t="n"/>
      <c r="T195" s="56" t="n"/>
      <c r="U195" s="56" t="n"/>
      <c r="V195" s="56" t="n"/>
      <c r="W195" s="56" t="n"/>
      <c r="X195" s="56" t="n"/>
      <c r="Y195" s="56" t="n"/>
      <c r="Z195" s="56" t="n"/>
      <c r="AA195" s="56" t="n"/>
    </row>
    <row r="196" ht="15.75" customHeight="1" s="42">
      <c r="A196" s="2" t="n"/>
      <c r="B196" s="2" t="n"/>
      <c r="C196" s="2" t="n"/>
      <c r="D196" s="2" t="n"/>
      <c r="E196" s="2" t="n"/>
      <c r="F196" s="2" t="n"/>
      <c r="G196" s="2" t="n"/>
      <c r="H196" s="2" t="n"/>
      <c r="I196" s="2" t="n"/>
      <c r="J196" s="2" t="n"/>
      <c r="K196" s="2" t="n"/>
      <c r="L196" s="2" t="n"/>
      <c r="M196" s="2" t="n"/>
      <c r="N196" s="2" t="n"/>
      <c r="O196" s="2" t="n"/>
      <c r="P196" s="2" t="n"/>
      <c r="Q196" s="2" t="n"/>
      <c r="R196" s="2" t="n"/>
      <c r="S196" s="56" t="n"/>
      <c r="T196" s="56" t="n"/>
      <c r="U196" s="56" t="n"/>
      <c r="V196" s="56" t="n"/>
      <c r="W196" s="56" t="n"/>
      <c r="X196" s="56" t="n"/>
      <c r="Y196" s="56" t="n"/>
      <c r="Z196" s="56" t="n"/>
      <c r="AA196" s="56" t="n"/>
    </row>
    <row r="197" ht="15.75" customHeight="1" s="42">
      <c r="A197" s="2" t="n"/>
      <c r="B197" s="2" t="n"/>
      <c r="C197" s="2" t="n"/>
      <c r="D197" s="2" t="n"/>
      <c r="E197" s="2" t="n"/>
      <c r="F197" s="2" t="n"/>
      <c r="G197" s="2" t="n"/>
      <c r="H197" s="2" t="n"/>
      <c r="I197" s="2" t="n"/>
      <c r="J197" s="2" t="n"/>
      <c r="K197" s="2" t="n"/>
      <c r="L197" s="2" t="n"/>
      <c r="M197" s="2" t="n"/>
      <c r="N197" s="2" t="n"/>
      <c r="O197" s="2" t="n"/>
      <c r="P197" s="2" t="n"/>
      <c r="Q197" s="2" t="n"/>
      <c r="R197" s="2" t="n"/>
      <c r="S197" s="56" t="n"/>
      <c r="T197" s="56" t="n"/>
      <c r="U197" s="56" t="n"/>
      <c r="V197" s="56" t="n"/>
      <c r="W197" s="56" t="n"/>
      <c r="X197" s="56" t="n"/>
      <c r="Y197" s="56" t="n"/>
      <c r="Z197" s="56" t="n"/>
      <c r="AA197" s="56" t="n"/>
    </row>
    <row r="198" ht="15.75" customHeight="1" s="42">
      <c r="A198" s="2" t="n"/>
      <c r="B198" s="2" t="n"/>
      <c r="C198" s="2" t="n"/>
      <c r="D198" s="2" t="n"/>
      <c r="E198" s="2" t="n"/>
      <c r="F198" s="2" t="n"/>
      <c r="G198" s="2" t="n"/>
      <c r="H198" s="2" t="n"/>
      <c r="I198" s="2" t="n"/>
      <c r="J198" s="2" t="n"/>
      <c r="K198" s="2" t="n"/>
      <c r="L198" s="2" t="n"/>
      <c r="M198" s="2" t="n"/>
      <c r="N198" s="2" t="n"/>
      <c r="O198" s="2" t="n"/>
      <c r="P198" s="2" t="n"/>
      <c r="Q198" s="2" t="n"/>
      <c r="R198" s="2" t="n"/>
      <c r="S198" s="56" t="n"/>
      <c r="T198" s="56" t="n"/>
      <c r="U198" s="56" t="n"/>
      <c r="V198" s="56" t="n"/>
      <c r="W198" s="56" t="n"/>
      <c r="X198" s="56" t="n"/>
      <c r="Y198" s="56" t="n"/>
      <c r="Z198" s="56" t="n"/>
      <c r="AA198" s="56" t="n"/>
    </row>
    <row r="199" ht="15.75" customHeight="1" s="42">
      <c r="A199" s="2" t="n"/>
      <c r="B199" s="2" t="n"/>
      <c r="C199" s="2" t="n"/>
      <c r="D199" s="2" t="n"/>
      <c r="E199" s="2" t="n"/>
      <c r="F199" s="2" t="n"/>
      <c r="G199" s="2" t="n"/>
      <c r="H199" s="2" t="n"/>
      <c r="I199" s="2" t="n"/>
      <c r="J199" s="2" t="n"/>
      <c r="K199" s="2" t="n"/>
      <c r="L199" s="2" t="n"/>
      <c r="M199" s="2" t="n"/>
      <c r="N199" s="2" t="n"/>
      <c r="O199" s="2" t="n"/>
      <c r="P199" s="2" t="n"/>
      <c r="Q199" s="2" t="n"/>
      <c r="R199" s="2" t="n"/>
      <c r="S199" s="56" t="n"/>
      <c r="T199" s="56" t="n"/>
      <c r="U199" s="56" t="n"/>
      <c r="V199" s="56" t="n"/>
      <c r="W199" s="56" t="n"/>
      <c r="X199" s="56" t="n"/>
      <c r="Y199" s="56" t="n"/>
      <c r="Z199" s="56" t="n"/>
      <c r="AA199" s="56" t="n"/>
    </row>
    <row r="200" ht="15.75" customHeight="1" s="42">
      <c r="A200" s="2" t="n"/>
      <c r="B200" s="2" t="n"/>
      <c r="C200" s="2" t="n"/>
      <c r="D200" s="2" t="n"/>
      <c r="E200" s="2" t="n"/>
      <c r="F200" s="2" t="n"/>
      <c r="G200" s="2" t="n"/>
      <c r="H200" s="2" t="n"/>
      <c r="I200" s="2" t="n"/>
      <c r="J200" s="2" t="n"/>
      <c r="K200" s="2" t="n"/>
      <c r="L200" s="2" t="n"/>
      <c r="M200" s="2" t="n"/>
      <c r="N200" s="2" t="n"/>
      <c r="O200" s="2" t="n"/>
      <c r="P200" s="2" t="n"/>
      <c r="Q200" s="2" t="n"/>
      <c r="R200" s="2" t="n"/>
      <c r="S200" s="56" t="n"/>
      <c r="T200" s="56" t="n"/>
      <c r="U200" s="56" t="n"/>
      <c r="V200" s="56" t="n"/>
      <c r="W200" s="56" t="n"/>
      <c r="X200" s="56" t="n"/>
      <c r="Y200" s="56" t="n"/>
      <c r="Z200" s="56" t="n"/>
      <c r="AA200" s="56" t="n"/>
    </row>
    <row r="201" ht="15.75" customHeight="1" s="42">
      <c r="A201" s="2" t="n"/>
      <c r="B201" s="2" t="n"/>
      <c r="C201" s="2" t="n"/>
      <c r="D201" s="2" t="n"/>
      <c r="E201" s="2" t="n"/>
      <c r="F201" s="2" t="n"/>
      <c r="G201" s="2" t="n"/>
      <c r="H201" s="2" t="n"/>
      <c r="I201" s="2" t="n"/>
      <c r="J201" s="2" t="n"/>
      <c r="K201" s="2" t="n"/>
      <c r="L201" s="2" t="n"/>
      <c r="M201" s="2" t="n"/>
      <c r="N201" s="2" t="n"/>
      <c r="O201" s="2" t="n"/>
      <c r="P201" s="2" t="n"/>
      <c r="Q201" s="2" t="n"/>
      <c r="R201" s="2" t="n"/>
      <c r="S201" s="56" t="n"/>
      <c r="T201" s="56" t="n"/>
      <c r="U201" s="56" t="n"/>
      <c r="V201" s="56" t="n"/>
      <c r="W201" s="56" t="n"/>
      <c r="X201" s="56" t="n"/>
      <c r="Y201" s="56" t="n"/>
      <c r="Z201" s="56" t="n"/>
      <c r="AA201" s="56" t="n"/>
    </row>
    <row r="202" ht="15.75" customHeight="1" s="42">
      <c r="A202" s="2" t="n"/>
      <c r="B202" s="2" t="n"/>
      <c r="C202" s="2" t="n"/>
      <c r="D202" s="2" t="n"/>
      <c r="E202" s="2" t="n"/>
      <c r="F202" s="2" t="n"/>
      <c r="G202" s="2" t="n"/>
      <c r="H202" s="2" t="n"/>
      <c r="I202" s="2" t="n"/>
      <c r="J202" s="2" t="n"/>
      <c r="K202" s="2" t="n"/>
      <c r="L202" s="2" t="n"/>
      <c r="M202" s="2" t="n"/>
      <c r="N202" s="2" t="n"/>
      <c r="O202" s="2" t="n"/>
      <c r="P202" s="2" t="n"/>
      <c r="Q202" s="2" t="n"/>
      <c r="R202" s="2" t="n"/>
      <c r="S202" s="56" t="n"/>
      <c r="T202" s="56" t="n"/>
      <c r="U202" s="56" t="n"/>
      <c r="V202" s="56" t="n"/>
      <c r="W202" s="56" t="n"/>
      <c r="X202" s="56" t="n"/>
      <c r="Y202" s="56" t="n"/>
      <c r="Z202" s="56" t="n"/>
      <c r="AA202" s="56" t="n"/>
    </row>
    <row r="203" ht="15.75" customHeight="1" s="42">
      <c r="A203" s="2" t="n"/>
      <c r="B203" s="2" t="n"/>
      <c r="C203" s="2" t="n"/>
      <c r="D203" s="2" t="n"/>
      <c r="E203" s="2" t="n"/>
      <c r="F203" s="2" t="n"/>
      <c r="G203" s="2" t="n"/>
      <c r="H203" s="2" t="n"/>
      <c r="I203" s="2" t="n"/>
      <c r="J203" s="2" t="n"/>
      <c r="K203" s="2" t="n"/>
      <c r="L203" s="2" t="n"/>
      <c r="M203" s="2" t="n"/>
      <c r="N203" s="2" t="n"/>
      <c r="O203" s="2" t="n"/>
      <c r="P203" s="2" t="n"/>
      <c r="Q203" s="2" t="n"/>
      <c r="R203" s="2" t="n"/>
      <c r="S203" s="56" t="n"/>
      <c r="T203" s="56" t="n"/>
      <c r="U203" s="56" t="n"/>
      <c r="V203" s="56" t="n"/>
      <c r="W203" s="56" t="n"/>
      <c r="X203" s="56" t="n"/>
      <c r="Y203" s="56" t="n"/>
      <c r="Z203" s="56" t="n"/>
      <c r="AA203" s="56" t="n"/>
    </row>
    <row r="204" ht="15.75" customHeight="1" s="42">
      <c r="A204" s="2" t="n"/>
      <c r="B204" s="2" t="n"/>
      <c r="C204" s="2" t="n"/>
      <c r="D204" s="2" t="n"/>
      <c r="E204" s="2" t="n"/>
      <c r="F204" s="2" t="n"/>
      <c r="G204" s="2" t="n"/>
      <c r="H204" s="2" t="n"/>
      <c r="I204" s="2" t="n"/>
      <c r="J204" s="2" t="n"/>
      <c r="K204" s="2" t="n"/>
      <c r="L204" s="2" t="n"/>
      <c r="M204" s="2" t="n"/>
      <c r="N204" s="2" t="n"/>
      <c r="O204" s="2" t="n"/>
      <c r="P204" s="2" t="n"/>
      <c r="Q204" s="2" t="n"/>
      <c r="R204" s="2" t="n"/>
      <c r="S204" s="56" t="n"/>
      <c r="T204" s="56" t="n"/>
      <c r="U204" s="56" t="n"/>
      <c r="V204" s="56" t="n"/>
      <c r="W204" s="56" t="n"/>
      <c r="X204" s="56" t="n"/>
      <c r="Y204" s="56" t="n"/>
      <c r="Z204" s="56" t="n"/>
      <c r="AA204" s="56" t="n"/>
    </row>
    <row r="205" ht="15.75" customHeight="1" s="42">
      <c r="A205" s="2" t="n"/>
      <c r="B205" s="2" t="n"/>
      <c r="C205" s="2" t="n"/>
      <c r="D205" s="2" t="n"/>
      <c r="E205" s="2" t="n"/>
      <c r="F205" s="2" t="n"/>
      <c r="G205" s="2" t="n"/>
      <c r="H205" s="2" t="n"/>
      <c r="I205" s="2" t="n"/>
      <c r="J205" s="2" t="n"/>
      <c r="K205" s="2" t="n"/>
      <c r="L205" s="2" t="n"/>
      <c r="M205" s="2" t="n"/>
      <c r="N205" s="2" t="n"/>
      <c r="O205" s="2" t="n"/>
      <c r="P205" s="2" t="n"/>
      <c r="Q205" s="2" t="n"/>
      <c r="R205" s="2" t="n"/>
      <c r="S205" s="56" t="n"/>
      <c r="T205" s="56" t="n"/>
      <c r="U205" s="56" t="n"/>
      <c r="V205" s="56" t="n"/>
      <c r="W205" s="56" t="n"/>
      <c r="X205" s="56" t="n"/>
      <c r="Y205" s="56" t="n"/>
      <c r="Z205" s="56" t="n"/>
      <c r="AA205" s="56" t="n"/>
    </row>
    <row r="206" ht="15.75" customHeight="1" s="42">
      <c r="A206" s="2" t="n"/>
      <c r="B206" s="2" t="n"/>
      <c r="C206" s="2" t="n"/>
      <c r="D206" s="2" t="n"/>
      <c r="E206" s="2" t="n"/>
      <c r="F206" s="2" t="n"/>
      <c r="G206" s="2" t="n"/>
      <c r="H206" s="2" t="n"/>
      <c r="I206" s="2" t="n"/>
      <c r="J206" s="2" t="n"/>
      <c r="K206" s="2" t="n"/>
      <c r="L206" s="2" t="n"/>
      <c r="M206" s="2" t="n"/>
      <c r="N206" s="2" t="n"/>
      <c r="O206" s="2" t="n"/>
      <c r="P206" s="2" t="n"/>
      <c r="Q206" s="2" t="n"/>
      <c r="R206" s="2" t="n"/>
      <c r="S206" s="56" t="n"/>
      <c r="T206" s="56" t="n"/>
      <c r="U206" s="56" t="n"/>
      <c r="V206" s="56" t="n"/>
      <c r="W206" s="56" t="n"/>
      <c r="X206" s="56" t="n"/>
      <c r="Y206" s="56" t="n"/>
      <c r="Z206" s="56" t="n"/>
      <c r="AA206" s="56" t="n"/>
    </row>
    <row r="207" ht="15.75" customHeight="1" s="42">
      <c r="A207" s="2" t="n"/>
      <c r="B207" s="2" t="n"/>
      <c r="C207" s="2" t="n"/>
      <c r="D207" s="2" t="n"/>
      <c r="E207" s="2" t="n"/>
      <c r="F207" s="2" t="n"/>
      <c r="G207" s="2" t="n"/>
      <c r="H207" s="2" t="n"/>
      <c r="I207" s="2" t="n"/>
      <c r="J207" s="2" t="n"/>
      <c r="K207" s="2" t="n"/>
      <c r="L207" s="2" t="n"/>
      <c r="M207" s="2" t="n"/>
      <c r="N207" s="2" t="n"/>
      <c r="O207" s="2" t="n"/>
      <c r="P207" s="2" t="n"/>
      <c r="Q207" s="2" t="n"/>
      <c r="R207" s="2" t="n"/>
      <c r="S207" s="56" t="n"/>
      <c r="T207" s="56" t="n"/>
      <c r="U207" s="56" t="n"/>
      <c r="V207" s="56" t="n"/>
      <c r="W207" s="56" t="n"/>
      <c r="X207" s="56" t="n"/>
      <c r="Y207" s="56" t="n"/>
      <c r="Z207" s="56" t="n"/>
      <c r="AA207" s="56" t="n"/>
    </row>
    <row r="208" ht="15.75" customHeight="1" s="42">
      <c r="A208" s="2" t="n"/>
      <c r="B208" s="2" t="n"/>
      <c r="C208" s="2" t="n"/>
      <c r="D208" s="2" t="n"/>
      <c r="E208" s="2" t="n"/>
      <c r="F208" s="2" t="n"/>
      <c r="G208" s="2" t="n"/>
      <c r="H208" s="2" t="n"/>
      <c r="I208" s="2" t="n"/>
      <c r="J208" s="2" t="n"/>
      <c r="K208" s="2" t="n"/>
      <c r="L208" s="2" t="n"/>
      <c r="M208" s="2" t="n"/>
      <c r="N208" s="2" t="n"/>
      <c r="O208" s="2" t="n"/>
      <c r="P208" s="2" t="n"/>
      <c r="Q208" s="2" t="n"/>
      <c r="R208" s="2" t="n"/>
      <c r="S208" s="56" t="n"/>
      <c r="T208" s="56" t="n"/>
      <c r="U208" s="56" t="n"/>
      <c r="V208" s="56" t="n"/>
      <c r="W208" s="56" t="n"/>
      <c r="X208" s="56" t="n"/>
      <c r="Y208" s="56" t="n"/>
      <c r="Z208" s="56" t="n"/>
      <c r="AA208" s="56" t="n"/>
    </row>
    <row r="209" ht="15.75" customHeight="1" s="42">
      <c r="A209" s="2" t="n"/>
      <c r="B209" s="2" t="n"/>
      <c r="C209" s="2" t="n"/>
      <c r="D209" s="2" t="n"/>
      <c r="E209" s="2" t="n"/>
      <c r="F209" s="2" t="n"/>
      <c r="G209" s="2" t="n"/>
      <c r="H209" s="2" t="n"/>
      <c r="I209" s="2" t="n"/>
      <c r="J209" s="2" t="n"/>
      <c r="K209" s="2" t="n"/>
      <c r="L209" s="2" t="n"/>
      <c r="M209" s="2" t="n"/>
      <c r="N209" s="2" t="n"/>
      <c r="O209" s="2" t="n"/>
      <c r="P209" s="2" t="n"/>
      <c r="Q209" s="2" t="n"/>
      <c r="R209" s="2" t="n"/>
      <c r="S209" s="56" t="n"/>
      <c r="T209" s="56" t="n"/>
      <c r="U209" s="56" t="n"/>
      <c r="V209" s="56" t="n"/>
      <c r="W209" s="56" t="n"/>
      <c r="X209" s="56" t="n"/>
      <c r="Y209" s="56" t="n"/>
      <c r="Z209" s="56" t="n"/>
      <c r="AA209" s="56" t="n"/>
    </row>
    <row r="210" ht="15.75" customHeight="1" s="42">
      <c r="A210" s="2" t="n"/>
      <c r="B210" s="2" t="n"/>
      <c r="C210" s="2" t="n"/>
      <c r="D210" s="2" t="n"/>
      <c r="E210" s="2" t="n"/>
      <c r="F210" s="2" t="n"/>
      <c r="G210" s="2" t="n"/>
      <c r="H210" s="2" t="n"/>
      <c r="I210" s="2" t="n"/>
      <c r="J210" s="2" t="n"/>
      <c r="K210" s="2" t="n"/>
      <c r="L210" s="2" t="n"/>
      <c r="M210" s="2" t="n"/>
      <c r="N210" s="2" t="n"/>
      <c r="O210" s="2" t="n"/>
      <c r="P210" s="2" t="n"/>
      <c r="Q210" s="2" t="n"/>
      <c r="R210" s="2" t="n"/>
      <c r="S210" s="56" t="n"/>
      <c r="T210" s="56" t="n"/>
      <c r="U210" s="56" t="n"/>
      <c r="V210" s="56" t="n"/>
      <c r="W210" s="56" t="n"/>
      <c r="X210" s="56" t="n"/>
      <c r="Y210" s="56" t="n"/>
      <c r="Z210" s="56" t="n"/>
      <c r="AA210" s="56" t="n"/>
    </row>
    <row r="211" ht="15.75" customHeight="1" s="42">
      <c r="A211" s="2" t="n"/>
      <c r="B211" s="2" t="n"/>
      <c r="C211" s="2" t="n"/>
      <c r="D211" s="2" t="n"/>
      <c r="E211" s="2" t="n"/>
      <c r="F211" s="2" t="n"/>
      <c r="G211" s="2" t="n"/>
      <c r="H211" s="2" t="n"/>
      <c r="I211" s="2" t="n"/>
      <c r="J211" s="2" t="n"/>
      <c r="K211" s="2" t="n"/>
      <c r="L211" s="2" t="n"/>
      <c r="M211" s="2" t="n"/>
      <c r="N211" s="2" t="n"/>
      <c r="O211" s="2" t="n"/>
      <c r="P211" s="2" t="n"/>
      <c r="Q211" s="2" t="n"/>
      <c r="R211" s="2" t="n"/>
      <c r="S211" s="56" t="n"/>
      <c r="T211" s="56" t="n"/>
      <c r="U211" s="56" t="n"/>
      <c r="V211" s="56" t="n"/>
      <c r="W211" s="56" t="n"/>
      <c r="X211" s="56" t="n"/>
      <c r="Y211" s="56" t="n"/>
      <c r="Z211" s="56" t="n"/>
      <c r="AA211" s="56" t="n"/>
    </row>
    <row r="212" ht="15.75" customHeight="1" s="42">
      <c r="A212" s="2" t="n"/>
      <c r="B212" s="2" t="n"/>
      <c r="C212" s="2" t="n"/>
      <c r="D212" s="2" t="n"/>
      <c r="E212" s="2" t="n"/>
      <c r="F212" s="2" t="n"/>
      <c r="G212" s="2" t="n"/>
      <c r="H212" s="2" t="n"/>
      <c r="I212" s="2" t="n"/>
      <c r="J212" s="2" t="n"/>
      <c r="K212" s="2" t="n"/>
      <c r="L212" s="2" t="n"/>
      <c r="M212" s="2" t="n"/>
      <c r="N212" s="2" t="n"/>
      <c r="O212" s="2" t="n"/>
      <c r="P212" s="2" t="n"/>
      <c r="Q212" s="2" t="n"/>
      <c r="R212" s="2" t="n"/>
      <c r="S212" s="56" t="n"/>
      <c r="T212" s="56" t="n"/>
      <c r="U212" s="56" t="n"/>
      <c r="V212" s="56" t="n"/>
      <c r="W212" s="56" t="n"/>
      <c r="X212" s="56" t="n"/>
      <c r="Y212" s="56" t="n"/>
      <c r="Z212" s="56" t="n"/>
      <c r="AA212" s="56" t="n"/>
    </row>
    <row r="213" ht="15.75" customHeight="1" s="42">
      <c r="A213" s="2" t="n"/>
      <c r="B213" s="2" t="n"/>
      <c r="C213" s="2" t="n"/>
      <c r="D213" s="2" t="n"/>
      <c r="E213" s="2" t="n"/>
      <c r="F213" s="2" t="n"/>
      <c r="G213" s="2" t="n"/>
      <c r="H213" s="2" t="n"/>
      <c r="I213" s="2" t="n"/>
      <c r="J213" s="2" t="n"/>
      <c r="K213" s="2" t="n"/>
      <c r="L213" s="2" t="n"/>
      <c r="M213" s="2" t="n"/>
      <c r="N213" s="2" t="n"/>
      <c r="O213" s="2" t="n"/>
      <c r="P213" s="2" t="n"/>
      <c r="Q213" s="2" t="n"/>
      <c r="R213" s="2" t="n"/>
      <c r="S213" s="56" t="n"/>
      <c r="T213" s="56" t="n"/>
      <c r="U213" s="56" t="n"/>
      <c r="V213" s="56" t="n"/>
      <c r="W213" s="56" t="n"/>
      <c r="X213" s="56" t="n"/>
      <c r="Y213" s="56" t="n"/>
      <c r="Z213" s="56" t="n"/>
      <c r="AA213" s="56" t="n"/>
    </row>
    <row r="214" ht="15.75" customHeight="1" s="42">
      <c r="A214" s="2" t="n"/>
      <c r="B214" s="2" t="n"/>
      <c r="C214" s="2" t="n"/>
      <c r="D214" s="2" t="n"/>
      <c r="E214" s="2" t="n"/>
      <c r="F214" s="2" t="n"/>
      <c r="G214" s="2" t="n"/>
      <c r="H214" s="2" t="n"/>
      <c r="I214" s="2" t="n"/>
      <c r="J214" s="2" t="n"/>
      <c r="K214" s="2" t="n"/>
      <c r="L214" s="2" t="n"/>
      <c r="M214" s="2" t="n"/>
      <c r="N214" s="2" t="n"/>
      <c r="O214" s="2" t="n"/>
      <c r="P214" s="2" t="n"/>
      <c r="Q214" s="2" t="n"/>
      <c r="R214" s="2" t="n"/>
      <c r="S214" s="56" t="n"/>
      <c r="T214" s="56" t="n"/>
      <c r="U214" s="56" t="n"/>
      <c r="V214" s="56" t="n"/>
      <c r="W214" s="56" t="n"/>
      <c r="X214" s="56" t="n"/>
      <c r="Y214" s="56" t="n"/>
      <c r="Z214" s="56" t="n"/>
      <c r="AA214" s="56" t="n"/>
    </row>
    <row r="215" ht="15.75" customHeight="1" s="42">
      <c r="A215" s="2" t="n"/>
      <c r="B215" s="2" t="n"/>
      <c r="C215" s="2" t="n"/>
      <c r="D215" s="2" t="n"/>
      <c r="E215" s="2" t="n"/>
      <c r="F215" s="2" t="n"/>
      <c r="G215" s="2" t="n"/>
      <c r="H215" s="2" t="n"/>
      <c r="I215" s="2" t="n"/>
      <c r="J215" s="2" t="n"/>
      <c r="K215" s="2" t="n"/>
      <c r="L215" s="2" t="n"/>
      <c r="M215" s="2" t="n"/>
      <c r="N215" s="2" t="n"/>
      <c r="O215" s="2" t="n"/>
      <c r="P215" s="2" t="n"/>
      <c r="Q215" s="2" t="n"/>
      <c r="R215" s="2" t="n"/>
      <c r="S215" s="56" t="n"/>
      <c r="T215" s="56" t="n"/>
      <c r="U215" s="56" t="n"/>
      <c r="V215" s="56" t="n"/>
      <c r="W215" s="56" t="n"/>
      <c r="X215" s="56" t="n"/>
      <c r="Y215" s="56" t="n"/>
      <c r="Z215" s="56" t="n"/>
      <c r="AA215" s="56" t="n"/>
    </row>
    <row r="216" ht="15.75" customHeight="1" s="42">
      <c r="A216" s="2" t="n"/>
      <c r="B216" s="2" t="n"/>
      <c r="C216" s="2" t="n"/>
      <c r="D216" s="2" t="n"/>
      <c r="E216" s="2" t="n"/>
      <c r="F216" s="2" t="n"/>
      <c r="G216" s="2" t="n"/>
      <c r="H216" s="2" t="n"/>
      <c r="I216" s="2" t="n"/>
      <c r="J216" s="2" t="n"/>
      <c r="K216" s="2" t="n"/>
      <c r="L216" s="2" t="n"/>
      <c r="M216" s="2" t="n"/>
      <c r="N216" s="2" t="n"/>
      <c r="O216" s="2" t="n"/>
      <c r="P216" s="2" t="n"/>
      <c r="Q216" s="2" t="n"/>
      <c r="R216" s="2" t="n"/>
      <c r="S216" s="56" t="n"/>
      <c r="T216" s="56" t="n"/>
      <c r="U216" s="56" t="n"/>
      <c r="V216" s="56" t="n"/>
      <c r="W216" s="56" t="n"/>
      <c r="X216" s="56" t="n"/>
      <c r="Y216" s="56" t="n"/>
      <c r="Z216" s="56" t="n"/>
      <c r="AA216" s="56" t="n"/>
    </row>
    <row r="217" ht="15.75" customHeight="1" s="42">
      <c r="A217" s="2" t="n"/>
      <c r="B217" s="2" t="n"/>
      <c r="C217" s="2" t="n"/>
      <c r="D217" s="2" t="n"/>
      <c r="E217" s="2" t="n"/>
      <c r="F217" s="2" t="n"/>
      <c r="G217" s="2" t="n"/>
      <c r="H217" s="2" t="n"/>
      <c r="I217" s="2" t="n"/>
      <c r="J217" s="2" t="n"/>
      <c r="K217" s="2" t="n"/>
      <c r="L217" s="2" t="n"/>
      <c r="M217" s="2" t="n"/>
      <c r="N217" s="2" t="n"/>
      <c r="O217" s="2" t="n"/>
      <c r="P217" s="2" t="n"/>
      <c r="Q217" s="2" t="n"/>
      <c r="R217" s="2" t="n"/>
      <c r="S217" s="56" t="n"/>
      <c r="T217" s="56" t="n"/>
      <c r="U217" s="56" t="n"/>
      <c r="V217" s="56" t="n"/>
      <c r="W217" s="56" t="n"/>
      <c r="X217" s="56" t="n"/>
      <c r="Y217" s="56" t="n"/>
      <c r="Z217" s="56" t="n"/>
      <c r="AA217" s="56" t="n"/>
    </row>
    <row r="218" ht="15.75" customHeight="1" s="42">
      <c r="A218" s="2" t="n"/>
      <c r="B218" s="2" t="n"/>
      <c r="C218" s="2" t="n"/>
      <c r="D218" s="2" t="n"/>
      <c r="E218" s="2" t="n"/>
      <c r="F218" s="2" t="n"/>
      <c r="G218" s="2" t="n"/>
      <c r="H218" s="2" t="n"/>
      <c r="I218" s="2" t="n"/>
      <c r="J218" s="2" t="n"/>
      <c r="K218" s="2" t="n"/>
      <c r="L218" s="2" t="n"/>
      <c r="M218" s="2" t="n"/>
      <c r="N218" s="2" t="n"/>
      <c r="O218" s="2" t="n"/>
      <c r="P218" s="2" t="n"/>
      <c r="Q218" s="2" t="n"/>
      <c r="R218" s="2" t="n"/>
      <c r="S218" s="56" t="n"/>
      <c r="T218" s="56" t="n"/>
      <c r="U218" s="56" t="n"/>
      <c r="V218" s="56" t="n"/>
      <c r="W218" s="56" t="n"/>
      <c r="X218" s="56" t="n"/>
      <c r="Y218" s="56" t="n"/>
      <c r="Z218" s="56" t="n"/>
      <c r="AA218" s="56" t="n"/>
    </row>
    <row r="219" ht="15.75" customHeight="1" s="42">
      <c r="A219" s="2" t="n"/>
      <c r="B219" s="2" t="n"/>
      <c r="C219" s="2" t="n"/>
      <c r="D219" s="2" t="n"/>
      <c r="E219" s="2" t="n"/>
      <c r="F219" s="2" t="n"/>
      <c r="G219" s="2" t="n"/>
      <c r="H219" s="2" t="n"/>
      <c r="I219" s="2" t="n"/>
      <c r="J219" s="2" t="n"/>
      <c r="K219" s="2" t="n"/>
      <c r="L219" s="2" t="n"/>
      <c r="M219" s="2" t="n"/>
      <c r="N219" s="2" t="n"/>
      <c r="O219" s="2" t="n"/>
      <c r="P219" s="2" t="n"/>
      <c r="Q219" s="2" t="n"/>
      <c r="R219" s="2" t="n"/>
      <c r="S219" s="56" t="n"/>
      <c r="T219" s="56" t="n"/>
      <c r="U219" s="56" t="n"/>
      <c r="V219" s="56" t="n"/>
      <c r="W219" s="56" t="n"/>
      <c r="X219" s="56" t="n"/>
      <c r="Y219" s="56" t="n"/>
      <c r="Z219" s="56" t="n"/>
      <c r="AA219" s="56" t="n"/>
    </row>
    <row r="220" ht="15.75" customHeight="1" s="42">
      <c r="A220" s="2" t="n"/>
      <c r="B220" s="2" t="n"/>
      <c r="C220" s="2" t="n"/>
      <c r="D220" s="2" t="n"/>
      <c r="E220" s="2" t="n"/>
      <c r="F220" s="2" t="n"/>
      <c r="G220" s="2" t="n"/>
      <c r="H220" s="2" t="n"/>
      <c r="I220" s="2" t="n"/>
      <c r="J220" s="2" t="n"/>
      <c r="K220" s="2" t="n"/>
      <c r="L220" s="2" t="n"/>
      <c r="M220" s="2" t="n"/>
      <c r="N220" s="2" t="n"/>
      <c r="O220" s="2" t="n"/>
      <c r="P220" s="2" t="n"/>
      <c r="Q220" s="2" t="n"/>
      <c r="R220" s="2" t="n"/>
      <c r="S220" s="56" t="n"/>
      <c r="T220" s="56" t="n"/>
      <c r="U220" s="56" t="n"/>
      <c r="V220" s="56" t="n"/>
      <c r="W220" s="56" t="n"/>
      <c r="X220" s="56" t="n"/>
      <c r="Y220" s="56" t="n"/>
      <c r="Z220" s="56" t="n"/>
      <c r="AA220" s="56" t="n"/>
    </row>
    <row r="221" ht="15.75" customHeight="1" s="42">
      <c r="A221" s="2" t="n"/>
      <c r="B221" s="2" t="n"/>
      <c r="C221" s="2" t="n"/>
      <c r="D221" s="2" t="n"/>
      <c r="E221" s="2" t="n"/>
      <c r="F221" s="2" t="n"/>
      <c r="G221" s="2" t="n"/>
      <c r="H221" s="2" t="n"/>
      <c r="I221" s="2" t="n"/>
      <c r="J221" s="2" t="n"/>
      <c r="K221" s="2" t="n"/>
      <c r="L221" s="2" t="n"/>
      <c r="M221" s="2" t="n"/>
      <c r="N221" s="2" t="n"/>
      <c r="O221" s="2" t="n"/>
      <c r="P221" s="2" t="n"/>
      <c r="Q221" s="2" t="n"/>
      <c r="R221" s="2" t="n"/>
      <c r="S221" s="56" t="n"/>
      <c r="T221" s="56" t="n"/>
      <c r="U221" s="56" t="n"/>
      <c r="V221" s="56" t="n"/>
      <c r="W221" s="56" t="n"/>
      <c r="X221" s="56" t="n"/>
      <c r="Y221" s="56" t="n"/>
      <c r="Z221" s="56" t="n"/>
      <c r="AA221" s="56" t="n"/>
    </row>
    <row r="222" ht="15.75" customHeight="1" s="42">
      <c r="A222" s="2" t="n"/>
      <c r="B222" s="2" t="n"/>
      <c r="C222" s="2" t="n"/>
      <c r="D222" s="2" t="n"/>
      <c r="E222" s="2" t="n"/>
      <c r="F222" s="2" t="n"/>
      <c r="G222" s="2" t="n"/>
      <c r="H222" s="2" t="n"/>
      <c r="I222" s="2" t="n"/>
      <c r="J222" s="2" t="n"/>
      <c r="K222" s="2" t="n"/>
      <c r="L222" s="2" t="n"/>
      <c r="M222" s="2" t="n"/>
      <c r="N222" s="2" t="n"/>
      <c r="O222" s="2" t="n"/>
      <c r="P222" s="2" t="n"/>
      <c r="Q222" s="2" t="n"/>
      <c r="R222" s="2" t="n"/>
      <c r="S222" s="56" t="n"/>
      <c r="T222" s="56" t="n"/>
      <c r="U222" s="56" t="n"/>
      <c r="V222" s="56" t="n"/>
      <c r="W222" s="56" t="n"/>
      <c r="X222" s="56" t="n"/>
      <c r="Y222" s="56" t="n"/>
      <c r="Z222" s="56" t="n"/>
      <c r="AA222" s="56" t="n"/>
    </row>
    <row r="223" ht="15.75" customHeight="1" s="42">
      <c r="A223" s="2" t="n"/>
      <c r="B223" s="2" t="n"/>
      <c r="C223" s="2" t="n"/>
      <c r="D223" s="2" t="n"/>
      <c r="E223" s="2" t="n"/>
      <c r="F223" s="2" t="n"/>
      <c r="G223" s="2" t="n"/>
      <c r="H223" s="2" t="n"/>
      <c r="I223" s="2" t="n"/>
      <c r="J223" s="2" t="n"/>
      <c r="K223" s="2" t="n"/>
      <c r="L223" s="2" t="n"/>
      <c r="M223" s="2" t="n"/>
      <c r="N223" s="2" t="n"/>
      <c r="O223" s="2" t="n"/>
      <c r="P223" s="2" t="n"/>
      <c r="Q223" s="2" t="n"/>
      <c r="R223" s="2" t="n"/>
      <c r="S223" s="56" t="n"/>
      <c r="T223" s="56" t="n"/>
      <c r="U223" s="56" t="n"/>
      <c r="V223" s="56" t="n"/>
      <c r="W223" s="56" t="n"/>
      <c r="X223" s="56" t="n"/>
      <c r="Y223" s="56" t="n"/>
      <c r="Z223" s="56" t="n"/>
      <c r="AA223" s="56" t="n"/>
    </row>
    <row r="224" ht="15.75" customHeight="1" s="42">
      <c r="A224" s="2" t="n"/>
      <c r="B224" s="2" t="n"/>
      <c r="C224" s="2" t="n"/>
      <c r="D224" s="2" t="n"/>
      <c r="E224" s="2" t="n"/>
      <c r="F224" s="2" t="n"/>
      <c r="G224" s="2" t="n"/>
      <c r="H224" s="2" t="n"/>
      <c r="I224" s="2" t="n"/>
      <c r="J224" s="2" t="n"/>
      <c r="K224" s="2" t="n"/>
      <c r="L224" s="2" t="n"/>
      <c r="M224" s="2" t="n"/>
      <c r="N224" s="2" t="n"/>
      <c r="O224" s="2" t="n"/>
      <c r="P224" s="2" t="n"/>
      <c r="Q224" s="2" t="n"/>
      <c r="R224" s="2" t="n"/>
      <c r="S224" s="56" t="n"/>
      <c r="T224" s="56" t="n"/>
      <c r="U224" s="56" t="n"/>
      <c r="V224" s="56" t="n"/>
      <c r="W224" s="56" t="n"/>
      <c r="X224" s="56" t="n"/>
      <c r="Y224" s="56" t="n"/>
      <c r="Z224" s="56" t="n"/>
      <c r="AA224" s="56" t="n"/>
    </row>
    <row r="225" ht="15.75" customHeight="1" s="42">
      <c r="A225" s="2" t="n"/>
      <c r="B225" s="2" t="n"/>
      <c r="C225" s="2" t="n"/>
      <c r="D225" s="2" t="n"/>
      <c r="E225" s="2" t="n"/>
      <c r="F225" s="2" t="n"/>
      <c r="G225" s="2" t="n"/>
      <c r="H225" s="2" t="n"/>
      <c r="I225" s="2" t="n"/>
      <c r="J225" s="2" t="n"/>
      <c r="K225" s="2" t="n"/>
      <c r="L225" s="2" t="n"/>
      <c r="M225" s="2" t="n"/>
      <c r="N225" s="2" t="n"/>
      <c r="O225" s="2" t="n"/>
      <c r="P225" s="2" t="n"/>
      <c r="Q225" s="2" t="n"/>
      <c r="R225" s="2" t="n"/>
      <c r="S225" s="56" t="n"/>
      <c r="T225" s="56" t="n"/>
      <c r="U225" s="56" t="n"/>
      <c r="V225" s="56" t="n"/>
      <c r="W225" s="56" t="n"/>
      <c r="X225" s="56" t="n"/>
      <c r="Y225" s="56" t="n"/>
      <c r="Z225" s="56" t="n"/>
      <c r="AA225" s="56" t="n"/>
    </row>
    <row r="226" ht="15.75" customHeight="1" s="42">
      <c r="A226" s="2" t="n"/>
      <c r="B226" s="2" t="n"/>
      <c r="C226" s="2" t="n"/>
      <c r="D226" s="2" t="n"/>
      <c r="E226" s="2" t="n"/>
      <c r="F226" s="2" t="n"/>
      <c r="G226" s="2" t="n"/>
      <c r="H226" s="2" t="n"/>
      <c r="I226" s="2" t="n"/>
      <c r="J226" s="2" t="n"/>
      <c r="K226" s="2" t="n"/>
      <c r="L226" s="2" t="n"/>
      <c r="M226" s="2" t="n"/>
      <c r="N226" s="2" t="n"/>
      <c r="O226" s="2" t="n"/>
      <c r="P226" s="2" t="n"/>
      <c r="Q226" s="2" t="n"/>
      <c r="R226" s="2" t="n"/>
      <c r="S226" s="56" t="n"/>
      <c r="T226" s="56" t="n"/>
      <c r="U226" s="56" t="n"/>
      <c r="V226" s="56" t="n"/>
      <c r="W226" s="56" t="n"/>
      <c r="X226" s="56" t="n"/>
      <c r="Y226" s="56" t="n"/>
      <c r="Z226" s="56" t="n"/>
      <c r="AA226" s="56" t="n"/>
    </row>
    <row r="227" ht="15.75" customHeight="1" s="42">
      <c r="A227" s="2" t="n"/>
      <c r="B227" s="2" t="n"/>
      <c r="C227" s="2" t="n"/>
      <c r="D227" s="2" t="n"/>
      <c r="E227" s="2" t="n"/>
      <c r="F227" s="2" t="n"/>
      <c r="G227" s="2" t="n"/>
      <c r="H227" s="2" t="n"/>
      <c r="I227" s="2" t="n"/>
      <c r="J227" s="2" t="n"/>
      <c r="K227" s="2" t="n"/>
      <c r="L227" s="2" t="n"/>
      <c r="M227" s="2" t="n"/>
      <c r="N227" s="2" t="n"/>
      <c r="O227" s="2" t="n"/>
      <c r="P227" s="2" t="n"/>
      <c r="Q227" s="2" t="n"/>
      <c r="R227" s="2" t="n"/>
      <c r="S227" s="56" t="n"/>
      <c r="T227" s="56" t="n"/>
      <c r="U227" s="56" t="n"/>
      <c r="V227" s="56" t="n"/>
      <c r="W227" s="56" t="n"/>
      <c r="X227" s="56" t="n"/>
      <c r="Y227" s="56" t="n"/>
      <c r="Z227" s="56" t="n"/>
      <c r="AA227" s="56" t="n"/>
    </row>
    <row r="228" ht="15.75" customHeight="1" s="42">
      <c r="A228" s="2" t="n"/>
      <c r="B228" s="2" t="n"/>
      <c r="C228" s="2" t="n"/>
      <c r="D228" s="2" t="n"/>
      <c r="E228" s="2" t="n"/>
      <c r="F228" s="2" t="n"/>
      <c r="G228" s="2" t="n"/>
      <c r="H228" s="2" t="n"/>
      <c r="I228" s="2" t="n"/>
      <c r="J228" s="2" t="n"/>
      <c r="K228" s="2" t="n"/>
      <c r="L228" s="2" t="n"/>
      <c r="M228" s="2" t="n"/>
      <c r="N228" s="2" t="n"/>
      <c r="O228" s="2" t="n"/>
      <c r="P228" s="2" t="n"/>
      <c r="Q228" s="2" t="n"/>
      <c r="R228" s="2" t="n"/>
      <c r="S228" s="56" t="n"/>
      <c r="T228" s="56" t="n"/>
      <c r="U228" s="56" t="n"/>
      <c r="V228" s="56" t="n"/>
      <c r="W228" s="56" t="n"/>
      <c r="X228" s="56" t="n"/>
      <c r="Y228" s="56" t="n"/>
      <c r="Z228" s="56" t="n"/>
      <c r="AA228" s="56" t="n"/>
    </row>
    <row r="229" ht="15.75" customHeight="1" s="42">
      <c r="A229" s="2" t="n"/>
      <c r="B229" s="2" t="n"/>
      <c r="C229" s="2" t="n"/>
      <c r="D229" s="2" t="n"/>
      <c r="E229" s="2" t="n"/>
      <c r="F229" s="2" t="n"/>
      <c r="G229" s="2" t="n"/>
      <c r="H229" s="2" t="n"/>
      <c r="I229" s="2" t="n"/>
      <c r="J229" s="2" t="n"/>
      <c r="K229" s="2" t="n"/>
      <c r="L229" s="2" t="n"/>
      <c r="M229" s="2" t="n"/>
      <c r="N229" s="2" t="n"/>
      <c r="O229" s="2" t="n"/>
      <c r="P229" s="2" t="n"/>
      <c r="Q229" s="2" t="n"/>
      <c r="R229" s="2" t="n"/>
      <c r="S229" s="56" t="n"/>
      <c r="T229" s="56" t="n"/>
      <c r="U229" s="56" t="n"/>
      <c r="V229" s="56" t="n"/>
      <c r="W229" s="56" t="n"/>
      <c r="X229" s="56" t="n"/>
      <c r="Y229" s="56" t="n"/>
      <c r="Z229" s="56" t="n"/>
      <c r="AA229" s="56" t="n"/>
    </row>
    <row r="230" ht="15.75" customHeight="1" s="42">
      <c r="A230" s="2" t="n"/>
      <c r="B230" s="2" t="n"/>
      <c r="C230" s="2" t="n"/>
      <c r="D230" s="2" t="n"/>
      <c r="E230" s="2" t="n"/>
      <c r="F230" s="2" t="n"/>
      <c r="G230" s="2" t="n"/>
      <c r="H230" s="2" t="n"/>
      <c r="I230" s="2" t="n"/>
      <c r="J230" s="2" t="n"/>
      <c r="K230" s="2" t="n"/>
      <c r="L230" s="2" t="n"/>
      <c r="M230" s="2" t="n"/>
      <c r="N230" s="2" t="n"/>
      <c r="O230" s="2" t="n"/>
      <c r="P230" s="2" t="n"/>
      <c r="Q230" s="2" t="n"/>
      <c r="R230" s="2" t="n"/>
      <c r="S230" s="56" t="n"/>
      <c r="T230" s="56" t="n"/>
      <c r="U230" s="56" t="n"/>
      <c r="V230" s="56" t="n"/>
      <c r="W230" s="56" t="n"/>
      <c r="X230" s="56" t="n"/>
      <c r="Y230" s="56" t="n"/>
      <c r="Z230" s="56" t="n"/>
      <c r="AA230" s="56" t="n"/>
    </row>
    <row r="231" ht="15.75" customHeight="1" s="42">
      <c r="A231" s="2" t="n"/>
      <c r="B231" s="2" t="n"/>
      <c r="C231" s="2" t="n"/>
      <c r="D231" s="2" t="n"/>
      <c r="E231" s="2" t="n"/>
      <c r="F231" s="2" t="n"/>
      <c r="G231" s="2" t="n"/>
      <c r="H231" s="2" t="n"/>
      <c r="I231" s="2" t="n"/>
      <c r="J231" s="2" t="n"/>
      <c r="K231" s="2" t="n"/>
      <c r="L231" s="2" t="n"/>
      <c r="M231" s="2" t="n"/>
      <c r="N231" s="2" t="n"/>
      <c r="O231" s="2" t="n"/>
      <c r="P231" s="2" t="n"/>
      <c r="Q231" s="2" t="n"/>
      <c r="R231" s="2" t="n"/>
      <c r="S231" s="56" t="n"/>
      <c r="T231" s="56" t="n"/>
      <c r="U231" s="56" t="n"/>
      <c r="V231" s="56" t="n"/>
      <c r="W231" s="56" t="n"/>
      <c r="X231" s="56" t="n"/>
      <c r="Y231" s="56" t="n"/>
      <c r="Z231" s="56" t="n"/>
      <c r="AA231" s="56" t="n"/>
    </row>
    <row r="232" ht="15.75" customHeight="1" s="42">
      <c r="A232" s="2" t="n"/>
      <c r="B232" s="2" t="n"/>
      <c r="C232" s="2" t="n"/>
      <c r="D232" s="2" t="n"/>
      <c r="E232" s="2" t="n"/>
      <c r="F232" s="2" t="n"/>
      <c r="G232" s="2" t="n"/>
      <c r="H232" s="2" t="n"/>
      <c r="I232" s="2" t="n"/>
      <c r="J232" s="2" t="n"/>
      <c r="K232" s="2" t="n"/>
      <c r="L232" s="2" t="n"/>
      <c r="M232" s="2" t="n"/>
      <c r="N232" s="2" t="n"/>
      <c r="O232" s="2" t="n"/>
      <c r="P232" s="2" t="n"/>
      <c r="Q232" s="2" t="n"/>
      <c r="R232" s="2" t="n"/>
      <c r="S232" s="56" t="n"/>
      <c r="T232" s="56" t="n"/>
      <c r="U232" s="56" t="n"/>
      <c r="V232" s="56" t="n"/>
      <c r="W232" s="56" t="n"/>
      <c r="X232" s="56" t="n"/>
      <c r="Y232" s="56" t="n"/>
      <c r="Z232" s="56" t="n"/>
      <c r="AA232" s="56" t="n"/>
    </row>
    <row r="233" ht="15.75" customHeight="1" s="42">
      <c r="A233" s="2" t="n"/>
      <c r="B233" s="2" t="n"/>
      <c r="C233" s="2" t="n"/>
      <c r="D233" s="2" t="n"/>
      <c r="E233" s="2" t="n"/>
      <c r="F233" s="2" t="n"/>
      <c r="G233" s="2" t="n"/>
      <c r="H233" s="2" t="n"/>
      <c r="I233" s="2" t="n"/>
      <c r="J233" s="2" t="n"/>
      <c r="K233" s="2" t="n"/>
      <c r="L233" s="2" t="n"/>
      <c r="M233" s="2" t="n"/>
      <c r="N233" s="2" t="n"/>
      <c r="O233" s="2" t="n"/>
      <c r="P233" s="2" t="n"/>
      <c r="Q233" s="2" t="n"/>
      <c r="R233" s="2" t="n"/>
      <c r="S233" s="56" t="n"/>
      <c r="T233" s="56" t="n"/>
      <c r="U233" s="56" t="n"/>
      <c r="V233" s="56" t="n"/>
      <c r="W233" s="56" t="n"/>
      <c r="X233" s="56" t="n"/>
      <c r="Y233" s="56" t="n"/>
      <c r="Z233" s="56" t="n"/>
      <c r="AA233" s="56" t="n"/>
    </row>
    <row r="234" ht="15.75" customHeight="1" s="42">
      <c r="A234" s="2" t="n"/>
      <c r="B234" s="2" t="n"/>
      <c r="C234" s="2" t="n"/>
      <c r="D234" s="2" t="n"/>
      <c r="E234" s="2" t="n"/>
      <c r="F234" s="2" t="n"/>
      <c r="G234" s="2" t="n"/>
      <c r="H234" s="2" t="n"/>
      <c r="I234" s="2" t="n"/>
      <c r="J234" s="2" t="n"/>
      <c r="K234" s="2" t="n"/>
      <c r="L234" s="2" t="n"/>
      <c r="M234" s="2" t="n"/>
      <c r="N234" s="2" t="n"/>
      <c r="O234" s="2" t="n"/>
      <c r="P234" s="2" t="n"/>
      <c r="Q234" s="2" t="n"/>
      <c r="R234" s="2" t="n"/>
      <c r="S234" s="56" t="n"/>
      <c r="T234" s="56" t="n"/>
      <c r="U234" s="56" t="n"/>
      <c r="V234" s="56" t="n"/>
      <c r="W234" s="56" t="n"/>
      <c r="X234" s="56" t="n"/>
      <c r="Y234" s="56" t="n"/>
      <c r="Z234" s="56" t="n"/>
      <c r="AA234" s="56" t="n"/>
    </row>
    <row r="235" ht="15.75" customHeight="1" s="42">
      <c r="A235" s="2" t="n"/>
      <c r="B235" s="2" t="n"/>
      <c r="C235" s="2" t="n"/>
      <c r="D235" s="2" t="n"/>
      <c r="E235" s="2" t="n"/>
      <c r="F235" s="2" t="n"/>
      <c r="G235" s="2" t="n"/>
      <c r="H235" s="2" t="n"/>
      <c r="I235" s="2" t="n"/>
      <c r="J235" s="2" t="n"/>
      <c r="K235" s="2" t="n"/>
      <c r="L235" s="2" t="n"/>
      <c r="M235" s="2" t="n"/>
      <c r="N235" s="2" t="n"/>
      <c r="O235" s="2" t="n"/>
      <c r="P235" s="2" t="n"/>
      <c r="Q235" s="2" t="n"/>
      <c r="R235" s="2" t="n"/>
      <c r="S235" s="56" t="n"/>
      <c r="T235" s="56" t="n"/>
      <c r="U235" s="56" t="n"/>
      <c r="V235" s="56" t="n"/>
      <c r="W235" s="56" t="n"/>
      <c r="X235" s="56" t="n"/>
      <c r="Y235" s="56" t="n"/>
      <c r="Z235" s="56" t="n"/>
      <c r="AA235" s="56" t="n"/>
    </row>
    <row r="236" ht="15.75" customHeight="1" s="42">
      <c r="A236" s="2" t="n"/>
      <c r="B236" s="2" t="n"/>
      <c r="C236" s="2" t="n"/>
      <c r="D236" s="2" t="n"/>
      <c r="E236" s="2" t="n"/>
      <c r="F236" s="2" t="n"/>
      <c r="G236" s="2" t="n"/>
      <c r="H236" s="2" t="n"/>
      <c r="I236" s="2" t="n"/>
      <c r="J236" s="2" t="n"/>
      <c r="K236" s="2" t="n"/>
      <c r="L236" s="2" t="n"/>
      <c r="M236" s="2" t="n"/>
      <c r="N236" s="2" t="n"/>
      <c r="O236" s="2" t="n"/>
      <c r="P236" s="2" t="n"/>
      <c r="Q236" s="2" t="n"/>
      <c r="R236" s="2" t="n"/>
      <c r="S236" s="56" t="n"/>
      <c r="T236" s="56" t="n"/>
      <c r="U236" s="56" t="n"/>
      <c r="V236" s="56" t="n"/>
      <c r="W236" s="56" t="n"/>
      <c r="X236" s="56" t="n"/>
      <c r="Y236" s="56" t="n"/>
      <c r="Z236" s="56" t="n"/>
      <c r="AA236" s="56" t="n"/>
    </row>
    <row r="237" ht="15.75" customHeight="1" s="42">
      <c r="A237" s="2" t="n"/>
      <c r="B237" s="2" t="n"/>
      <c r="C237" s="2" t="n"/>
      <c r="D237" s="2" t="n"/>
      <c r="E237" s="2" t="n"/>
      <c r="F237" s="2" t="n"/>
      <c r="G237" s="2" t="n"/>
      <c r="H237" s="2" t="n"/>
      <c r="I237" s="2" t="n"/>
      <c r="J237" s="2" t="n"/>
      <c r="K237" s="2" t="n"/>
      <c r="L237" s="2" t="n"/>
      <c r="M237" s="2" t="n"/>
      <c r="N237" s="2" t="n"/>
      <c r="O237" s="2" t="n"/>
      <c r="P237" s="2" t="n"/>
      <c r="Q237" s="2" t="n"/>
      <c r="R237" s="2" t="n"/>
      <c r="S237" s="56" t="n"/>
      <c r="T237" s="56" t="n"/>
      <c r="U237" s="56" t="n"/>
      <c r="V237" s="56" t="n"/>
      <c r="W237" s="56" t="n"/>
      <c r="X237" s="56" t="n"/>
      <c r="Y237" s="56" t="n"/>
      <c r="Z237" s="56" t="n"/>
      <c r="AA237" s="56" t="n"/>
    </row>
    <row r="238" ht="15.75" customHeight="1" s="42">
      <c r="A238" s="2" t="n"/>
      <c r="B238" s="2" t="n"/>
      <c r="C238" s="2" t="n"/>
      <c r="D238" s="2" t="n"/>
      <c r="E238" s="2" t="n"/>
      <c r="F238" s="2" t="n"/>
      <c r="G238" s="2" t="n"/>
      <c r="H238" s="2" t="n"/>
      <c r="I238" s="2" t="n"/>
      <c r="J238" s="2" t="n"/>
      <c r="K238" s="2" t="n"/>
      <c r="L238" s="2" t="n"/>
      <c r="M238" s="2" t="n"/>
      <c r="N238" s="2" t="n"/>
      <c r="O238" s="2" t="n"/>
      <c r="P238" s="2" t="n"/>
      <c r="Q238" s="2" t="n"/>
      <c r="R238" s="2" t="n"/>
      <c r="S238" s="56" t="n"/>
      <c r="T238" s="56" t="n"/>
      <c r="U238" s="56" t="n"/>
      <c r="V238" s="56" t="n"/>
      <c r="W238" s="56" t="n"/>
      <c r="X238" s="56" t="n"/>
      <c r="Y238" s="56" t="n"/>
      <c r="Z238" s="56" t="n"/>
      <c r="AA238" s="56" t="n"/>
    </row>
    <row r="239" ht="15.75" customHeight="1" s="42">
      <c r="A239" s="2" t="n"/>
      <c r="B239" s="2" t="n"/>
      <c r="C239" s="2" t="n"/>
      <c r="D239" s="2" t="n"/>
      <c r="E239" s="2" t="n"/>
      <c r="F239" s="2" t="n"/>
      <c r="G239" s="2" t="n"/>
      <c r="H239" s="2" t="n"/>
      <c r="I239" s="2" t="n"/>
      <c r="J239" s="2" t="n"/>
      <c r="K239" s="2" t="n"/>
      <c r="L239" s="2" t="n"/>
      <c r="M239" s="2" t="n"/>
      <c r="N239" s="2" t="n"/>
      <c r="O239" s="2" t="n"/>
      <c r="P239" s="2" t="n"/>
      <c r="Q239" s="2" t="n"/>
      <c r="R239" s="2" t="n"/>
      <c r="S239" s="56" t="n"/>
      <c r="T239" s="56" t="n"/>
      <c r="U239" s="56" t="n"/>
      <c r="V239" s="56" t="n"/>
      <c r="W239" s="56" t="n"/>
      <c r="X239" s="56" t="n"/>
      <c r="Y239" s="56" t="n"/>
      <c r="Z239" s="56" t="n"/>
      <c r="AA239" s="56" t="n"/>
    </row>
    <row r="240" ht="15.75" customHeight="1" s="42">
      <c r="A240" s="2" t="n"/>
      <c r="B240" s="2" t="n"/>
      <c r="C240" s="2" t="n"/>
      <c r="D240" s="2" t="n"/>
      <c r="E240" s="2" t="n"/>
      <c r="F240" s="2" t="n"/>
      <c r="G240" s="2" t="n"/>
      <c r="H240" s="2" t="n"/>
      <c r="I240" s="2" t="n"/>
      <c r="J240" s="2" t="n"/>
      <c r="K240" s="2" t="n"/>
      <c r="L240" s="2" t="n"/>
      <c r="M240" s="2" t="n"/>
      <c r="N240" s="2" t="n"/>
      <c r="O240" s="2" t="n"/>
      <c r="P240" s="2" t="n"/>
      <c r="Q240" s="2" t="n"/>
      <c r="R240" s="2" t="n"/>
      <c r="S240" s="56" t="n"/>
      <c r="T240" s="56" t="n"/>
      <c r="U240" s="56" t="n"/>
      <c r="V240" s="56" t="n"/>
      <c r="W240" s="56" t="n"/>
      <c r="X240" s="56" t="n"/>
      <c r="Y240" s="56" t="n"/>
      <c r="Z240" s="56" t="n"/>
      <c r="AA240" s="56" t="n"/>
    </row>
    <row r="241" ht="15.75" customHeight="1" s="42">
      <c r="A241" s="2" t="n"/>
      <c r="B241" s="2" t="n"/>
      <c r="C241" s="2" t="n"/>
      <c r="D241" s="2" t="n"/>
      <c r="E241" s="2" t="n"/>
      <c r="F241" s="2" t="n"/>
      <c r="G241" s="2" t="n"/>
      <c r="H241" s="2" t="n"/>
      <c r="I241" s="2" t="n"/>
      <c r="J241" s="2" t="n"/>
      <c r="K241" s="2" t="n"/>
      <c r="L241" s="2" t="n"/>
      <c r="M241" s="2" t="n"/>
      <c r="N241" s="2" t="n"/>
      <c r="O241" s="2" t="n"/>
      <c r="P241" s="2" t="n"/>
      <c r="Q241" s="2" t="n"/>
      <c r="R241" s="2" t="n"/>
      <c r="S241" s="56" t="n"/>
      <c r="T241" s="56" t="n"/>
      <c r="U241" s="56" t="n"/>
      <c r="V241" s="56" t="n"/>
      <c r="W241" s="56" t="n"/>
      <c r="X241" s="56" t="n"/>
      <c r="Y241" s="56" t="n"/>
      <c r="Z241" s="56" t="n"/>
      <c r="AA241" s="56" t="n"/>
    </row>
    <row r="242" ht="15.75" customHeight="1" s="42">
      <c r="A242" s="2" t="n"/>
      <c r="B242" s="2" t="n"/>
      <c r="C242" s="2" t="n"/>
      <c r="D242" s="2" t="n"/>
      <c r="E242" s="2" t="n"/>
      <c r="F242" s="2" t="n"/>
      <c r="G242" s="2" t="n"/>
      <c r="H242" s="2" t="n"/>
      <c r="I242" s="2" t="n"/>
      <c r="J242" s="2" t="n"/>
      <c r="K242" s="2" t="n"/>
      <c r="L242" s="2" t="n"/>
      <c r="M242" s="2" t="n"/>
      <c r="N242" s="2" t="n"/>
      <c r="O242" s="2" t="n"/>
      <c r="P242" s="2" t="n"/>
      <c r="Q242" s="2" t="n"/>
      <c r="R242" s="2" t="n"/>
      <c r="S242" s="56" t="n"/>
      <c r="T242" s="56" t="n"/>
      <c r="U242" s="56" t="n"/>
      <c r="V242" s="56" t="n"/>
      <c r="W242" s="56" t="n"/>
      <c r="X242" s="56" t="n"/>
      <c r="Y242" s="56" t="n"/>
      <c r="Z242" s="56" t="n"/>
      <c r="AA242" s="56" t="n"/>
    </row>
    <row r="243" ht="15.75" customHeight="1" s="42">
      <c r="A243" s="2" t="n"/>
      <c r="B243" s="2" t="n"/>
      <c r="C243" s="2" t="n"/>
      <c r="D243" s="2" t="n"/>
      <c r="E243" s="2" t="n"/>
      <c r="F243" s="2" t="n"/>
      <c r="G243" s="2" t="n"/>
      <c r="H243" s="2" t="n"/>
      <c r="I243" s="2" t="n"/>
      <c r="J243" s="2" t="n"/>
      <c r="K243" s="2" t="n"/>
      <c r="L243" s="2" t="n"/>
      <c r="M243" s="2" t="n"/>
      <c r="N243" s="2" t="n"/>
      <c r="O243" s="2" t="n"/>
      <c r="P243" s="2" t="n"/>
      <c r="Q243" s="2" t="n"/>
      <c r="R243" s="2" t="n"/>
      <c r="S243" s="56" t="n"/>
      <c r="T243" s="56" t="n"/>
      <c r="U243" s="56" t="n"/>
      <c r="V243" s="56" t="n"/>
      <c r="W243" s="56" t="n"/>
      <c r="X243" s="56" t="n"/>
      <c r="Y243" s="56" t="n"/>
      <c r="Z243" s="56" t="n"/>
      <c r="AA243" s="56" t="n"/>
    </row>
    <row r="244" ht="15.75" customHeight="1" s="42">
      <c r="A244" s="2" t="n"/>
      <c r="B244" s="2" t="n"/>
      <c r="C244" s="2" t="n"/>
      <c r="D244" s="2" t="n"/>
      <c r="E244" s="2" t="n"/>
      <c r="F244" s="2" t="n"/>
      <c r="G244" s="2" t="n"/>
      <c r="H244" s="2" t="n"/>
      <c r="I244" s="2" t="n"/>
      <c r="J244" s="2" t="n"/>
      <c r="K244" s="2" t="n"/>
      <c r="L244" s="2" t="n"/>
      <c r="M244" s="2" t="n"/>
      <c r="N244" s="2" t="n"/>
      <c r="O244" s="2" t="n"/>
      <c r="P244" s="2" t="n"/>
      <c r="Q244" s="2" t="n"/>
      <c r="R244" s="2" t="n"/>
      <c r="S244" s="56" t="n"/>
      <c r="T244" s="56" t="n"/>
      <c r="U244" s="56" t="n"/>
      <c r="V244" s="56" t="n"/>
      <c r="W244" s="56" t="n"/>
      <c r="X244" s="56" t="n"/>
      <c r="Y244" s="56" t="n"/>
      <c r="Z244" s="56" t="n"/>
      <c r="AA244" s="56" t="n"/>
    </row>
    <row r="245" ht="15.75" customHeight="1" s="42">
      <c r="A245" s="2" t="n"/>
      <c r="B245" s="2" t="n"/>
      <c r="C245" s="2" t="n"/>
      <c r="D245" s="2" t="n"/>
      <c r="E245" s="2" t="n"/>
      <c r="F245" s="2" t="n"/>
      <c r="G245" s="2" t="n"/>
      <c r="H245" s="2" t="n"/>
      <c r="I245" s="2" t="n"/>
      <c r="J245" s="2" t="n"/>
      <c r="K245" s="2" t="n"/>
      <c r="L245" s="2" t="n"/>
      <c r="M245" s="2" t="n"/>
      <c r="N245" s="2" t="n"/>
      <c r="O245" s="2" t="n"/>
      <c r="P245" s="2" t="n"/>
      <c r="Q245" s="2" t="n"/>
      <c r="R245" s="2" t="n"/>
      <c r="S245" s="56" t="n"/>
      <c r="T245" s="56" t="n"/>
      <c r="U245" s="56" t="n"/>
      <c r="V245" s="56" t="n"/>
      <c r="W245" s="56" t="n"/>
      <c r="X245" s="56" t="n"/>
      <c r="Y245" s="56" t="n"/>
      <c r="Z245" s="56" t="n"/>
      <c r="AA245" s="56" t="n"/>
    </row>
    <row r="246" ht="15.75" customHeight="1" s="42">
      <c r="A246" s="2" t="n"/>
      <c r="B246" s="2" t="n"/>
      <c r="C246" s="2" t="n"/>
      <c r="D246" s="2" t="n"/>
      <c r="E246" s="2" t="n"/>
      <c r="F246" s="2" t="n"/>
      <c r="G246" s="2" t="n"/>
      <c r="H246" s="2" t="n"/>
      <c r="I246" s="2" t="n"/>
      <c r="J246" s="2" t="n"/>
      <c r="K246" s="2" t="n"/>
      <c r="L246" s="2" t="n"/>
      <c r="M246" s="2" t="n"/>
      <c r="N246" s="2" t="n"/>
      <c r="O246" s="2" t="n"/>
      <c r="P246" s="2" t="n"/>
      <c r="Q246" s="2" t="n"/>
      <c r="R246" s="2" t="n"/>
      <c r="S246" s="56" t="n"/>
      <c r="T246" s="56" t="n"/>
      <c r="U246" s="56" t="n"/>
      <c r="V246" s="56" t="n"/>
      <c r="W246" s="56" t="n"/>
      <c r="X246" s="56" t="n"/>
      <c r="Y246" s="56" t="n"/>
      <c r="Z246" s="56" t="n"/>
      <c r="AA246" s="56" t="n"/>
    </row>
    <row r="247" ht="15.75" customHeight="1" s="42">
      <c r="A247" s="2" t="n"/>
      <c r="B247" s="2" t="n"/>
      <c r="C247" s="2" t="n"/>
      <c r="D247" s="2" t="n"/>
      <c r="E247" s="2" t="n"/>
      <c r="F247" s="2" t="n"/>
      <c r="G247" s="2" t="n"/>
      <c r="H247" s="2" t="n"/>
      <c r="I247" s="2" t="n"/>
      <c r="J247" s="2" t="n"/>
      <c r="K247" s="2" t="n"/>
      <c r="L247" s="2" t="n"/>
      <c r="M247" s="2" t="n"/>
      <c r="N247" s="2" t="n"/>
      <c r="O247" s="2" t="n"/>
      <c r="P247" s="2" t="n"/>
      <c r="Q247" s="2" t="n"/>
      <c r="R247" s="2" t="n"/>
      <c r="S247" s="56" t="n"/>
      <c r="T247" s="56" t="n"/>
      <c r="U247" s="56" t="n"/>
      <c r="V247" s="56" t="n"/>
      <c r="W247" s="56" t="n"/>
      <c r="X247" s="56" t="n"/>
      <c r="Y247" s="56" t="n"/>
      <c r="Z247" s="56" t="n"/>
      <c r="AA247" s="56" t="n"/>
    </row>
    <row r="248" ht="15.75" customHeight="1" s="42">
      <c r="A248" s="2" t="n"/>
      <c r="B248" s="2" t="n"/>
      <c r="C248" s="2" t="n"/>
      <c r="D248" s="2" t="n"/>
      <c r="E248" s="2" t="n"/>
      <c r="F248" s="2" t="n"/>
      <c r="G248" s="2" t="n"/>
      <c r="H248" s="2" t="n"/>
      <c r="I248" s="2" t="n"/>
      <c r="J248" s="2" t="n"/>
      <c r="K248" s="2" t="n"/>
      <c r="L248" s="2" t="n"/>
      <c r="M248" s="2" t="n"/>
      <c r="N248" s="2" t="n"/>
      <c r="O248" s="2" t="n"/>
      <c r="P248" s="2" t="n"/>
      <c r="Q248" s="2" t="n"/>
      <c r="R248" s="2" t="n"/>
      <c r="S248" s="56" t="n"/>
      <c r="T248" s="56" t="n"/>
      <c r="U248" s="56" t="n"/>
      <c r="V248" s="56" t="n"/>
      <c r="W248" s="56" t="n"/>
      <c r="X248" s="56" t="n"/>
      <c r="Y248" s="56" t="n"/>
      <c r="Z248" s="56" t="n"/>
      <c r="AA248" s="56" t="n"/>
    </row>
    <row r="249" ht="15.75" customHeight="1" s="42">
      <c r="A249" s="2" t="n"/>
      <c r="B249" s="2" t="n"/>
      <c r="C249" s="2" t="n"/>
      <c r="D249" s="2" t="n"/>
      <c r="E249" s="2" t="n"/>
      <c r="F249" s="2" t="n"/>
      <c r="G249" s="2" t="n"/>
      <c r="H249" s="2" t="n"/>
      <c r="I249" s="2" t="n"/>
      <c r="J249" s="2" t="n"/>
      <c r="K249" s="2" t="n"/>
      <c r="L249" s="2" t="n"/>
      <c r="M249" s="2" t="n"/>
      <c r="N249" s="2" t="n"/>
      <c r="O249" s="2" t="n"/>
      <c r="P249" s="2" t="n"/>
      <c r="Q249" s="2" t="n"/>
      <c r="R249" s="2" t="n"/>
      <c r="S249" s="56" t="n"/>
      <c r="T249" s="56" t="n"/>
      <c r="U249" s="56" t="n"/>
      <c r="V249" s="56" t="n"/>
      <c r="W249" s="56" t="n"/>
      <c r="X249" s="56" t="n"/>
      <c r="Y249" s="56" t="n"/>
      <c r="Z249" s="56" t="n"/>
      <c r="AA249" s="56" t="n"/>
    </row>
    <row r="250" ht="15.75" customHeight="1" s="42">
      <c r="A250" s="2" t="n"/>
      <c r="B250" s="2" t="n"/>
      <c r="C250" s="2" t="n"/>
      <c r="D250" s="2" t="n"/>
      <c r="E250" s="2" t="n"/>
      <c r="F250" s="2" t="n"/>
      <c r="G250" s="2" t="n"/>
      <c r="H250" s="2" t="n"/>
      <c r="I250" s="2" t="n"/>
      <c r="J250" s="2" t="n"/>
      <c r="K250" s="2" t="n"/>
      <c r="L250" s="2" t="n"/>
      <c r="M250" s="2" t="n"/>
      <c r="N250" s="2" t="n"/>
      <c r="O250" s="2" t="n"/>
      <c r="P250" s="2" t="n"/>
      <c r="Q250" s="2" t="n"/>
      <c r="R250" s="2" t="n"/>
      <c r="S250" s="56" t="n"/>
      <c r="T250" s="56" t="n"/>
      <c r="U250" s="56" t="n"/>
      <c r="V250" s="56" t="n"/>
      <c r="W250" s="56" t="n"/>
      <c r="X250" s="56" t="n"/>
      <c r="Y250" s="56" t="n"/>
      <c r="Z250" s="56" t="n"/>
      <c r="AA250" s="56" t="n"/>
    </row>
    <row r="251" ht="15.75" customHeight="1" s="42">
      <c r="A251" s="2" t="n"/>
      <c r="B251" s="2" t="n"/>
      <c r="C251" s="2" t="n"/>
      <c r="D251" s="2" t="n"/>
      <c r="E251" s="2" t="n"/>
      <c r="F251" s="2" t="n"/>
      <c r="G251" s="2" t="n"/>
      <c r="H251" s="2" t="n"/>
      <c r="I251" s="2" t="n"/>
      <c r="J251" s="2" t="n"/>
      <c r="K251" s="2" t="n"/>
      <c r="L251" s="2" t="n"/>
      <c r="M251" s="2" t="n"/>
      <c r="N251" s="2" t="n"/>
      <c r="O251" s="2" t="n"/>
      <c r="P251" s="2" t="n"/>
      <c r="Q251" s="2" t="n"/>
      <c r="R251" s="2" t="n"/>
      <c r="S251" s="56" t="n"/>
      <c r="T251" s="56" t="n"/>
      <c r="U251" s="56" t="n"/>
      <c r="V251" s="56" t="n"/>
      <c r="W251" s="56" t="n"/>
      <c r="X251" s="56" t="n"/>
      <c r="Y251" s="56" t="n"/>
      <c r="Z251" s="56" t="n"/>
      <c r="AA251" s="56" t="n"/>
    </row>
    <row r="252" ht="15.75" customHeight="1" s="42">
      <c r="A252" s="2" t="n"/>
      <c r="B252" s="2" t="n"/>
      <c r="C252" s="2" t="n"/>
      <c r="D252" s="2" t="n"/>
      <c r="E252" s="2" t="n"/>
      <c r="F252" s="2" t="n"/>
      <c r="G252" s="2" t="n"/>
      <c r="H252" s="2" t="n"/>
      <c r="I252" s="2" t="n"/>
      <c r="J252" s="2" t="n"/>
      <c r="K252" s="2" t="n"/>
      <c r="L252" s="2" t="n"/>
      <c r="M252" s="2" t="n"/>
      <c r="N252" s="2" t="n"/>
      <c r="O252" s="2" t="n"/>
      <c r="P252" s="2" t="n"/>
      <c r="Q252" s="2" t="n"/>
      <c r="R252" s="2" t="n"/>
      <c r="S252" s="56" t="n"/>
      <c r="T252" s="56" t="n"/>
      <c r="U252" s="56" t="n"/>
      <c r="V252" s="56" t="n"/>
      <c r="W252" s="56" t="n"/>
      <c r="X252" s="56" t="n"/>
      <c r="Y252" s="56" t="n"/>
      <c r="Z252" s="56" t="n"/>
      <c r="AA252" s="56" t="n"/>
    </row>
    <row r="253" ht="15.75" customHeight="1" s="42">
      <c r="A253" s="2" t="n"/>
      <c r="B253" s="2" t="n"/>
      <c r="C253" s="2" t="n"/>
      <c r="D253" s="2" t="n"/>
      <c r="E253" s="2" t="n"/>
      <c r="F253" s="2" t="n"/>
      <c r="G253" s="2" t="n"/>
      <c r="H253" s="2" t="n"/>
      <c r="I253" s="2" t="n"/>
      <c r="J253" s="2" t="n"/>
      <c r="K253" s="2" t="n"/>
      <c r="L253" s="2" t="n"/>
      <c r="M253" s="2" t="n"/>
      <c r="N253" s="2" t="n"/>
      <c r="O253" s="2" t="n"/>
      <c r="P253" s="2" t="n"/>
      <c r="Q253" s="2" t="n"/>
      <c r="R253" s="2" t="n"/>
      <c r="S253" s="56" t="n"/>
      <c r="T253" s="56" t="n"/>
      <c r="U253" s="56" t="n"/>
      <c r="V253" s="56" t="n"/>
      <c r="W253" s="56" t="n"/>
      <c r="X253" s="56" t="n"/>
      <c r="Y253" s="56" t="n"/>
      <c r="Z253" s="56" t="n"/>
      <c r="AA253" s="56" t="n"/>
    </row>
    <row r="254" ht="15.75" customHeight="1" s="42">
      <c r="A254" s="2" t="n"/>
      <c r="B254" s="2" t="n"/>
      <c r="C254" s="2" t="n"/>
      <c r="D254" s="2" t="n"/>
      <c r="E254" s="2" t="n"/>
      <c r="F254" s="2" t="n"/>
      <c r="G254" s="2" t="n"/>
      <c r="H254" s="2" t="n"/>
      <c r="I254" s="2" t="n"/>
      <c r="J254" s="2" t="n"/>
      <c r="K254" s="2" t="n"/>
      <c r="L254" s="2" t="n"/>
      <c r="M254" s="2" t="n"/>
      <c r="N254" s="2" t="n"/>
      <c r="O254" s="2" t="n"/>
      <c r="P254" s="2" t="n"/>
      <c r="Q254" s="2" t="n"/>
      <c r="R254" s="2" t="n"/>
      <c r="S254" s="56" t="n"/>
      <c r="T254" s="56" t="n"/>
      <c r="U254" s="56" t="n"/>
      <c r="V254" s="56" t="n"/>
      <c r="W254" s="56" t="n"/>
      <c r="X254" s="56" t="n"/>
      <c r="Y254" s="56" t="n"/>
      <c r="Z254" s="56" t="n"/>
      <c r="AA254" s="56" t="n"/>
    </row>
    <row r="255" ht="15.75" customHeight="1" s="42">
      <c r="A255" s="2" t="n"/>
      <c r="B255" s="2" t="n"/>
      <c r="C255" s="2" t="n"/>
      <c r="D255" s="2" t="n"/>
      <c r="E255" s="2" t="n"/>
      <c r="F255" s="2" t="n"/>
      <c r="G255" s="2" t="n"/>
      <c r="H255" s="2" t="n"/>
      <c r="I255" s="2" t="n"/>
      <c r="J255" s="2" t="n"/>
      <c r="K255" s="2" t="n"/>
      <c r="L255" s="2" t="n"/>
      <c r="M255" s="2" t="n"/>
      <c r="N255" s="2" t="n"/>
      <c r="O255" s="2" t="n"/>
      <c r="P255" s="2" t="n"/>
      <c r="Q255" s="2" t="n"/>
      <c r="R255" s="2" t="n"/>
      <c r="S255" s="56" t="n"/>
      <c r="T255" s="56" t="n"/>
      <c r="U255" s="56" t="n"/>
      <c r="V255" s="56" t="n"/>
      <c r="W255" s="56" t="n"/>
      <c r="X255" s="56" t="n"/>
      <c r="Y255" s="56" t="n"/>
      <c r="Z255" s="56" t="n"/>
      <c r="AA255" s="56" t="n"/>
    </row>
    <row r="256" ht="15.75" customHeight="1" s="42">
      <c r="A256" s="2" t="n"/>
      <c r="B256" s="2" t="n"/>
      <c r="C256" s="2" t="n"/>
      <c r="D256" s="2" t="n"/>
      <c r="E256" s="2" t="n"/>
      <c r="F256" s="2" t="n"/>
      <c r="G256" s="2" t="n"/>
      <c r="H256" s="2" t="n"/>
      <c r="I256" s="2" t="n"/>
      <c r="J256" s="2" t="n"/>
      <c r="K256" s="2" t="n"/>
      <c r="L256" s="2" t="n"/>
      <c r="M256" s="2" t="n"/>
      <c r="N256" s="2" t="n"/>
      <c r="O256" s="2" t="n"/>
      <c r="P256" s="2" t="n"/>
      <c r="Q256" s="2" t="n"/>
      <c r="R256" s="2" t="n"/>
      <c r="S256" s="56" t="n"/>
      <c r="T256" s="56" t="n"/>
      <c r="U256" s="56" t="n"/>
      <c r="V256" s="56" t="n"/>
      <c r="W256" s="56" t="n"/>
      <c r="X256" s="56" t="n"/>
      <c r="Y256" s="56" t="n"/>
      <c r="Z256" s="56" t="n"/>
      <c r="AA256" s="56" t="n"/>
    </row>
    <row r="257" ht="15.75" customHeight="1" s="42">
      <c r="A257" s="2" t="n"/>
      <c r="B257" s="2" t="n"/>
      <c r="C257" s="2" t="n"/>
      <c r="D257" s="2" t="n"/>
      <c r="E257" s="2" t="n"/>
      <c r="F257" s="2" t="n"/>
      <c r="G257" s="2" t="n"/>
      <c r="H257" s="2" t="n"/>
      <c r="I257" s="2" t="n"/>
      <c r="J257" s="2" t="n"/>
      <c r="K257" s="2" t="n"/>
      <c r="L257" s="2" t="n"/>
      <c r="M257" s="2" t="n"/>
      <c r="N257" s="2" t="n"/>
      <c r="O257" s="2" t="n"/>
      <c r="P257" s="2" t="n"/>
      <c r="Q257" s="2" t="n"/>
      <c r="R257" s="2" t="n"/>
      <c r="S257" s="56" t="n"/>
      <c r="T257" s="56" t="n"/>
      <c r="U257" s="56" t="n"/>
      <c r="V257" s="56" t="n"/>
      <c r="W257" s="56" t="n"/>
      <c r="X257" s="56" t="n"/>
      <c r="Y257" s="56" t="n"/>
      <c r="Z257" s="56" t="n"/>
      <c r="AA257" s="56" t="n"/>
    </row>
    <row r="258" ht="15.75" customHeight="1" s="42">
      <c r="A258" s="2" t="n"/>
      <c r="B258" s="2" t="n"/>
      <c r="C258" s="2" t="n"/>
      <c r="D258" s="2" t="n"/>
      <c r="E258" s="2" t="n"/>
      <c r="F258" s="2" t="n"/>
      <c r="G258" s="2" t="n"/>
      <c r="H258" s="2" t="n"/>
      <c r="I258" s="2" t="n"/>
      <c r="J258" s="2" t="n"/>
      <c r="K258" s="2" t="n"/>
      <c r="L258" s="2" t="n"/>
      <c r="M258" s="2" t="n"/>
      <c r="N258" s="2" t="n"/>
      <c r="O258" s="2" t="n"/>
      <c r="P258" s="2" t="n"/>
      <c r="Q258" s="2" t="n"/>
      <c r="R258" s="2" t="n"/>
      <c r="S258" s="56" t="n"/>
      <c r="T258" s="56" t="n"/>
      <c r="U258" s="56" t="n"/>
      <c r="V258" s="56" t="n"/>
      <c r="W258" s="56" t="n"/>
      <c r="X258" s="56" t="n"/>
      <c r="Y258" s="56" t="n"/>
      <c r="Z258" s="56" t="n"/>
      <c r="AA258" s="56" t="n"/>
    </row>
    <row r="259" ht="15.75" customHeight="1" s="42">
      <c r="A259" s="2" t="n"/>
      <c r="B259" s="2" t="n"/>
      <c r="C259" s="2" t="n"/>
      <c r="D259" s="2" t="n"/>
      <c r="E259" s="2" t="n"/>
      <c r="F259" s="2" t="n"/>
      <c r="G259" s="2" t="n"/>
      <c r="H259" s="2" t="n"/>
      <c r="I259" s="2" t="n"/>
      <c r="J259" s="2" t="n"/>
      <c r="K259" s="2" t="n"/>
      <c r="L259" s="2" t="n"/>
      <c r="M259" s="2" t="n"/>
      <c r="N259" s="2" t="n"/>
      <c r="O259" s="2" t="n"/>
      <c r="P259" s="2" t="n"/>
      <c r="Q259" s="2" t="n"/>
      <c r="R259" s="2" t="n"/>
      <c r="S259" s="56" t="n"/>
      <c r="T259" s="56" t="n"/>
      <c r="U259" s="56" t="n"/>
      <c r="V259" s="56" t="n"/>
      <c r="W259" s="56" t="n"/>
      <c r="X259" s="56" t="n"/>
      <c r="Y259" s="56" t="n"/>
      <c r="Z259" s="56" t="n"/>
      <c r="AA259" s="56" t="n"/>
    </row>
    <row r="260" ht="15.75" customHeight="1" s="42">
      <c r="A260" s="2" t="n"/>
      <c r="B260" s="2" t="n"/>
      <c r="C260" s="2" t="n"/>
      <c r="D260" s="2" t="n"/>
      <c r="E260" s="2" t="n"/>
      <c r="F260" s="2" t="n"/>
      <c r="G260" s="2" t="n"/>
      <c r="H260" s="2" t="n"/>
      <c r="I260" s="2" t="n"/>
      <c r="J260" s="2" t="n"/>
      <c r="K260" s="2" t="n"/>
      <c r="L260" s="2" t="n"/>
      <c r="M260" s="2" t="n"/>
      <c r="N260" s="2" t="n"/>
      <c r="O260" s="2" t="n"/>
      <c r="P260" s="2" t="n"/>
      <c r="Q260" s="2" t="n"/>
      <c r="R260" s="2" t="n"/>
      <c r="S260" s="56" t="n"/>
      <c r="T260" s="56" t="n"/>
      <c r="U260" s="56" t="n"/>
      <c r="V260" s="56" t="n"/>
      <c r="W260" s="56" t="n"/>
      <c r="X260" s="56" t="n"/>
      <c r="Y260" s="56" t="n"/>
      <c r="Z260" s="56" t="n"/>
      <c r="AA260" s="56" t="n"/>
    </row>
    <row r="261" ht="15.75" customHeight="1" s="42">
      <c r="A261" s="2" t="n"/>
      <c r="B261" s="2" t="n"/>
      <c r="C261" s="2" t="n"/>
      <c r="D261" s="2" t="n"/>
      <c r="E261" s="2" t="n"/>
      <c r="F261" s="2" t="n"/>
      <c r="G261" s="2" t="n"/>
      <c r="H261" s="2" t="n"/>
      <c r="I261" s="2" t="n"/>
      <c r="J261" s="2" t="n"/>
      <c r="K261" s="2" t="n"/>
      <c r="L261" s="2" t="n"/>
      <c r="M261" s="2" t="n"/>
      <c r="N261" s="2" t="n"/>
      <c r="O261" s="2" t="n"/>
      <c r="P261" s="2" t="n"/>
      <c r="Q261" s="2" t="n"/>
      <c r="R261" s="2" t="n"/>
      <c r="S261" s="56" t="n"/>
      <c r="T261" s="56" t="n"/>
      <c r="U261" s="56" t="n"/>
      <c r="V261" s="56" t="n"/>
      <c r="W261" s="56" t="n"/>
      <c r="X261" s="56" t="n"/>
      <c r="Y261" s="56" t="n"/>
      <c r="Z261" s="56" t="n"/>
      <c r="AA261" s="56" t="n"/>
    </row>
    <row r="262" ht="15.75" customHeight="1" s="42">
      <c r="A262" s="2" t="n"/>
      <c r="B262" s="2" t="n"/>
      <c r="C262" s="2" t="n"/>
      <c r="D262" s="2" t="n"/>
      <c r="E262" s="2" t="n"/>
      <c r="F262" s="2" t="n"/>
      <c r="G262" s="2" t="n"/>
      <c r="H262" s="2" t="n"/>
      <c r="I262" s="2" t="n"/>
      <c r="J262" s="2" t="n"/>
      <c r="K262" s="2" t="n"/>
      <c r="L262" s="2" t="n"/>
      <c r="M262" s="2" t="n"/>
      <c r="N262" s="2" t="n"/>
      <c r="O262" s="2" t="n"/>
      <c r="P262" s="2" t="n"/>
      <c r="Q262" s="2" t="n"/>
      <c r="R262" s="2" t="n"/>
      <c r="S262" s="56" t="n"/>
      <c r="T262" s="56" t="n"/>
      <c r="U262" s="56" t="n"/>
      <c r="V262" s="56" t="n"/>
      <c r="W262" s="56" t="n"/>
      <c r="X262" s="56" t="n"/>
      <c r="Y262" s="56" t="n"/>
      <c r="Z262" s="56" t="n"/>
      <c r="AA262" s="56" t="n"/>
    </row>
    <row r="263" ht="15.75" customHeight="1" s="42">
      <c r="A263" s="2" t="n"/>
      <c r="B263" s="2" t="n"/>
      <c r="C263" s="2" t="n"/>
      <c r="D263" s="2" t="n"/>
      <c r="E263" s="2" t="n"/>
      <c r="F263" s="2" t="n"/>
      <c r="G263" s="2" t="n"/>
      <c r="H263" s="2" t="n"/>
      <c r="I263" s="2" t="n"/>
      <c r="J263" s="2" t="n"/>
      <c r="K263" s="2" t="n"/>
      <c r="L263" s="2" t="n"/>
      <c r="M263" s="2" t="n"/>
      <c r="N263" s="2" t="n"/>
      <c r="O263" s="2" t="n"/>
      <c r="P263" s="2" t="n"/>
      <c r="Q263" s="2" t="n"/>
      <c r="R263" s="2" t="n"/>
      <c r="S263" s="56" t="n"/>
      <c r="T263" s="56" t="n"/>
      <c r="U263" s="56" t="n"/>
      <c r="V263" s="56" t="n"/>
      <c r="W263" s="56" t="n"/>
      <c r="X263" s="56" t="n"/>
      <c r="Y263" s="56" t="n"/>
      <c r="Z263" s="56" t="n"/>
      <c r="AA263" s="56" t="n"/>
    </row>
    <row r="264" ht="15.75" customHeight="1" s="42">
      <c r="A264" s="2" t="n"/>
      <c r="B264" s="2" t="n"/>
      <c r="C264" s="2" t="n"/>
      <c r="D264" s="2" t="n"/>
      <c r="E264" s="2" t="n"/>
      <c r="F264" s="2" t="n"/>
      <c r="G264" s="2" t="n"/>
      <c r="H264" s="2" t="n"/>
      <c r="I264" s="2" t="n"/>
      <c r="J264" s="2" t="n"/>
      <c r="K264" s="2" t="n"/>
      <c r="L264" s="2" t="n"/>
      <c r="M264" s="2" t="n"/>
      <c r="N264" s="2" t="n"/>
      <c r="O264" s="2" t="n"/>
      <c r="P264" s="2" t="n"/>
      <c r="Q264" s="2" t="n"/>
      <c r="R264" s="2" t="n"/>
      <c r="S264" s="56" t="n"/>
      <c r="T264" s="56" t="n"/>
      <c r="U264" s="56" t="n"/>
      <c r="V264" s="56" t="n"/>
      <c r="W264" s="56" t="n"/>
      <c r="X264" s="56" t="n"/>
      <c r="Y264" s="56" t="n"/>
      <c r="Z264" s="56" t="n"/>
      <c r="AA264" s="56" t="n"/>
    </row>
    <row r="265" ht="15.75" customHeight="1" s="42">
      <c r="A265" s="2" t="n"/>
      <c r="B265" s="2" t="n"/>
      <c r="C265" s="2" t="n"/>
      <c r="D265" s="2" t="n"/>
      <c r="E265" s="2" t="n"/>
      <c r="F265" s="2" t="n"/>
      <c r="G265" s="2" t="n"/>
      <c r="H265" s="2" t="n"/>
      <c r="I265" s="2" t="n"/>
      <c r="J265" s="2" t="n"/>
      <c r="K265" s="2" t="n"/>
      <c r="L265" s="2" t="n"/>
      <c r="M265" s="2" t="n"/>
      <c r="N265" s="2" t="n"/>
      <c r="O265" s="2" t="n"/>
      <c r="P265" s="2" t="n"/>
      <c r="Q265" s="2" t="n"/>
      <c r="R265" s="2" t="n"/>
      <c r="S265" s="56" t="n"/>
      <c r="T265" s="56" t="n"/>
      <c r="U265" s="56" t="n"/>
      <c r="V265" s="56" t="n"/>
      <c r="W265" s="56" t="n"/>
      <c r="X265" s="56" t="n"/>
      <c r="Y265" s="56" t="n"/>
      <c r="Z265" s="56" t="n"/>
      <c r="AA265" s="56" t="n"/>
    </row>
    <row r="266" ht="15.75" customHeight="1" s="42">
      <c r="A266" s="2" t="n"/>
      <c r="B266" s="2" t="n"/>
      <c r="C266" s="2" t="n"/>
      <c r="D266" s="2" t="n"/>
      <c r="E266" s="2" t="n"/>
      <c r="F266" s="2" t="n"/>
      <c r="G266" s="2" t="n"/>
      <c r="H266" s="2" t="n"/>
      <c r="I266" s="2" t="n"/>
      <c r="J266" s="2" t="n"/>
      <c r="K266" s="2" t="n"/>
      <c r="L266" s="2" t="n"/>
      <c r="M266" s="2" t="n"/>
      <c r="N266" s="2" t="n"/>
      <c r="O266" s="2" t="n"/>
      <c r="P266" s="2" t="n"/>
      <c r="Q266" s="2" t="n"/>
      <c r="R266" s="2" t="n"/>
      <c r="S266" s="56" t="n"/>
      <c r="T266" s="56" t="n"/>
      <c r="U266" s="56" t="n"/>
      <c r="V266" s="56" t="n"/>
      <c r="W266" s="56" t="n"/>
      <c r="X266" s="56" t="n"/>
      <c r="Y266" s="56" t="n"/>
      <c r="Z266" s="56" t="n"/>
      <c r="AA266" s="56"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56" t="n"/>
      <c r="T267" s="56" t="n"/>
      <c r="U267" s="56" t="n"/>
      <c r="V267" s="56" t="n"/>
      <c r="W267" s="56" t="n"/>
      <c r="X267" s="56" t="n"/>
      <c r="Y267" s="56" t="n"/>
      <c r="Z267" s="56" t="n"/>
      <c r="AA267" s="56"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56" t="n"/>
      <c r="T268" s="56" t="n"/>
      <c r="U268" s="56" t="n"/>
      <c r="V268" s="56" t="n"/>
      <c r="W268" s="56" t="n"/>
      <c r="X268" s="56" t="n"/>
      <c r="Y268" s="56" t="n"/>
      <c r="Z268" s="56" t="n"/>
      <c r="AA268" s="56"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56" t="n"/>
      <c r="T269" s="56" t="n"/>
      <c r="U269" s="56" t="n"/>
      <c r="V269" s="56" t="n"/>
      <c r="W269" s="56" t="n"/>
      <c r="X269" s="56" t="n"/>
      <c r="Y269" s="56" t="n"/>
      <c r="Z269" s="56" t="n"/>
      <c r="AA269" s="56"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56" t="n"/>
      <c r="T270" s="56" t="n"/>
      <c r="U270" s="56" t="n"/>
      <c r="V270" s="56" t="n"/>
      <c r="W270" s="56" t="n"/>
      <c r="X270" s="56" t="n"/>
      <c r="Y270" s="56" t="n"/>
      <c r="Z270" s="56" t="n"/>
      <c r="AA270" s="56"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56" t="n"/>
      <c r="T271" s="56" t="n"/>
      <c r="U271" s="56" t="n"/>
      <c r="V271" s="56" t="n"/>
      <c r="W271" s="56" t="n"/>
      <c r="X271" s="56" t="n"/>
      <c r="Y271" s="56" t="n"/>
      <c r="Z271" s="56" t="n"/>
      <c r="AA271" s="56"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56" t="n"/>
      <c r="T272" s="56" t="n"/>
      <c r="U272" s="56" t="n"/>
      <c r="V272" s="56" t="n"/>
      <c r="W272" s="56" t="n"/>
      <c r="X272" s="56" t="n"/>
      <c r="Y272" s="56" t="n"/>
      <c r="Z272" s="56" t="n"/>
      <c r="AA272" s="56"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56" t="n"/>
      <c r="T273" s="56" t="n"/>
      <c r="U273" s="56" t="n"/>
      <c r="V273" s="56" t="n"/>
      <c r="W273" s="56" t="n"/>
      <c r="X273" s="56" t="n"/>
      <c r="Y273" s="56" t="n"/>
      <c r="Z273" s="56" t="n"/>
      <c r="AA273" s="56"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56" t="n"/>
      <c r="T274" s="56" t="n"/>
      <c r="U274" s="56" t="n"/>
      <c r="V274" s="56" t="n"/>
      <c r="W274" s="56" t="n"/>
      <c r="X274" s="56" t="n"/>
      <c r="Y274" s="56" t="n"/>
      <c r="Z274" s="56" t="n"/>
      <c r="AA274" s="56"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56" t="n"/>
      <c r="T275" s="56" t="n"/>
      <c r="U275" s="56" t="n"/>
      <c r="V275" s="56" t="n"/>
      <c r="W275" s="56" t="n"/>
      <c r="X275" s="56" t="n"/>
      <c r="Y275" s="56" t="n"/>
      <c r="Z275" s="56" t="n"/>
      <c r="AA275" s="56"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56" t="n"/>
      <c r="T276" s="56" t="n"/>
      <c r="U276" s="56" t="n"/>
      <c r="V276" s="56" t="n"/>
      <c r="W276" s="56" t="n"/>
      <c r="X276" s="56" t="n"/>
      <c r="Y276" s="56" t="n"/>
      <c r="Z276" s="56" t="n"/>
      <c r="AA276" s="56"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56" t="n"/>
      <c r="T277" s="56" t="n"/>
      <c r="U277" s="56" t="n"/>
      <c r="V277" s="56" t="n"/>
      <c r="W277" s="56" t="n"/>
      <c r="X277" s="56" t="n"/>
      <c r="Y277" s="56" t="n"/>
      <c r="Z277" s="56" t="n"/>
      <c r="AA277" s="56"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56" t="n"/>
      <c r="T278" s="56" t="n"/>
      <c r="U278" s="56" t="n"/>
      <c r="V278" s="56" t="n"/>
      <c r="W278" s="56" t="n"/>
      <c r="X278" s="56" t="n"/>
      <c r="Y278" s="56" t="n"/>
      <c r="Z278" s="56" t="n"/>
      <c r="AA278" s="56"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56" t="n"/>
      <c r="T279" s="56" t="n"/>
      <c r="U279" s="56" t="n"/>
      <c r="V279" s="56" t="n"/>
      <c r="W279" s="56" t="n"/>
      <c r="X279" s="56" t="n"/>
      <c r="Y279" s="56" t="n"/>
      <c r="Z279" s="56" t="n"/>
      <c r="AA279" s="56"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56" t="n"/>
      <c r="T280" s="56" t="n"/>
      <c r="U280" s="56" t="n"/>
      <c r="V280" s="56" t="n"/>
      <c r="W280" s="56" t="n"/>
      <c r="X280" s="56" t="n"/>
      <c r="Y280" s="56" t="n"/>
      <c r="Z280" s="56" t="n"/>
      <c r="AA280" s="56"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56" t="n"/>
      <c r="T281" s="56" t="n"/>
      <c r="U281" s="56" t="n"/>
      <c r="V281" s="56" t="n"/>
      <c r="W281" s="56" t="n"/>
      <c r="X281" s="56" t="n"/>
      <c r="Y281" s="56" t="n"/>
      <c r="Z281" s="56" t="n"/>
      <c r="AA281" s="56"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56" t="n"/>
      <c r="T282" s="56" t="n"/>
      <c r="U282" s="56" t="n"/>
      <c r="V282" s="56" t="n"/>
      <c r="W282" s="56" t="n"/>
      <c r="X282" s="56" t="n"/>
      <c r="Y282" s="56" t="n"/>
      <c r="Z282" s="56" t="n"/>
      <c r="AA282" s="56"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56" t="n"/>
      <c r="T283" s="56" t="n"/>
      <c r="U283" s="56" t="n"/>
      <c r="V283" s="56" t="n"/>
      <c r="W283" s="56" t="n"/>
      <c r="X283" s="56" t="n"/>
      <c r="Y283" s="56" t="n"/>
      <c r="Z283" s="56" t="n"/>
      <c r="AA283" s="56"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56" t="n"/>
      <c r="T284" s="56" t="n"/>
      <c r="U284" s="56" t="n"/>
      <c r="V284" s="56" t="n"/>
      <c r="W284" s="56" t="n"/>
      <c r="X284" s="56" t="n"/>
      <c r="Y284" s="56" t="n"/>
      <c r="Z284" s="56" t="n"/>
      <c r="AA284" s="56"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56" t="n"/>
      <c r="T285" s="56" t="n"/>
      <c r="U285" s="56" t="n"/>
      <c r="V285" s="56" t="n"/>
      <c r="W285" s="56" t="n"/>
      <c r="X285" s="56" t="n"/>
      <c r="Y285" s="56" t="n"/>
      <c r="Z285" s="56" t="n"/>
      <c r="AA285" s="56"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56" t="n"/>
      <c r="T286" s="56" t="n"/>
      <c r="U286" s="56" t="n"/>
      <c r="V286" s="56" t="n"/>
      <c r="W286" s="56" t="n"/>
      <c r="X286" s="56" t="n"/>
      <c r="Y286" s="56" t="n"/>
      <c r="Z286" s="56" t="n"/>
      <c r="AA286" s="56"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56" t="n"/>
      <c r="T287" s="56" t="n"/>
      <c r="U287" s="56" t="n"/>
      <c r="V287" s="56" t="n"/>
      <c r="W287" s="56" t="n"/>
      <c r="X287" s="56" t="n"/>
      <c r="Y287" s="56" t="n"/>
      <c r="Z287" s="56" t="n"/>
      <c r="AA287" s="56"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56" t="n"/>
      <c r="T288" s="56" t="n"/>
      <c r="U288" s="56" t="n"/>
      <c r="V288" s="56" t="n"/>
      <c r="W288" s="56" t="n"/>
      <c r="X288" s="56" t="n"/>
      <c r="Y288" s="56" t="n"/>
      <c r="Z288" s="56" t="n"/>
      <c r="AA288" s="56"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56" t="n"/>
      <c r="T289" s="56" t="n"/>
      <c r="U289" s="56" t="n"/>
      <c r="V289" s="56" t="n"/>
      <c r="W289" s="56" t="n"/>
      <c r="X289" s="56" t="n"/>
      <c r="Y289" s="56" t="n"/>
      <c r="Z289" s="56" t="n"/>
      <c r="AA289" s="56"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56" t="n"/>
      <c r="T290" s="56" t="n"/>
      <c r="U290" s="56" t="n"/>
      <c r="V290" s="56" t="n"/>
      <c r="W290" s="56" t="n"/>
      <c r="X290" s="56" t="n"/>
      <c r="Y290" s="56" t="n"/>
      <c r="Z290" s="56" t="n"/>
      <c r="AA290" s="56"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56" t="n"/>
      <c r="T291" s="56" t="n"/>
      <c r="U291" s="56" t="n"/>
      <c r="V291" s="56" t="n"/>
      <c r="W291" s="56" t="n"/>
      <c r="X291" s="56" t="n"/>
      <c r="Y291" s="56" t="n"/>
      <c r="Z291" s="56" t="n"/>
      <c r="AA291" s="56"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56" t="n"/>
      <c r="T292" s="56" t="n"/>
      <c r="U292" s="56" t="n"/>
      <c r="V292" s="56" t="n"/>
      <c r="W292" s="56" t="n"/>
      <c r="X292" s="56" t="n"/>
      <c r="Y292" s="56" t="n"/>
      <c r="Z292" s="56" t="n"/>
      <c r="AA292" s="56"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56" t="n"/>
      <c r="T293" s="56" t="n"/>
      <c r="U293" s="56" t="n"/>
      <c r="V293" s="56" t="n"/>
      <c r="W293" s="56" t="n"/>
      <c r="X293" s="56" t="n"/>
      <c r="Y293" s="56" t="n"/>
      <c r="Z293" s="56" t="n"/>
      <c r="AA293" s="56"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56" t="n"/>
      <c r="T294" s="56" t="n"/>
      <c r="U294" s="56" t="n"/>
      <c r="V294" s="56" t="n"/>
      <c r="W294" s="56" t="n"/>
      <c r="X294" s="56" t="n"/>
      <c r="Y294" s="56" t="n"/>
      <c r="Z294" s="56" t="n"/>
      <c r="AA294" s="56"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56" t="n"/>
      <c r="T295" s="56" t="n"/>
      <c r="U295" s="56" t="n"/>
      <c r="V295" s="56" t="n"/>
      <c r="W295" s="56" t="n"/>
      <c r="X295" s="56" t="n"/>
      <c r="Y295" s="56" t="n"/>
      <c r="Z295" s="56" t="n"/>
      <c r="AA295" s="56"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56" t="n"/>
      <c r="T296" s="56" t="n"/>
      <c r="U296" s="56" t="n"/>
      <c r="V296" s="56" t="n"/>
      <c r="W296" s="56" t="n"/>
      <c r="X296" s="56" t="n"/>
      <c r="Y296" s="56" t="n"/>
      <c r="Z296" s="56" t="n"/>
      <c r="AA296" s="56"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56" t="n"/>
      <c r="T297" s="56" t="n"/>
      <c r="U297" s="56" t="n"/>
      <c r="V297" s="56" t="n"/>
      <c r="W297" s="56" t="n"/>
      <c r="X297" s="56" t="n"/>
      <c r="Y297" s="56" t="n"/>
      <c r="Z297" s="56" t="n"/>
      <c r="AA297" s="56"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56" t="n"/>
      <c r="T298" s="56" t="n"/>
      <c r="U298" s="56" t="n"/>
      <c r="V298" s="56" t="n"/>
      <c r="W298" s="56" t="n"/>
      <c r="X298" s="56" t="n"/>
      <c r="Y298" s="56" t="n"/>
      <c r="Z298" s="56" t="n"/>
      <c r="AA298" s="56"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56" t="n"/>
      <c r="T299" s="56" t="n"/>
      <c r="U299" s="56" t="n"/>
      <c r="V299" s="56" t="n"/>
      <c r="W299" s="56" t="n"/>
      <c r="X299" s="56" t="n"/>
      <c r="Y299" s="56" t="n"/>
      <c r="Z299" s="56" t="n"/>
      <c r="AA299" s="56"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56" t="n"/>
      <c r="T300" s="56" t="n"/>
      <c r="U300" s="56" t="n"/>
      <c r="V300" s="56" t="n"/>
      <c r="W300" s="56" t="n"/>
      <c r="X300" s="56" t="n"/>
      <c r="Y300" s="56" t="n"/>
      <c r="Z300" s="56" t="n"/>
      <c r="AA300" s="56"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56" t="n"/>
      <c r="T301" s="56" t="n"/>
      <c r="U301" s="56" t="n"/>
      <c r="V301" s="56" t="n"/>
      <c r="W301" s="56" t="n"/>
      <c r="X301" s="56" t="n"/>
      <c r="Y301" s="56" t="n"/>
      <c r="Z301" s="56" t="n"/>
      <c r="AA301" s="56"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56" t="n"/>
      <c r="T302" s="56" t="n"/>
      <c r="U302" s="56" t="n"/>
      <c r="V302" s="56" t="n"/>
      <c r="W302" s="56" t="n"/>
      <c r="X302" s="56" t="n"/>
      <c r="Y302" s="56" t="n"/>
      <c r="Z302" s="56" t="n"/>
      <c r="AA302" s="56"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56" t="n"/>
      <c r="T303" s="56" t="n"/>
      <c r="U303" s="56" t="n"/>
      <c r="V303" s="56" t="n"/>
      <c r="W303" s="56" t="n"/>
      <c r="X303" s="56" t="n"/>
      <c r="Y303" s="56" t="n"/>
      <c r="Z303" s="56" t="n"/>
      <c r="AA303" s="56"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56" t="n"/>
      <c r="T304" s="56" t="n"/>
      <c r="U304" s="56" t="n"/>
      <c r="V304" s="56" t="n"/>
      <c r="W304" s="56" t="n"/>
      <c r="X304" s="56" t="n"/>
      <c r="Y304" s="56" t="n"/>
      <c r="Z304" s="56" t="n"/>
      <c r="AA304" s="56"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56" t="n"/>
      <c r="T305" s="56" t="n"/>
      <c r="U305" s="56" t="n"/>
      <c r="V305" s="56" t="n"/>
      <c r="W305" s="56" t="n"/>
      <c r="X305" s="56" t="n"/>
      <c r="Y305" s="56" t="n"/>
      <c r="Z305" s="56" t="n"/>
      <c r="AA305" s="56"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56" t="n"/>
      <c r="T306" s="56" t="n"/>
      <c r="U306" s="56" t="n"/>
      <c r="V306" s="56" t="n"/>
      <c r="W306" s="56" t="n"/>
      <c r="X306" s="56" t="n"/>
      <c r="Y306" s="56" t="n"/>
      <c r="Z306" s="56" t="n"/>
      <c r="AA306" s="56"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56" t="n"/>
      <c r="T307" s="56" t="n"/>
      <c r="U307" s="56" t="n"/>
      <c r="V307" s="56" t="n"/>
      <c r="W307" s="56" t="n"/>
      <c r="X307" s="56" t="n"/>
      <c r="Y307" s="56" t="n"/>
      <c r="Z307" s="56" t="n"/>
      <c r="AA307" s="56"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56" t="n"/>
      <c r="T308" s="56" t="n"/>
      <c r="U308" s="56" t="n"/>
      <c r="V308" s="56" t="n"/>
      <c r="W308" s="56" t="n"/>
      <c r="X308" s="56" t="n"/>
      <c r="Y308" s="56" t="n"/>
      <c r="Z308" s="56" t="n"/>
      <c r="AA308" s="56"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56" t="n"/>
      <c r="T309" s="56" t="n"/>
      <c r="U309" s="56" t="n"/>
      <c r="V309" s="56" t="n"/>
      <c r="W309" s="56" t="n"/>
      <c r="X309" s="56" t="n"/>
      <c r="Y309" s="56" t="n"/>
      <c r="Z309" s="56" t="n"/>
      <c r="AA309" s="56"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56" t="n"/>
      <c r="T310" s="56" t="n"/>
      <c r="U310" s="56" t="n"/>
      <c r="V310" s="56" t="n"/>
      <c r="W310" s="56" t="n"/>
      <c r="X310" s="56" t="n"/>
      <c r="Y310" s="56" t="n"/>
      <c r="Z310" s="56" t="n"/>
      <c r="AA310" s="56"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56" t="n"/>
      <c r="T311" s="56" t="n"/>
      <c r="U311" s="56" t="n"/>
      <c r="V311" s="56" t="n"/>
      <c r="W311" s="56" t="n"/>
      <c r="X311" s="56" t="n"/>
      <c r="Y311" s="56" t="n"/>
      <c r="Z311" s="56" t="n"/>
      <c r="AA311" s="56"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56" t="n"/>
      <c r="T312" s="56" t="n"/>
      <c r="U312" s="56" t="n"/>
      <c r="V312" s="56" t="n"/>
      <c r="W312" s="56" t="n"/>
      <c r="X312" s="56" t="n"/>
      <c r="Y312" s="56" t="n"/>
      <c r="Z312" s="56" t="n"/>
      <c r="AA312" s="56"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56" t="n"/>
      <c r="T313" s="56" t="n"/>
      <c r="U313" s="56" t="n"/>
      <c r="V313" s="56" t="n"/>
      <c r="W313" s="56" t="n"/>
      <c r="X313" s="56" t="n"/>
      <c r="Y313" s="56" t="n"/>
      <c r="Z313" s="56" t="n"/>
      <c r="AA313" s="56"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56" t="n"/>
      <c r="T314" s="56" t="n"/>
      <c r="U314" s="56" t="n"/>
      <c r="V314" s="56" t="n"/>
      <c r="W314" s="56" t="n"/>
      <c r="X314" s="56" t="n"/>
      <c r="Y314" s="56" t="n"/>
      <c r="Z314" s="56" t="n"/>
      <c r="AA314" s="56"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56" t="n"/>
      <c r="T315" s="56" t="n"/>
      <c r="U315" s="56" t="n"/>
      <c r="V315" s="56" t="n"/>
      <c r="W315" s="56" t="n"/>
      <c r="X315" s="56" t="n"/>
      <c r="Y315" s="56" t="n"/>
      <c r="Z315" s="56" t="n"/>
      <c r="AA315" s="56"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56" t="n"/>
      <c r="T316" s="56" t="n"/>
      <c r="U316" s="56" t="n"/>
      <c r="V316" s="56" t="n"/>
      <c r="W316" s="56" t="n"/>
      <c r="X316" s="56" t="n"/>
      <c r="Y316" s="56" t="n"/>
      <c r="Z316" s="56" t="n"/>
      <c r="AA316" s="56"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56" t="n"/>
      <c r="T317" s="56" t="n"/>
      <c r="U317" s="56" t="n"/>
      <c r="V317" s="56" t="n"/>
      <c r="W317" s="56" t="n"/>
      <c r="X317" s="56" t="n"/>
      <c r="Y317" s="56" t="n"/>
      <c r="Z317" s="56" t="n"/>
      <c r="AA317" s="56"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56" t="n"/>
      <c r="T318" s="56" t="n"/>
      <c r="U318" s="56" t="n"/>
      <c r="V318" s="56" t="n"/>
      <c r="W318" s="56" t="n"/>
      <c r="X318" s="56" t="n"/>
      <c r="Y318" s="56" t="n"/>
      <c r="Z318" s="56" t="n"/>
      <c r="AA318" s="56"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56" t="n"/>
      <c r="T319" s="56" t="n"/>
      <c r="U319" s="56" t="n"/>
      <c r="V319" s="56" t="n"/>
      <c r="W319" s="56" t="n"/>
      <c r="X319" s="56" t="n"/>
      <c r="Y319" s="56" t="n"/>
      <c r="Z319" s="56" t="n"/>
      <c r="AA319" s="56"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56" t="n"/>
      <c r="T320" s="56" t="n"/>
      <c r="U320" s="56" t="n"/>
      <c r="V320" s="56" t="n"/>
      <c r="W320" s="56" t="n"/>
      <c r="X320" s="56" t="n"/>
      <c r="Y320" s="56" t="n"/>
      <c r="Z320" s="56" t="n"/>
      <c r="AA320" s="56"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56" t="n"/>
      <c r="T321" s="56" t="n"/>
      <c r="U321" s="56" t="n"/>
      <c r="V321" s="56" t="n"/>
      <c r="W321" s="56" t="n"/>
      <c r="X321" s="56" t="n"/>
      <c r="Y321" s="56" t="n"/>
      <c r="Z321" s="56" t="n"/>
      <c r="AA321" s="56"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56" t="n"/>
      <c r="T322" s="56" t="n"/>
      <c r="U322" s="56" t="n"/>
      <c r="V322" s="56" t="n"/>
      <c r="W322" s="56" t="n"/>
      <c r="X322" s="56" t="n"/>
      <c r="Y322" s="56" t="n"/>
      <c r="Z322" s="56" t="n"/>
      <c r="AA322" s="56"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56" t="n"/>
      <c r="T323" s="56" t="n"/>
      <c r="U323" s="56" t="n"/>
      <c r="V323" s="56" t="n"/>
      <c r="W323" s="56" t="n"/>
      <c r="X323" s="56" t="n"/>
      <c r="Y323" s="56" t="n"/>
      <c r="Z323" s="56" t="n"/>
      <c r="AA323" s="56"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56" t="n"/>
      <c r="T324" s="56" t="n"/>
      <c r="U324" s="56" t="n"/>
      <c r="V324" s="56" t="n"/>
      <c r="W324" s="56" t="n"/>
      <c r="X324" s="56" t="n"/>
      <c r="Y324" s="56" t="n"/>
      <c r="Z324" s="56" t="n"/>
      <c r="AA324" s="56"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56" t="n"/>
      <c r="T325" s="56" t="n"/>
      <c r="U325" s="56" t="n"/>
      <c r="V325" s="56" t="n"/>
      <c r="W325" s="56" t="n"/>
      <c r="X325" s="56" t="n"/>
      <c r="Y325" s="56" t="n"/>
      <c r="Z325" s="56" t="n"/>
      <c r="AA325" s="56"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56" t="n"/>
      <c r="T326" s="56" t="n"/>
      <c r="U326" s="56" t="n"/>
      <c r="V326" s="56" t="n"/>
      <c r="W326" s="56" t="n"/>
      <c r="X326" s="56" t="n"/>
      <c r="Y326" s="56" t="n"/>
      <c r="Z326" s="56" t="n"/>
      <c r="AA326" s="56"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56" t="n"/>
      <c r="T327" s="56" t="n"/>
      <c r="U327" s="56" t="n"/>
      <c r="V327" s="56" t="n"/>
      <c r="W327" s="56" t="n"/>
      <c r="X327" s="56" t="n"/>
      <c r="Y327" s="56" t="n"/>
      <c r="Z327" s="56" t="n"/>
      <c r="AA327" s="56"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56" t="n"/>
      <c r="T328" s="56" t="n"/>
      <c r="U328" s="56" t="n"/>
      <c r="V328" s="56" t="n"/>
      <c r="W328" s="56" t="n"/>
      <c r="X328" s="56" t="n"/>
      <c r="Y328" s="56" t="n"/>
      <c r="Z328" s="56" t="n"/>
      <c r="AA328" s="56"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56" t="n"/>
      <c r="T329" s="56" t="n"/>
      <c r="U329" s="56" t="n"/>
      <c r="V329" s="56" t="n"/>
      <c r="W329" s="56" t="n"/>
      <c r="X329" s="56" t="n"/>
      <c r="Y329" s="56" t="n"/>
      <c r="Z329" s="56" t="n"/>
      <c r="AA329" s="56"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56" t="n"/>
      <c r="T330" s="56" t="n"/>
      <c r="U330" s="56" t="n"/>
      <c r="V330" s="56" t="n"/>
      <c r="W330" s="56" t="n"/>
      <c r="X330" s="56" t="n"/>
      <c r="Y330" s="56" t="n"/>
      <c r="Z330" s="56" t="n"/>
      <c r="AA330" s="56"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56" t="n"/>
      <c r="T331" s="56" t="n"/>
      <c r="U331" s="56" t="n"/>
      <c r="V331" s="56" t="n"/>
      <c r="W331" s="56" t="n"/>
      <c r="X331" s="56" t="n"/>
      <c r="Y331" s="56" t="n"/>
      <c r="Z331" s="56" t="n"/>
      <c r="AA331" s="56"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56" t="n"/>
      <c r="T332" s="56" t="n"/>
      <c r="U332" s="56" t="n"/>
      <c r="V332" s="56" t="n"/>
      <c r="W332" s="56" t="n"/>
      <c r="X332" s="56" t="n"/>
      <c r="Y332" s="56" t="n"/>
      <c r="Z332" s="56" t="n"/>
      <c r="AA332" s="56"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56" t="n"/>
      <c r="T333" s="56" t="n"/>
      <c r="U333" s="56" t="n"/>
      <c r="V333" s="56" t="n"/>
      <c r="W333" s="56" t="n"/>
      <c r="X333" s="56" t="n"/>
      <c r="Y333" s="56" t="n"/>
      <c r="Z333" s="56" t="n"/>
      <c r="AA333" s="56"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56" t="n"/>
      <c r="T334" s="56" t="n"/>
      <c r="U334" s="56" t="n"/>
      <c r="V334" s="56" t="n"/>
      <c r="W334" s="56" t="n"/>
      <c r="X334" s="56" t="n"/>
      <c r="Y334" s="56" t="n"/>
      <c r="Z334" s="56" t="n"/>
      <c r="AA334" s="56"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56" t="n"/>
      <c r="T335" s="56" t="n"/>
      <c r="U335" s="56" t="n"/>
      <c r="V335" s="56" t="n"/>
      <c r="W335" s="56" t="n"/>
      <c r="X335" s="56" t="n"/>
      <c r="Y335" s="56" t="n"/>
      <c r="Z335" s="56" t="n"/>
      <c r="AA335" s="56"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56" t="n"/>
      <c r="T336" s="56" t="n"/>
      <c r="U336" s="56" t="n"/>
      <c r="V336" s="56" t="n"/>
      <c r="W336" s="56" t="n"/>
      <c r="X336" s="56" t="n"/>
      <c r="Y336" s="56" t="n"/>
      <c r="Z336" s="56" t="n"/>
      <c r="AA336" s="56"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56" t="n"/>
      <c r="T337" s="56" t="n"/>
      <c r="U337" s="56" t="n"/>
      <c r="V337" s="56" t="n"/>
      <c r="W337" s="56" t="n"/>
      <c r="X337" s="56" t="n"/>
      <c r="Y337" s="56" t="n"/>
      <c r="Z337" s="56" t="n"/>
      <c r="AA337" s="56"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56" t="n"/>
      <c r="T338" s="56" t="n"/>
      <c r="U338" s="56" t="n"/>
      <c r="V338" s="56" t="n"/>
      <c r="W338" s="56" t="n"/>
      <c r="X338" s="56" t="n"/>
      <c r="Y338" s="56" t="n"/>
      <c r="Z338" s="56" t="n"/>
      <c r="AA338" s="56"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56" t="n"/>
      <c r="T339" s="56" t="n"/>
      <c r="U339" s="56" t="n"/>
      <c r="V339" s="56" t="n"/>
      <c r="W339" s="56" t="n"/>
      <c r="X339" s="56" t="n"/>
      <c r="Y339" s="56" t="n"/>
      <c r="Z339" s="56" t="n"/>
      <c r="AA339" s="56"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56" t="n"/>
      <c r="T340" s="56" t="n"/>
      <c r="U340" s="56" t="n"/>
      <c r="V340" s="56" t="n"/>
      <c r="W340" s="56" t="n"/>
      <c r="X340" s="56" t="n"/>
      <c r="Y340" s="56" t="n"/>
      <c r="Z340" s="56" t="n"/>
      <c r="AA340" s="56"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56" t="n"/>
      <c r="T341" s="56" t="n"/>
      <c r="U341" s="56" t="n"/>
      <c r="V341" s="56" t="n"/>
      <c r="W341" s="56" t="n"/>
      <c r="X341" s="56" t="n"/>
      <c r="Y341" s="56" t="n"/>
      <c r="Z341" s="56" t="n"/>
      <c r="AA341" s="56"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56" t="n"/>
      <c r="T342" s="56" t="n"/>
      <c r="U342" s="56" t="n"/>
      <c r="V342" s="56" t="n"/>
      <c r="W342" s="56" t="n"/>
      <c r="X342" s="56" t="n"/>
      <c r="Y342" s="56" t="n"/>
      <c r="Z342" s="56" t="n"/>
      <c r="AA342" s="56"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56" t="n"/>
      <c r="T343" s="56" t="n"/>
      <c r="U343" s="56" t="n"/>
      <c r="V343" s="56" t="n"/>
      <c r="W343" s="56" t="n"/>
      <c r="X343" s="56" t="n"/>
      <c r="Y343" s="56" t="n"/>
      <c r="Z343" s="56" t="n"/>
      <c r="AA343" s="56"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56" t="n"/>
      <c r="T344" s="56" t="n"/>
      <c r="U344" s="56" t="n"/>
      <c r="V344" s="56" t="n"/>
      <c r="W344" s="56" t="n"/>
      <c r="X344" s="56" t="n"/>
      <c r="Y344" s="56" t="n"/>
      <c r="Z344" s="56" t="n"/>
      <c r="AA344" s="56"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56" t="n"/>
      <c r="T345" s="56" t="n"/>
      <c r="U345" s="56" t="n"/>
      <c r="V345" s="56" t="n"/>
      <c r="W345" s="56" t="n"/>
      <c r="X345" s="56" t="n"/>
      <c r="Y345" s="56" t="n"/>
      <c r="Z345" s="56" t="n"/>
      <c r="AA345" s="56"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56" t="n"/>
      <c r="T346" s="56" t="n"/>
      <c r="U346" s="56" t="n"/>
      <c r="V346" s="56" t="n"/>
      <c r="W346" s="56" t="n"/>
      <c r="X346" s="56" t="n"/>
      <c r="Y346" s="56" t="n"/>
      <c r="Z346" s="56" t="n"/>
      <c r="AA346" s="56"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56" t="n"/>
      <c r="T347" s="56" t="n"/>
      <c r="U347" s="56" t="n"/>
      <c r="V347" s="56" t="n"/>
      <c r="W347" s="56" t="n"/>
      <c r="X347" s="56" t="n"/>
      <c r="Y347" s="56" t="n"/>
      <c r="Z347" s="56" t="n"/>
      <c r="AA347" s="56"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56" t="n"/>
      <c r="T348" s="56" t="n"/>
      <c r="U348" s="56" t="n"/>
      <c r="V348" s="56" t="n"/>
      <c r="W348" s="56" t="n"/>
      <c r="X348" s="56" t="n"/>
      <c r="Y348" s="56" t="n"/>
      <c r="Z348" s="56" t="n"/>
      <c r="AA348" s="56"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56" t="n"/>
      <c r="T349" s="56" t="n"/>
      <c r="U349" s="56" t="n"/>
      <c r="V349" s="56" t="n"/>
      <c r="W349" s="56" t="n"/>
      <c r="X349" s="56" t="n"/>
      <c r="Y349" s="56" t="n"/>
      <c r="Z349" s="56" t="n"/>
      <c r="AA349" s="56"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56" t="n"/>
      <c r="T350" s="56" t="n"/>
      <c r="U350" s="56" t="n"/>
      <c r="V350" s="56" t="n"/>
      <c r="W350" s="56" t="n"/>
      <c r="X350" s="56" t="n"/>
      <c r="Y350" s="56" t="n"/>
      <c r="Z350" s="56" t="n"/>
      <c r="AA350" s="56"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56" t="n"/>
      <c r="T351" s="56" t="n"/>
      <c r="U351" s="56" t="n"/>
      <c r="V351" s="56" t="n"/>
      <c r="W351" s="56" t="n"/>
      <c r="X351" s="56" t="n"/>
      <c r="Y351" s="56" t="n"/>
      <c r="Z351" s="56" t="n"/>
      <c r="AA351" s="56"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56" t="n"/>
      <c r="T352" s="56" t="n"/>
      <c r="U352" s="56" t="n"/>
      <c r="V352" s="56" t="n"/>
      <c r="W352" s="56" t="n"/>
      <c r="X352" s="56" t="n"/>
      <c r="Y352" s="56" t="n"/>
      <c r="Z352" s="56" t="n"/>
      <c r="AA352" s="56"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56" t="n"/>
      <c r="T353" s="56" t="n"/>
      <c r="U353" s="56" t="n"/>
      <c r="V353" s="56" t="n"/>
      <c r="W353" s="56" t="n"/>
      <c r="X353" s="56" t="n"/>
      <c r="Y353" s="56" t="n"/>
      <c r="Z353" s="56" t="n"/>
      <c r="AA353" s="56"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56" t="n"/>
      <c r="T354" s="56" t="n"/>
      <c r="U354" s="56" t="n"/>
      <c r="V354" s="56" t="n"/>
      <c r="W354" s="56" t="n"/>
      <c r="X354" s="56" t="n"/>
      <c r="Y354" s="56" t="n"/>
      <c r="Z354" s="56" t="n"/>
      <c r="AA354" s="56"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56" t="n"/>
      <c r="T355" s="56" t="n"/>
      <c r="U355" s="56" t="n"/>
      <c r="V355" s="56" t="n"/>
      <c r="W355" s="56" t="n"/>
      <c r="X355" s="56" t="n"/>
      <c r="Y355" s="56" t="n"/>
      <c r="Z355" s="56" t="n"/>
      <c r="AA355" s="56"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56" t="n"/>
      <c r="T356" s="56" t="n"/>
      <c r="U356" s="56" t="n"/>
      <c r="V356" s="56" t="n"/>
      <c r="W356" s="56" t="n"/>
      <c r="X356" s="56" t="n"/>
      <c r="Y356" s="56" t="n"/>
      <c r="Z356" s="56" t="n"/>
      <c r="AA356" s="56"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56" t="n"/>
      <c r="T357" s="56" t="n"/>
      <c r="U357" s="56" t="n"/>
      <c r="V357" s="56" t="n"/>
      <c r="W357" s="56" t="n"/>
      <c r="X357" s="56" t="n"/>
      <c r="Y357" s="56" t="n"/>
      <c r="Z357" s="56" t="n"/>
      <c r="AA357" s="56"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56" t="n"/>
      <c r="T358" s="56" t="n"/>
      <c r="U358" s="56" t="n"/>
      <c r="V358" s="56" t="n"/>
      <c r="W358" s="56" t="n"/>
      <c r="X358" s="56" t="n"/>
      <c r="Y358" s="56" t="n"/>
      <c r="Z358" s="56" t="n"/>
      <c r="AA358" s="56"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56" t="n"/>
      <c r="T359" s="56" t="n"/>
      <c r="U359" s="56" t="n"/>
      <c r="V359" s="56" t="n"/>
      <c r="W359" s="56" t="n"/>
      <c r="X359" s="56" t="n"/>
      <c r="Y359" s="56" t="n"/>
      <c r="Z359" s="56" t="n"/>
      <c r="AA359" s="56"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56" t="n"/>
      <c r="T360" s="56" t="n"/>
      <c r="U360" s="56" t="n"/>
      <c r="V360" s="56" t="n"/>
      <c r="W360" s="56" t="n"/>
      <c r="X360" s="56" t="n"/>
      <c r="Y360" s="56" t="n"/>
      <c r="Z360" s="56" t="n"/>
      <c r="AA360" s="56"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56" t="n"/>
      <c r="T361" s="56" t="n"/>
      <c r="U361" s="56" t="n"/>
      <c r="V361" s="56" t="n"/>
      <c r="W361" s="56" t="n"/>
      <c r="X361" s="56" t="n"/>
      <c r="Y361" s="56" t="n"/>
      <c r="Z361" s="56" t="n"/>
      <c r="AA361" s="56"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56" t="n"/>
      <c r="T362" s="56" t="n"/>
      <c r="U362" s="56" t="n"/>
      <c r="V362" s="56" t="n"/>
      <c r="W362" s="56" t="n"/>
      <c r="X362" s="56" t="n"/>
      <c r="Y362" s="56" t="n"/>
      <c r="Z362" s="56" t="n"/>
      <c r="AA362" s="56"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56" t="n"/>
      <c r="T363" s="56" t="n"/>
      <c r="U363" s="56" t="n"/>
      <c r="V363" s="56" t="n"/>
      <c r="W363" s="56" t="n"/>
      <c r="X363" s="56" t="n"/>
      <c r="Y363" s="56" t="n"/>
      <c r="Z363" s="56" t="n"/>
      <c r="AA363" s="56"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56" t="n"/>
      <c r="T364" s="56" t="n"/>
      <c r="U364" s="56" t="n"/>
      <c r="V364" s="56" t="n"/>
      <c r="W364" s="56" t="n"/>
      <c r="X364" s="56" t="n"/>
      <c r="Y364" s="56" t="n"/>
      <c r="Z364" s="56" t="n"/>
      <c r="AA364" s="56"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56" t="n"/>
      <c r="T365" s="56" t="n"/>
      <c r="U365" s="56" t="n"/>
      <c r="V365" s="56" t="n"/>
      <c r="W365" s="56" t="n"/>
      <c r="X365" s="56" t="n"/>
      <c r="Y365" s="56" t="n"/>
      <c r="Z365" s="56" t="n"/>
      <c r="AA365" s="56"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56" t="n"/>
      <c r="T366" s="56" t="n"/>
      <c r="U366" s="56" t="n"/>
      <c r="V366" s="56" t="n"/>
      <c r="W366" s="56" t="n"/>
      <c r="X366" s="56" t="n"/>
      <c r="Y366" s="56" t="n"/>
      <c r="Z366" s="56" t="n"/>
      <c r="AA366" s="56"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56" t="n"/>
      <c r="T367" s="56" t="n"/>
      <c r="U367" s="56" t="n"/>
      <c r="V367" s="56" t="n"/>
      <c r="W367" s="56" t="n"/>
      <c r="X367" s="56" t="n"/>
      <c r="Y367" s="56" t="n"/>
      <c r="Z367" s="56" t="n"/>
      <c r="AA367" s="56"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56" t="n"/>
      <c r="T368" s="56" t="n"/>
      <c r="U368" s="56" t="n"/>
      <c r="V368" s="56" t="n"/>
      <c r="W368" s="56" t="n"/>
      <c r="X368" s="56" t="n"/>
      <c r="Y368" s="56" t="n"/>
      <c r="Z368" s="56" t="n"/>
      <c r="AA368" s="56"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56" t="n"/>
      <c r="T369" s="56" t="n"/>
      <c r="U369" s="56" t="n"/>
      <c r="V369" s="56" t="n"/>
      <c r="W369" s="56" t="n"/>
      <c r="X369" s="56" t="n"/>
      <c r="Y369" s="56" t="n"/>
      <c r="Z369" s="56" t="n"/>
      <c r="AA369" s="56"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56" t="n"/>
      <c r="T370" s="56" t="n"/>
      <c r="U370" s="56" t="n"/>
      <c r="V370" s="56" t="n"/>
      <c r="W370" s="56" t="n"/>
      <c r="X370" s="56" t="n"/>
      <c r="Y370" s="56" t="n"/>
      <c r="Z370" s="56" t="n"/>
      <c r="AA370" s="56"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56" t="n"/>
      <c r="T371" s="56" t="n"/>
      <c r="U371" s="56" t="n"/>
      <c r="V371" s="56" t="n"/>
      <c r="W371" s="56" t="n"/>
      <c r="X371" s="56" t="n"/>
      <c r="Y371" s="56" t="n"/>
      <c r="Z371" s="56" t="n"/>
      <c r="AA371" s="56"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56" t="n"/>
      <c r="T372" s="56" t="n"/>
      <c r="U372" s="56" t="n"/>
      <c r="V372" s="56" t="n"/>
      <c r="W372" s="56" t="n"/>
      <c r="X372" s="56" t="n"/>
      <c r="Y372" s="56" t="n"/>
      <c r="Z372" s="56" t="n"/>
      <c r="AA372" s="56"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56" t="n"/>
      <c r="T373" s="56" t="n"/>
      <c r="U373" s="56" t="n"/>
      <c r="V373" s="56" t="n"/>
      <c r="W373" s="56" t="n"/>
      <c r="X373" s="56" t="n"/>
      <c r="Y373" s="56" t="n"/>
      <c r="Z373" s="56" t="n"/>
      <c r="AA373" s="56"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56" t="n"/>
      <c r="T374" s="56" t="n"/>
      <c r="U374" s="56" t="n"/>
      <c r="V374" s="56" t="n"/>
      <c r="W374" s="56" t="n"/>
      <c r="X374" s="56" t="n"/>
      <c r="Y374" s="56" t="n"/>
      <c r="Z374" s="56" t="n"/>
      <c r="AA374" s="56"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56" t="n"/>
      <c r="T375" s="56" t="n"/>
      <c r="U375" s="56" t="n"/>
      <c r="V375" s="56" t="n"/>
      <c r="W375" s="56" t="n"/>
      <c r="X375" s="56" t="n"/>
      <c r="Y375" s="56" t="n"/>
      <c r="Z375" s="56" t="n"/>
      <c r="AA375" s="56"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56" t="n"/>
      <c r="T376" s="56" t="n"/>
      <c r="U376" s="56" t="n"/>
      <c r="V376" s="56" t="n"/>
      <c r="W376" s="56" t="n"/>
      <c r="X376" s="56" t="n"/>
      <c r="Y376" s="56" t="n"/>
      <c r="Z376" s="56" t="n"/>
      <c r="AA376" s="56"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56" t="n"/>
      <c r="T377" s="56" t="n"/>
      <c r="U377" s="56" t="n"/>
      <c r="V377" s="56" t="n"/>
      <c r="W377" s="56" t="n"/>
      <c r="X377" s="56" t="n"/>
      <c r="Y377" s="56" t="n"/>
      <c r="Z377" s="56" t="n"/>
      <c r="AA377" s="56"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56" t="n"/>
      <c r="T378" s="56" t="n"/>
      <c r="U378" s="56" t="n"/>
      <c r="V378" s="56" t="n"/>
      <c r="W378" s="56" t="n"/>
      <c r="X378" s="56" t="n"/>
      <c r="Y378" s="56" t="n"/>
      <c r="Z378" s="56" t="n"/>
      <c r="AA378" s="56"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56" t="n"/>
      <c r="T379" s="56" t="n"/>
      <c r="U379" s="56" t="n"/>
      <c r="V379" s="56" t="n"/>
      <c r="W379" s="56" t="n"/>
      <c r="X379" s="56" t="n"/>
      <c r="Y379" s="56" t="n"/>
      <c r="Z379" s="56" t="n"/>
      <c r="AA379" s="56"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56" t="n"/>
      <c r="T380" s="56" t="n"/>
      <c r="U380" s="56" t="n"/>
      <c r="V380" s="56" t="n"/>
      <c r="W380" s="56" t="n"/>
      <c r="X380" s="56" t="n"/>
      <c r="Y380" s="56" t="n"/>
      <c r="Z380" s="56" t="n"/>
      <c r="AA380" s="56"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56" t="n"/>
      <c r="T381" s="56" t="n"/>
      <c r="U381" s="56" t="n"/>
      <c r="V381" s="56" t="n"/>
      <c r="W381" s="56" t="n"/>
      <c r="X381" s="56" t="n"/>
      <c r="Y381" s="56" t="n"/>
      <c r="Z381" s="56" t="n"/>
      <c r="AA381" s="56"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56" t="n"/>
      <c r="T382" s="56" t="n"/>
      <c r="U382" s="56" t="n"/>
      <c r="V382" s="56" t="n"/>
      <c r="W382" s="56" t="n"/>
      <c r="X382" s="56" t="n"/>
      <c r="Y382" s="56" t="n"/>
      <c r="Z382" s="56" t="n"/>
      <c r="AA382" s="56"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56" t="n"/>
      <c r="T383" s="56" t="n"/>
      <c r="U383" s="56" t="n"/>
      <c r="V383" s="56" t="n"/>
      <c r="W383" s="56" t="n"/>
      <c r="X383" s="56" t="n"/>
      <c r="Y383" s="56" t="n"/>
      <c r="Z383" s="56" t="n"/>
      <c r="AA383" s="56"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56" t="n"/>
      <c r="T384" s="56" t="n"/>
      <c r="U384" s="56" t="n"/>
      <c r="V384" s="56" t="n"/>
      <c r="W384" s="56" t="n"/>
      <c r="X384" s="56" t="n"/>
      <c r="Y384" s="56" t="n"/>
      <c r="Z384" s="56" t="n"/>
      <c r="AA384" s="56"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56" t="n"/>
      <c r="T385" s="56" t="n"/>
      <c r="U385" s="56" t="n"/>
      <c r="V385" s="56" t="n"/>
      <c r="W385" s="56" t="n"/>
      <c r="X385" s="56" t="n"/>
      <c r="Y385" s="56" t="n"/>
      <c r="Z385" s="56" t="n"/>
      <c r="AA385" s="56"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56" t="n"/>
      <c r="T386" s="56" t="n"/>
      <c r="U386" s="56" t="n"/>
      <c r="V386" s="56" t="n"/>
      <c r="W386" s="56" t="n"/>
      <c r="X386" s="56" t="n"/>
      <c r="Y386" s="56" t="n"/>
      <c r="Z386" s="56" t="n"/>
      <c r="AA386" s="56"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56" t="n"/>
      <c r="T387" s="56" t="n"/>
      <c r="U387" s="56" t="n"/>
      <c r="V387" s="56" t="n"/>
      <c r="W387" s="56" t="n"/>
      <c r="X387" s="56" t="n"/>
      <c r="Y387" s="56" t="n"/>
      <c r="Z387" s="56" t="n"/>
      <c r="AA387" s="56"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56" t="n"/>
      <c r="T388" s="56" t="n"/>
      <c r="U388" s="56" t="n"/>
      <c r="V388" s="56" t="n"/>
      <c r="W388" s="56" t="n"/>
      <c r="X388" s="56" t="n"/>
      <c r="Y388" s="56" t="n"/>
      <c r="Z388" s="56" t="n"/>
      <c r="AA388" s="56"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56" t="n"/>
      <c r="T389" s="56" t="n"/>
      <c r="U389" s="56" t="n"/>
      <c r="V389" s="56" t="n"/>
      <c r="W389" s="56" t="n"/>
      <c r="X389" s="56" t="n"/>
      <c r="Y389" s="56" t="n"/>
      <c r="Z389" s="56" t="n"/>
      <c r="AA389" s="56"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56" t="n"/>
      <c r="T390" s="56" t="n"/>
      <c r="U390" s="56" t="n"/>
      <c r="V390" s="56" t="n"/>
      <c r="W390" s="56" t="n"/>
      <c r="X390" s="56" t="n"/>
      <c r="Y390" s="56" t="n"/>
      <c r="Z390" s="56" t="n"/>
      <c r="AA390" s="56"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56" t="n"/>
      <c r="T391" s="56" t="n"/>
      <c r="U391" s="56" t="n"/>
      <c r="V391" s="56" t="n"/>
      <c r="W391" s="56" t="n"/>
      <c r="X391" s="56" t="n"/>
      <c r="Y391" s="56" t="n"/>
      <c r="Z391" s="56" t="n"/>
      <c r="AA391" s="56"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56" t="n"/>
      <c r="T392" s="56" t="n"/>
      <c r="U392" s="56" t="n"/>
      <c r="V392" s="56" t="n"/>
      <c r="W392" s="56" t="n"/>
      <c r="X392" s="56" t="n"/>
      <c r="Y392" s="56" t="n"/>
      <c r="Z392" s="56" t="n"/>
      <c r="AA392" s="56"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56" t="n"/>
      <c r="T393" s="56" t="n"/>
      <c r="U393" s="56" t="n"/>
      <c r="V393" s="56" t="n"/>
      <c r="W393" s="56" t="n"/>
      <c r="X393" s="56" t="n"/>
      <c r="Y393" s="56" t="n"/>
      <c r="Z393" s="56" t="n"/>
      <c r="AA393" s="56"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56" t="n"/>
      <c r="T394" s="56" t="n"/>
      <c r="U394" s="56" t="n"/>
      <c r="V394" s="56" t="n"/>
      <c r="W394" s="56" t="n"/>
      <c r="X394" s="56" t="n"/>
      <c r="Y394" s="56" t="n"/>
      <c r="Z394" s="56" t="n"/>
      <c r="AA394" s="56"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56" t="n"/>
      <c r="T395" s="56" t="n"/>
      <c r="U395" s="56" t="n"/>
      <c r="V395" s="56" t="n"/>
      <c r="W395" s="56" t="n"/>
      <c r="X395" s="56" t="n"/>
      <c r="Y395" s="56" t="n"/>
      <c r="Z395" s="56" t="n"/>
      <c r="AA395" s="56"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56" t="n"/>
      <c r="T396" s="56" t="n"/>
      <c r="U396" s="56" t="n"/>
      <c r="V396" s="56" t="n"/>
      <c r="W396" s="56" t="n"/>
      <c r="X396" s="56" t="n"/>
      <c r="Y396" s="56" t="n"/>
      <c r="Z396" s="56" t="n"/>
      <c r="AA396" s="56"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56" t="n"/>
      <c r="T397" s="56" t="n"/>
      <c r="U397" s="56" t="n"/>
      <c r="V397" s="56" t="n"/>
      <c r="W397" s="56" t="n"/>
      <c r="X397" s="56" t="n"/>
      <c r="Y397" s="56" t="n"/>
      <c r="Z397" s="56" t="n"/>
      <c r="AA397" s="56"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56" t="n"/>
      <c r="T398" s="56" t="n"/>
      <c r="U398" s="56" t="n"/>
      <c r="V398" s="56" t="n"/>
      <c r="W398" s="56" t="n"/>
      <c r="X398" s="56" t="n"/>
      <c r="Y398" s="56" t="n"/>
      <c r="Z398" s="56" t="n"/>
      <c r="AA398" s="56"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56" t="n"/>
      <c r="T399" s="56" t="n"/>
      <c r="U399" s="56" t="n"/>
      <c r="V399" s="56" t="n"/>
      <c r="W399" s="56" t="n"/>
      <c r="X399" s="56" t="n"/>
      <c r="Y399" s="56" t="n"/>
      <c r="Z399" s="56" t="n"/>
      <c r="AA399" s="56"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56" t="n"/>
      <c r="T400" s="56" t="n"/>
      <c r="U400" s="56" t="n"/>
      <c r="V400" s="56" t="n"/>
      <c r="W400" s="56" t="n"/>
      <c r="X400" s="56" t="n"/>
      <c r="Y400" s="56" t="n"/>
      <c r="Z400" s="56" t="n"/>
      <c r="AA400" s="56"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56" t="n"/>
      <c r="T401" s="56" t="n"/>
      <c r="U401" s="56" t="n"/>
      <c r="V401" s="56" t="n"/>
      <c r="W401" s="56" t="n"/>
      <c r="X401" s="56" t="n"/>
      <c r="Y401" s="56" t="n"/>
      <c r="Z401" s="56" t="n"/>
      <c r="AA401" s="56"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56" t="n"/>
      <c r="T402" s="56" t="n"/>
      <c r="U402" s="56" t="n"/>
      <c r="V402" s="56" t="n"/>
      <c r="W402" s="56" t="n"/>
      <c r="X402" s="56" t="n"/>
      <c r="Y402" s="56" t="n"/>
      <c r="Z402" s="56" t="n"/>
      <c r="AA402" s="56"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56" t="n"/>
      <c r="T403" s="56" t="n"/>
      <c r="U403" s="56" t="n"/>
      <c r="V403" s="56" t="n"/>
      <c r="W403" s="56" t="n"/>
      <c r="X403" s="56" t="n"/>
      <c r="Y403" s="56" t="n"/>
      <c r="Z403" s="56" t="n"/>
      <c r="AA403" s="56"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56" t="n"/>
      <c r="T404" s="56" t="n"/>
      <c r="U404" s="56" t="n"/>
      <c r="V404" s="56" t="n"/>
      <c r="W404" s="56" t="n"/>
      <c r="X404" s="56" t="n"/>
      <c r="Y404" s="56" t="n"/>
      <c r="Z404" s="56" t="n"/>
      <c r="AA404" s="56"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56" t="n"/>
      <c r="T405" s="56" t="n"/>
      <c r="U405" s="56" t="n"/>
      <c r="V405" s="56" t="n"/>
      <c r="W405" s="56" t="n"/>
      <c r="X405" s="56" t="n"/>
      <c r="Y405" s="56" t="n"/>
      <c r="Z405" s="56" t="n"/>
      <c r="AA405" s="56"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56" t="n"/>
      <c r="T406" s="56" t="n"/>
      <c r="U406" s="56" t="n"/>
      <c r="V406" s="56" t="n"/>
      <c r="W406" s="56" t="n"/>
      <c r="X406" s="56" t="n"/>
      <c r="Y406" s="56" t="n"/>
      <c r="Z406" s="56" t="n"/>
      <c r="AA406" s="56"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56" t="n"/>
      <c r="T407" s="56" t="n"/>
      <c r="U407" s="56" t="n"/>
      <c r="V407" s="56" t="n"/>
      <c r="W407" s="56" t="n"/>
      <c r="X407" s="56" t="n"/>
      <c r="Y407" s="56" t="n"/>
      <c r="Z407" s="56" t="n"/>
      <c r="AA407" s="56"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56" t="n"/>
      <c r="T408" s="56" t="n"/>
      <c r="U408" s="56" t="n"/>
      <c r="V408" s="56" t="n"/>
      <c r="W408" s="56" t="n"/>
      <c r="X408" s="56" t="n"/>
      <c r="Y408" s="56" t="n"/>
      <c r="Z408" s="56" t="n"/>
      <c r="AA408" s="56"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56" t="n"/>
      <c r="T409" s="56" t="n"/>
      <c r="U409" s="56" t="n"/>
      <c r="V409" s="56" t="n"/>
      <c r="W409" s="56" t="n"/>
      <c r="X409" s="56" t="n"/>
      <c r="Y409" s="56" t="n"/>
      <c r="Z409" s="56" t="n"/>
      <c r="AA409" s="56"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56" t="n"/>
      <c r="T410" s="56" t="n"/>
      <c r="U410" s="56" t="n"/>
      <c r="V410" s="56" t="n"/>
      <c r="W410" s="56" t="n"/>
      <c r="X410" s="56" t="n"/>
      <c r="Y410" s="56" t="n"/>
      <c r="Z410" s="56" t="n"/>
      <c r="AA410" s="56"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56" t="n"/>
      <c r="T411" s="56" t="n"/>
      <c r="U411" s="56" t="n"/>
      <c r="V411" s="56" t="n"/>
      <c r="W411" s="56" t="n"/>
      <c r="X411" s="56" t="n"/>
      <c r="Y411" s="56" t="n"/>
      <c r="Z411" s="56" t="n"/>
      <c r="AA411" s="56"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56" t="n"/>
      <c r="T412" s="56" t="n"/>
      <c r="U412" s="56" t="n"/>
      <c r="V412" s="56" t="n"/>
      <c r="W412" s="56" t="n"/>
      <c r="X412" s="56" t="n"/>
      <c r="Y412" s="56" t="n"/>
      <c r="Z412" s="56" t="n"/>
      <c r="AA412" s="56"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56" t="n"/>
      <c r="T413" s="56" t="n"/>
      <c r="U413" s="56" t="n"/>
      <c r="V413" s="56" t="n"/>
      <c r="W413" s="56" t="n"/>
      <c r="X413" s="56" t="n"/>
      <c r="Y413" s="56" t="n"/>
      <c r="Z413" s="56" t="n"/>
      <c r="AA413" s="56"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56" t="n"/>
      <c r="T414" s="56" t="n"/>
      <c r="U414" s="56" t="n"/>
      <c r="V414" s="56" t="n"/>
      <c r="W414" s="56" t="n"/>
      <c r="X414" s="56" t="n"/>
      <c r="Y414" s="56" t="n"/>
      <c r="Z414" s="56" t="n"/>
      <c r="AA414" s="56"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56" t="n"/>
      <c r="T415" s="56" t="n"/>
      <c r="U415" s="56" t="n"/>
      <c r="V415" s="56" t="n"/>
      <c r="W415" s="56" t="n"/>
      <c r="X415" s="56" t="n"/>
      <c r="Y415" s="56" t="n"/>
      <c r="Z415" s="56" t="n"/>
      <c r="AA415" s="56"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56" t="n"/>
      <c r="T416" s="56" t="n"/>
      <c r="U416" s="56" t="n"/>
      <c r="V416" s="56" t="n"/>
      <c r="W416" s="56" t="n"/>
      <c r="X416" s="56" t="n"/>
      <c r="Y416" s="56" t="n"/>
      <c r="Z416" s="56" t="n"/>
      <c r="AA416" s="56"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56" t="n"/>
      <c r="T417" s="56" t="n"/>
      <c r="U417" s="56" t="n"/>
      <c r="V417" s="56" t="n"/>
      <c r="W417" s="56" t="n"/>
      <c r="X417" s="56" t="n"/>
      <c r="Y417" s="56" t="n"/>
      <c r="Z417" s="56" t="n"/>
      <c r="AA417" s="56"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56" t="n"/>
      <c r="T418" s="56" t="n"/>
      <c r="U418" s="56" t="n"/>
      <c r="V418" s="56" t="n"/>
      <c r="W418" s="56" t="n"/>
      <c r="X418" s="56" t="n"/>
      <c r="Y418" s="56" t="n"/>
      <c r="Z418" s="56" t="n"/>
      <c r="AA418" s="56"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56" t="n"/>
      <c r="T419" s="56" t="n"/>
      <c r="U419" s="56" t="n"/>
      <c r="V419" s="56" t="n"/>
      <c r="W419" s="56" t="n"/>
      <c r="X419" s="56" t="n"/>
      <c r="Y419" s="56" t="n"/>
      <c r="Z419" s="56" t="n"/>
      <c r="AA419" s="56"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56" t="n"/>
      <c r="T420" s="56" t="n"/>
      <c r="U420" s="56" t="n"/>
      <c r="V420" s="56" t="n"/>
      <c r="W420" s="56" t="n"/>
      <c r="X420" s="56" t="n"/>
      <c r="Y420" s="56" t="n"/>
      <c r="Z420" s="56" t="n"/>
      <c r="AA420" s="56"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56" t="n"/>
      <c r="T421" s="56" t="n"/>
      <c r="U421" s="56" t="n"/>
      <c r="V421" s="56" t="n"/>
      <c r="W421" s="56" t="n"/>
      <c r="X421" s="56" t="n"/>
      <c r="Y421" s="56" t="n"/>
      <c r="Z421" s="56" t="n"/>
      <c r="AA421" s="56"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56" t="n"/>
      <c r="T422" s="56" t="n"/>
      <c r="U422" s="56" t="n"/>
      <c r="V422" s="56" t="n"/>
      <c r="W422" s="56" t="n"/>
      <c r="X422" s="56" t="n"/>
      <c r="Y422" s="56" t="n"/>
      <c r="Z422" s="56" t="n"/>
      <c r="AA422" s="56"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56" t="n"/>
      <c r="T423" s="56" t="n"/>
      <c r="U423" s="56" t="n"/>
      <c r="V423" s="56" t="n"/>
      <c r="W423" s="56" t="n"/>
      <c r="X423" s="56" t="n"/>
      <c r="Y423" s="56" t="n"/>
      <c r="Z423" s="56" t="n"/>
      <c r="AA423" s="56"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56" t="n"/>
      <c r="T424" s="56" t="n"/>
      <c r="U424" s="56" t="n"/>
      <c r="V424" s="56" t="n"/>
      <c r="W424" s="56" t="n"/>
      <c r="X424" s="56" t="n"/>
      <c r="Y424" s="56" t="n"/>
      <c r="Z424" s="56" t="n"/>
      <c r="AA424" s="56"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56" t="n"/>
      <c r="T425" s="56" t="n"/>
      <c r="U425" s="56" t="n"/>
      <c r="V425" s="56" t="n"/>
      <c r="W425" s="56" t="n"/>
      <c r="X425" s="56" t="n"/>
      <c r="Y425" s="56" t="n"/>
      <c r="Z425" s="56" t="n"/>
      <c r="AA425" s="56"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56" t="n"/>
      <c r="T426" s="56" t="n"/>
      <c r="U426" s="56" t="n"/>
      <c r="V426" s="56" t="n"/>
      <c r="W426" s="56" t="n"/>
      <c r="X426" s="56" t="n"/>
      <c r="Y426" s="56" t="n"/>
      <c r="Z426" s="56" t="n"/>
      <c r="AA426" s="56"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56" t="n"/>
      <c r="T427" s="56" t="n"/>
      <c r="U427" s="56" t="n"/>
      <c r="V427" s="56" t="n"/>
      <c r="W427" s="56" t="n"/>
      <c r="X427" s="56" t="n"/>
      <c r="Y427" s="56" t="n"/>
      <c r="Z427" s="56" t="n"/>
      <c r="AA427" s="56"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56" t="n"/>
      <c r="T428" s="56" t="n"/>
      <c r="U428" s="56" t="n"/>
      <c r="V428" s="56" t="n"/>
      <c r="W428" s="56" t="n"/>
      <c r="X428" s="56" t="n"/>
      <c r="Y428" s="56" t="n"/>
      <c r="Z428" s="56" t="n"/>
      <c r="AA428" s="56"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56" t="n"/>
      <c r="T429" s="56" t="n"/>
      <c r="U429" s="56" t="n"/>
      <c r="V429" s="56" t="n"/>
      <c r="W429" s="56" t="n"/>
      <c r="X429" s="56" t="n"/>
      <c r="Y429" s="56" t="n"/>
      <c r="Z429" s="56" t="n"/>
      <c r="AA429" s="56"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56" t="n"/>
      <c r="T430" s="56" t="n"/>
      <c r="U430" s="56" t="n"/>
      <c r="V430" s="56" t="n"/>
      <c r="W430" s="56" t="n"/>
      <c r="X430" s="56" t="n"/>
      <c r="Y430" s="56" t="n"/>
      <c r="Z430" s="56" t="n"/>
      <c r="AA430" s="56"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56" t="n"/>
      <c r="T431" s="56" t="n"/>
      <c r="U431" s="56" t="n"/>
      <c r="V431" s="56" t="n"/>
      <c r="W431" s="56" t="n"/>
      <c r="X431" s="56" t="n"/>
      <c r="Y431" s="56" t="n"/>
      <c r="Z431" s="56" t="n"/>
      <c r="AA431" s="56"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56" t="n"/>
      <c r="T432" s="56" t="n"/>
      <c r="U432" s="56" t="n"/>
      <c r="V432" s="56" t="n"/>
      <c r="W432" s="56" t="n"/>
      <c r="X432" s="56" t="n"/>
      <c r="Y432" s="56" t="n"/>
      <c r="Z432" s="56" t="n"/>
      <c r="AA432" s="56"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56" t="n"/>
      <c r="T433" s="56" t="n"/>
      <c r="U433" s="56" t="n"/>
      <c r="V433" s="56" t="n"/>
      <c r="W433" s="56" t="n"/>
      <c r="X433" s="56" t="n"/>
      <c r="Y433" s="56" t="n"/>
      <c r="Z433" s="56" t="n"/>
      <c r="AA433" s="56"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56" t="n"/>
      <c r="T434" s="56" t="n"/>
      <c r="U434" s="56" t="n"/>
      <c r="V434" s="56" t="n"/>
      <c r="W434" s="56" t="n"/>
      <c r="X434" s="56" t="n"/>
      <c r="Y434" s="56" t="n"/>
      <c r="Z434" s="56" t="n"/>
      <c r="AA434" s="56"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56" t="n"/>
      <c r="T435" s="56" t="n"/>
      <c r="U435" s="56" t="n"/>
      <c r="V435" s="56" t="n"/>
      <c r="W435" s="56" t="n"/>
      <c r="X435" s="56" t="n"/>
      <c r="Y435" s="56" t="n"/>
      <c r="Z435" s="56" t="n"/>
      <c r="AA435" s="56"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56" t="n"/>
      <c r="T436" s="56" t="n"/>
      <c r="U436" s="56" t="n"/>
      <c r="V436" s="56" t="n"/>
      <c r="W436" s="56" t="n"/>
      <c r="X436" s="56" t="n"/>
      <c r="Y436" s="56" t="n"/>
      <c r="Z436" s="56" t="n"/>
      <c r="AA436" s="56"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56" t="n"/>
      <c r="T437" s="56" t="n"/>
      <c r="U437" s="56" t="n"/>
      <c r="V437" s="56" t="n"/>
      <c r="W437" s="56" t="n"/>
      <c r="X437" s="56" t="n"/>
      <c r="Y437" s="56" t="n"/>
      <c r="Z437" s="56" t="n"/>
      <c r="AA437" s="56"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56" t="n"/>
      <c r="T438" s="56" t="n"/>
      <c r="U438" s="56" t="n"/>
      <c r="V438" s="56" t="n"/>
      <c r="W438" s="56" t="n"/>
      <c r="X438" s="56" t="n"/>
      <c r="Y438" s="56" t="n"/>
      <c r="Z438" s="56" t="n"/>
      <c r="AA438" s="56"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56" t="n"/>
      <c r="T439" s="56" t="n"/>
      <c r="U439" s="56" t="n"/>
      <c r="V439" s="56" t="n"/>
      <c r="W439" s="56" t="n"/>
      <c r="X439" s="56" t="n"/>
      <c r="Y439" s="56" t="n"/>
      <c r="Z439" s="56" t="n"/>
      <c r="AA439" s="56"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56" t="n"/>
      <c r="T440" s="56" t="n"/>
      <c r="U440" s="56" t="n"/>
      <c r="V440" s="56" t="n"/>
      <c r="W440" s="56" t="n"/>
      <c r="X440" s="56" t="n"/>
      <c r="Y440" s="56" t="n"/>
      <c r="Z440" s="56" t="n"/>
      <c r="AA440" s="56"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56" t="n"/>
      <c r="T441" s="56" t="n"/>
      <c r="U441" s="56" t="n"/>
      <c r="V441" s="56" t="n"/>
      <c r="W441" s="56" t="n"/>
      <c r="X441" s="56" t="n"/>
      <c r="Y441" s="56" t="n"/>
      <c r="Z441" s="56" t="n"/>
      <c r="AA441" s="56"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56" t="n"/>
      <c r="T442" s="56" t="n"/>
      <c r="U442" s="56" t="n"/>
      <c r="V442" s="56" t="n"/>
      <c r="W442" s="56" t="n"/>
      <c r="X442" s="56" t="n"/>
      <c r="Y442" s="56" t="n"/>
      <c r="Z442" s="56" t="n"/>
      <c r="AA442" s="56"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56" t="n"/>
      <c r="T443" s="56" t="n"/>
      <c r="U443" s="56" t="n"/>
      <c r="V443" s="56" t="n"/>
      <c r="W443" s="56" t="n"/>
      <c r="X443" s="56" t="n"/>
      <c r="Y443" s="56" t="n"/>
      <c r="Z443" s="56" t="n"/>
      <c r="AA443" s="56"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56" t="n"/>
      <c r="T444" s="56" t="n"/>
      <c r="U444" s="56" t="n"/>
      <c r="V444" s="56" t="n"/>
      <c r="W444" s="56" t="n"/>
      <c r="X444" s="56" t="n"/>
      <c r="Y444" s="56" t="n"/>
      <c r="Z444" s="56" t="n"/>
      <c r="AA444" s="56"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56" t="n"/>
      <c r="T445" s="56" t="n"/>
      <c r="U445" s="56" t="n"/>
      <c r="V445" s="56" t="n"/>
      <c r="W445" s="56" t="n"/>
      <c r="X445" s="56" t="n"/>
      <c r="Y445" s="56" t="n"/>
      <c r="Z445" s="56" t="n"/>
      <c r="AA445" s="56"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56" t="n"/>
      <c r="T446" s="56" t="n"/>
      <c r="U446" s="56" t="n"/>
      <c r="V446" s="56" t="n"/>
      <c r="W446" s="56" t="n"/>
      <c r="X446" s="56" t="n"/>
      <c r="Y446" s="56" t="n"/>
      <c r="Z446" s="56" t="n"/>
      <c r="AA446" s="56"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56" t="n"/>
      <c r="T447" s="56" t="n"/>
      <c r="U447" s="56" t="n"/>
      <c r="V447" s="56" t="n"/>
      <c r="W447" s="56" t="n"/>
      <c r="X447" s="56" t="n"/>
      <c r="Y447" s="56" t="n"/>
      <c r="Z447" s="56" t="n"/>
      <c r="AA447" s="56"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56" t="n"/>
      <c r="T448" s="56" t="n"/>
      <c r="U448" s="56" t="n"/>
      <c r="V448" s="56" t="n"/>
      <c r="W448" s="56" t="n"/>
      <c r="X448" s="56" t="n"/>
      <c r="Y448" s="56" t="n"/>
      <c r="Z448" s="56" t="n"/>
      <c r="AA448" s="56"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56" t="n"/>
      <c r="T449" s="56" t="n"/>
      <c r="U449" s="56" t="n"/>
      <c r="V449" s="56" t="n"/>
      <c r="W449" s="56" t="n"/>
      <c r="X449" s="56" t="n"/>
      <c r="Y449" s="56" t="n"/>
      <c r="Z449" s="56" t="n"/>
      <c r="AA449" s="56"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56" t="n"/>
      <c r="T450" s="56" t="n"/>
      <c r="U450" s="56" t="n"/>
      <c r="V450" s="56" t="n"/>
      <c r="W450" s="56" t="n"/>
      <c r="X450" s="56" t="n"/>
      <c r="Y450" s="56" t="n"/>
      <c r="Z450" s="56" t="n"/>
      <c r="AA450" s="56"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56" t="n"/>
      <c r="T451" s="56" t="n"/>
      <c r="U451" s="56" t="n"/>
      <c r="V451" s="56" t="n"/>
      <c r="W451" s="56" t="n"/>
      <c r="X451" s="56" t="n"/>
      <c r="Y451" s="56" t="n"/>
      <c r="Z451" s="56" t="n"/>
      <c r="AA451" s="56"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56" t="n"/>
      <c r="T452" s="56" t="n"/>
      <c r="U452" s="56" t="n"/>
      <c r="V452" s="56" t="n"/>
      <c r="W452" s="56" t="n"/>
      <c r="X452" s="56" t="n"/>
      <c r="Y452" s="56" t="n"/>
      <c r="Z452" s="56" t="n"/>
      <c r="AA452" s="56"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56" t="n"/>
      <c r="T453" s="56" t="n"/>
      <c r="U453" s="56" t="n"/>
      <c r="V453" s="56" t="n"/>
      <c r="W453" s="56" t="n"/>
      <c r="X453" s="56" t="n"/>
      <c r="Y453" s="56" t="n"/>
      <c r="Z453" s="56" t="n"/>
      <c r="AA453" s="56"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56" t="n"/>
      <c r="T454" s="56" t="n"/>
      <c r="U454" s="56" t="n"/>
      <c r="V454" s="56" t="n"/>
      <c r="W454" s="56" t="n"/>
      <c r="X454" s="56" t="n"/>
      <c r="Y454" s="56" t="n"/>
      <c r="Z454" s="56" t="n"/>
      <c r="AA454" s="56"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56" t="n"/>
      <c r="T455" s="56" t="n"/>
      <c r="U455" s="56" t="n"/>
      <c r="V455" s="56" t="n"/>
      <c r="W455" s="56" t="n"/>
      <c r="X455" s="56" t="n"/>
      <c r="Y455" s="56" t="n"/>
      <c r="Z455" s="56" t="n"/>
      <c r="AA455" s="56"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56" t="n"/>
      <c r="T456" s="56" t="n"/>
      <c r="U456" s="56" t="n"/>
      <c r="V456" s="56" t="n"/>
      <c r="W456" s="56" t="n"/>
      <c r="X456" s="56" t="n"/>
      <c r="Y456" s="56" t="n"/>
      <c r="Z456" s="56" t="n"/>
      <c r="AA456" s="56"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56" t="n"/>
      <c r="T457" s="56" t="n"/>
      <c r="U457" s="56" t="n"/>
      <c r="V457" s="56" t="n"/>
      <c r="W457" s="56" t="n"/>
      <c r="X457" s="56" t="n"/>
      <c r="Y457" s="56" t="n"/>
      <c r="Z457" s="56" t="n"/>
      <c r="AA457" s="56"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56" t="n"/>
      <c r="T458" s="56" t="n"/>
      <c r="U458" s="56" t="n"/>
      <c r="V458" s="56" t="n"/>
      <c r="W458" s="56" t="n"/>
      <c r="X458" s="56" t="n"/>
      <c r="Y458" s="56" t="n"/>
      <c r="Z458" s="56" t="n"/>
      <c r="AA458" s="56"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56" t="n"/>
      <c r="T459" s="56" t="n"/>
      <c r="U459" s="56" t="n"/>
      <c r="V459" s="56" t="n"/>
      <c r="W459" s="56" t="n"/>
      <c r="X459" s="56" t="n"/>
      <c r="Y459" s="56" t="n"/>
      <c r="Z459" s="56" t="n"/>
      <c r="AA459" s="56"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56" t="n"/>
      <c r="T460" s="56" t="n"/>
      <c r="U460" s="56" t="n"/>
      <c r="V460" s="56" t="n"/>
      <c r="W460" s="56" t="n"/>
      <c r="X460" s="56" t="n"/>
      <c r="Y460" s="56" t="n"/>
      <c r="Z460" s="56" t="n"/>
      <c r="AA460" s="56"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56" t="n"/>
      <c r="T461" s="56" t="n"/>
      <c r="U461" s="56" t="n"/>
      <c r="V461" s="56" t="n"/>
      <c r="W461" s="56" t="n"/>
      <c r="X461" s="56" t="n"/>
      <c r="Y461" s="56" t="n"/>
      <c r="Z461" s="56" t="n"/>
      <c r="AA461" s="56"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56" t="n"/>
      <c r="T462" s="56" t="n"/>
      <c r="U462" s="56" t="n"/>
      <c r="V462" s="56" t="n"/>
      <c r="W462" s="56" t="n"/>
      <c r="X462" s="56" t="n"/>
      <c r="Y462" s="56" t="n"/>
      <c r="Z462" s="56" t="n"/>
      <c r="AA462" s="56"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56" t="n"/>
      <c r="T463" s="56" t="n"/>
      <c r="U463" s="56" t="n"/>
      <c r="V463" s="56" t="n"/>
      <c r="W463" s="56" t="n"/>
      <c r="X463" s="56" t="n"/>
      <c r="Y463" s="56" t="n"/>
      <c r="Z463" s="56" t="n"/>
      <c r="AA463" s="56"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56" t="n"/>
      <c r="T464" s="56" t="n"/>
      <c r="U464" s="56" t="n"/>
      <c r="V464" s="56" t="n"/>
      <c r="W464" s="56" t="n"/>
      <c r="X464" s="56" t="n"/>
      <c r="Y464" s="56" t="n"/>
      <c r="Z464" s="56" t="n"/>
      <c r="AA464" s="56"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56" t="n"/>
      <c r="T465" s="56" t="n"/>
      <c r="U465" s="56" t="n"/>
      <c r="V465" s="56" t="n"/>
      <c r="W465" s="56" t="n"/>
      <c r="X465" s="56" t="n"/>
      <c r="Y465" s="56" t="n"/>
      <c r="Z465" s="56" t="n"/>
      <c r="AA465" s="56"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56" t="n"/>
      <c r="T466" s="56" t="n"/>
      <c r="U466" s="56" t="n"/>
      <c r="V466" s="56" t="n"/>
      <c r="W466" s="56" t="n"/>
      <c r="X466" s="56" t="n"/>
      <c r="Y466" s="56" t="n"/>
      <c r="Z466" s="56" t="n"/>
      <c r="AA466" s="56"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56" t="n"/>
      <c r="T467" s="56" t="n"/>
      <c r="U467" s="56" t="n"/>
      <c r="V467" s="56" t="n"/>
      <c r="W467" s="56" t="n"/>
      <c r="X467" s="56" t="n"/>
      <c r="Y467" s="56" t="n"/>
      <c r="Z467" s="56" t="n"/>
      <c r="AA467" s="56"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56" t="n"/>
      <c r="T468" s="56" t="n"/>
      <c r="U468" s="56" t="n"/>
      <c r="V468" s="56" t="n"/>
      <c r="W468" s="56" t="n"/>
      <c r="X468" s="56" t="n"/>
      <c r="Y468" s="56" t="n"/>
      <c r="Z468" s="56" t="n"/>
      <c r="AA468" s="56"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56" t="n"/>
      <c r="T469" s="56" t="n"/>
      <c r="U469" s="56" t="n"/>
      <c r="V469" s="56" t="n"/>
      <c r="W469" s="56" t="n"/>
      <c r="X469" s="56" t="n"/>
      <c r="Y469" s="56" t="n"/>
      <c r="Z469" s="56" t="n"/>
      <c r="AA469" s="56"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56" t="n"/>
      <c r="T470" s="56" t="n"/>
      <c r="U470" s="56" t="n"/>
      <c r="V470" s="56" t="n"/>
      <c r="W470" s="56" t="n"/>
      <c r="X470" s="56" t="n"/>
      <c r="Y470" s="56" t="n"/>
      <c r="Z470" s="56" t="n"/>
      <c r="AA470" s="56"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56" t="n"/>
      <c r="T471" s="56" t="n"/>
      <c r="U471" s="56" t="n"/>
      <c r="V471" s="56" t="n"/>
      <c r="W471" s="56" t="n"/>
      <c r="X471" s="56" t="n"/>
      <c r="Y471" s="56" t="n"/>
      <c r="Z471" s="56" t="n"/>
      <c r="AA471" s="56"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56" t="n"/>
      <c r="T472" s="56" t="n"/>
      <c r="U472" s="56" t="n"/>
      <c r="V472" s="56" t="n"/>
      <c r="W472" s="56" t="n"/>
      <c r="X472" s="56" t="n"/>
      <c r="Y472" s="56" t="n"/>
      <c r="Z472" s="56" t="n"/>
      <c r="AA472" s="56"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56" t="n"/>
      <c r="T473" s="56" t="n"/>
      <c r="U473" s="56" t="n"/>
      <c r="V473" s="56" t="n"/>
      <c r="W473" s="56" t="n"/>
      <c r="X473" s="56" t="n"/>
      <c r="Y473" s="56" t="n"/>
      <c r="Z473" s="56" t="n"/>
      <c r="AA473" s="56"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56" t="n"/>
      <c r="T474" s="56" t="n"/>
      <c r="U474" s="56" t="n"/>
      <c r="V474" s="56" t="n"/>
      <c r="W474" s="56" t="n"/>
      <c r="X474" s="56" t="n"/>
      <c r="Y474" s="56" t="n"/>
      <c r="Z474" s="56" t="n"/>
      <c r="AA474" s="56"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56" t="n"/>
      <c r="T475" s="56" t="n"/>
      <c r="U475" s="56" t="n"/>
      <c r="V475" s="56" t="n"/>
      <c r="W475" s="56" t="n"/>
      <c r="X475" s="56" t="n"/>
      <c r="Y475" s="56" t="n"/>
      <c r="Z475" s="56" t="n"/>
      <c r="AA475" s="56"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56" t="n"/>
      <c r="T476" s="56" t="n"/>
      <c r="U476" s="56" t="n"/>
      <c r="V476" s="56" t="n"/>
      <c r="W476" s="56" t="n"/>
      <c r="X476" s="56" t="n"/>
      <c r="Y476" s="56" t="n"/>
      <c r="Z476" s="56" t="n"/>
      <c r="AA476" s="56"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56" t="n"/>
      <c r="T477" s="56" t="n"/>
      <c r="U477" s="56" t="n"/>
      <c r="V477" s="56" t="n"/>
      <c r="W477" s="56" t="n"/>
      <c r="X477" s="56" t="n"/>
      <c r="Y477" s="56" t="n"/>
      <c r="Z477" s="56" t="n"/>
      <c r="AA477" s="56"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56" t="n"/>
      <c r="T478" s="56" t="n"/>
      <c r="U478" s="56" t="n"/>
      <c r="V478" s="56" t="n"/>
      <c r="W478" s="56" t="n"/>
      <c r="X478" s="56" t="n"/>
      <c r="Y478" s="56" t="n"/>
      <c r="Z478" s="56" t="n"/>
      <c r="AA478" s="56"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56" t="n"/>
      <c r="T479" s="56" t="n"/>
      <c r="U479" s="56" t="n"/>
      <c r="V479" s="56" t="n"/>
      <c r="W479" s="56" t="n"/>
      <c r="X479" s="56" t="n"/>
      <c r="Y479" s="56" t="n"/>
      <c r="Z479" s="56" t="n"/>
      <c r="AA479" s="56"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56" t="n"/>
      <c r="T480" s="56" t="n"/>
      <c r="U480" s="56" t="n"/>
      <c r="V480" s="56" t="n"/>
      <c r="W480" s="56" t="n"/>
      <c r="X480" s="56" t="n"/>
      <c r="Y480" s="56" t="n"/>
      <c r="Z480" s="56" t="n"/>
      <c r="AA480" s="56"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56" t="n"/>
      <c r="T481" s="56" t="n"/>
      <c r="U481" s="56" t="n"/>
      <c r="V481" s="56" t="n"/>
      <c r="W481" s="56" t="n"/>
      <c r="X481" s="56" t="n"/>
      <c r="Y481" s="56" t="n"/>
      <c r="Z481" s="56" t="n"/>
      <c r="AA481" s="56"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56" t="n"/>
      <c r="T482" s="56" t="n"/>
      <c r="U482" s="56" t="n"/>
      <c r="V482" s="56" t="n"/>
      <c r="W482" s="56" t="n"/>
      <c r="X482" s="56" t="n"/>
      <c r="Y482" s="56" t="n"/>
      <c r="Z482" s="56" t="n"/>
      <c r="AA482" s="56"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56" t="n"/>
      <c r="T483" s="56" t="n"/>
      <c r="U483" s="56" t="n"/>
      <c r="V483" s="56" t="n"/>
      <c r="W483" s="56" t="n"/>
      <c r="X483" s="56" t="n"/>
      <c r="Y483" s="56" t="n"/>
      <c r="Z483" s="56" t="n"/>
      <c r="AA483" s="56"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56" t="n"/>
      <c r="T484" s="56" t="n"/>
      <c r="U484" s="56" t="n"/>
      <c r="V484" s="56" t="n"/>
      <c r="W484" s="56" t="n"/>
      <c r="X484" s="56" t="n"/>
      <c r="Y484" s="56" t="n"/>
      <c r="Z484" s="56" t="n"/>
      <c r="AA484" s="56"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56" t="n"/>
      <c r="T485" s="56" t="n"/>
      <c r="U485" s="56" t="n"/>
      <c r="V485" s="56" t="n"/>
      <c r="W485" s="56" t="n"/>
      <c r="X485" s="56" t="n"/>
      <c r="Y485" s="56" t="n"/>
      <c r="Z485" s="56" t="n"/>
      <c r="AA485" s="56"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56" t="n"/>
      <c r="T486" s="56" t="n"/>
      <c r="U486" s="56" t="n"/>
      <c r="V486" s="56" t="n"/>
      <c r="W486" s="56" t="n"/>
      <c r="X486" s="56" t="n"/>
      <c r="Y486" s="56" t="n"/>
      <c r="Z486" s="56" t="n"/>
      <c r="AA486" s="56"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56" t="n"/>
      <c r="T487" s="56" t="n"/>
      <c r="U487" s="56" t="n"/>
      <c r="V487" s="56" t="n"/>
      <c r="W487" s="56" t="n"/>
      <c r="X487" s="56" t="n"/>
      <c r="Y487" s="56" t="n"/>
      <c r="Z487" s="56" t="n"/>
      <c r="AA487" s="56"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56" t="n"/>
      <c r="T488" s="56" t="n"/>
      <c r="U488" s="56" t="n"/>
      <c r="V488" s="56" t="n"/>
      <c r="W488" s="56" t="n"/>
      <c r="X488" s="56" t="n"/>
      <c r="Y488" s="56" t="n"/>
      <c r="Z488" s="56" t="n"/>
      <c r="AA488" s="56"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56" t="n"/>
      <c r="T489" s="56" t="n"/>
      <c r="U489" s="56" t="n"/>
      <c r="V489" s="56" t="n"/>
      <c r="W489" s="56" t="n"/>
      <c r="X489" s="56" t="n"/>
      <c r="Y489" s="56" t="n"/>
      <c r="Z489" s="56" t="n"/>
      <c r="AA489" s="56"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56" t="n"/>
      <c r="T490" s="56" t="n"/>
      <c r="U490" s="56" t="n"/>
      <c r="V490" s="56" t="n"/>
      <c r="W490" s="56" t="n"/>
      <c r="X490" s="56" t="n"/>
      <c r="Y490" s="56" t="n"/>
      <c r="Z490" s="56" t="n"/>
      <c r="AA490" s="56"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56" t="n"/>
      <c r="T491" s="56" t="n"/>
      <c r="U491" s="56" t="n"/>
      <c r="V491" s="56" t="n"/>
      <c r="W491" s="56" t="n"/>
      <c r="X491" s="56" t="n"/>
      <c r="Y491" s="56" t="n"/>
      <c r="Z491" s="56" t="n"/>
      <c r="AA491" s="56"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56" t="n"/>
      <c r="T492" s="56" t="n"/>
      <c r="U492" s="56" t="n"/>
      <c r="V492" s="56" t="n"/>
      <c r="W492" s="56" t="n"/>
      <c r="X492" s="56" t="n"/>
      <c r="Y492" s="56" t="n"/>
      <c r="Z492" s="56" t="n"/>
      <c r="AA492" s="56"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56" t="n"/>
      <c r="T493" s="56" t="n"/>
      <c r="U493" s="56" t="n"/>
      <c r="V493" s="56" t="n"/>
      <c r="W493" s="56" t="n"/>
      <c r="X493" s="56" t="n"/>
      <c r="Y493" s="56" t="n"/>
      <c r="Z493" s="56" t="n"/>
      <c r="AA493" s="56"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56" t="n"/>
      <c r="T494" s="56" t="n"/>
      <c r="U494" s="56" t="n"/>
      <c r="V494" s="56" t="n"/>
      <c r="W494" s="56" t="n"/>
      <c r="X494" s="56" t="n"/>
      <c r="Y494" s="56" t="n"/>
      <c r="Z494" s="56" t="n"/>
      <c r="AA494" s="56"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56" t="n"/>
      <c r="T495" s="56" t="n"/>
      <c r="U495" s="56" t="n"/>
      <c r="V495" s="56" t="n"/>
      <c r="W495" s="56" t="n"/>
      <c r="X495" s="56" t="n"/>
      <c r="Y495" s="56" t="n"/>
      <c r="Z495" s="56" t="n"/>
      <c r="AA495" s="56"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56" t="n"/>
      <c r="T496" s="56" t="n"/>
      <c r="U496" s="56" t="n"/>
      <c r="V496" s="56" t="n"/>
      <c r="W496" s="56" t="n"/>
      <c r="X496" s="56" t="n"/>
      <c r="Y496" s="56" t="n"/>
      <c r="Z496" s="56" t="n"/>
      <c r="AA496" s="56"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56" t="n"/>
      <c r="T497" s="56" t="n"/>
      <c r="U497" s="56" t="n"/>
      <c r="V497" s="56" t="n"/>
      <c r="W497" s="56" t="n"/>
      <c r="X497" s="56" t="n"/>
      <c r="Y497" s="56" t="n"/>
      <c r="Z497" s="56" t="n"/>
      <c r="AA497" s="56"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56" t="n"/>
      <c r="T498" s="56" t="n"/>
      <c r="U498" s="56" t="n"/>
      <c r="V498" s="56" t="n"/>
      <c r="W498" s="56" t="n"/>
      <c r="X498" s="56" t="n"/>
      <c r="Y498" s="56" t="n"/>
      <c r="Z498" s="56" t="n"/>
      <c r="AA498" s="56"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56" t="n"/>
      <c r="T499" s="56" t="n"/>
      <c r="U499" s="56" t="n"/>
      <c r="V499" s="56" t="n"/>
      <c r="W499" s="56" t="n"/>
      <c r="X499" s="56" t="n"/>
      <c r="Y499" s="56" t="n"/>
      <c r="Z499" s="56" t="n"/>
      <c r="AA499" s="56"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56" t="n"/>
      <c r="T500" s="56" t="n"/>
      <c r="U500" s="56" t="n"/>
      <c r="V500" s="56" t="n"/>
      <c r="W500" s="56" t="n"/>
      <c r="X500" s="56" t="n"/>
      <c r="Y500" s="56" t="n"/>
      <c r="Z500" s="56" t="n"/>
      <c r="AA500" s="56"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56" t="n"/>
      <c r="T501" s="56" t="n"/>
      <c r="U501" s="56" t="n"/>
      <c r="V501" s="56" t="n"/>
      <c r="W501" s="56" t="n"/>
      <c r="X501" s="56" t="n"/>
      <c r="Y501" s="56" t="n"/>
      <c r="Z501" s="56" t="n"/>
      <c r="AA501" s="56"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56" t="n"/>
      <c r="T502" s="56" t="n"/>
      <c r="U502" s="56" t="n"/>
      <c r="V502" s="56" t="n"/>
      <c r="W502" s="56" t="n"/>
      <c r="X502" s="56" t="n"/>
      <c r="Y502" s="56" t="n"/>
      <c r="Z502" s="56" t="n"/>
      <c r="AA502" s="56"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56" t="n"/>
      <c r="T503" s="56" t="n"/>
      <c r="U503" s="56" t="n"/>
      <c r="V503" s="56" t="n"/>
      <c r="W503" s="56" t="n"/>
      <c r="X503" s="56" t="n"/>
      <c r="Y503" s="56" t="n"/>
      <c r="Z503" s="56" t="n"/>
      <c r="AA503" s="56"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56" t="n"/>
      <c r="T504" s="56" t="n"/>
      <c r="U504" s="56" t="n"/>
      <c r="V504" s="56" t="n"/>
      <c r="W504" s="56" t="n"/>
      <c r="X504" s="56" t="n"/>
      <c r="Y504" s="56" t="n"/>
      <c r="Z504" s="56" t="n"/>
      <c r="AA504" s="56"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56" t="n"/>
      <c r="T505" s="56" t="n"/>
      <c r="U505" s="56" t="n"/>
      <c r="V505" s="56" t="n"/>
      <c r="W505" s="56" t="n"/>
      <c r="X505" s="56" t="n"/>
      <c r="Y505" s="56" t="n"/>
      <c r="Z505" s="56" t="n"/>
      <c r="AA505" s="56"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56" t="n"/>
      <c r="T506" s="56" t="n"/>
      <c r="U506" s="56" t="n"/>
      <c r="V506" s="56" t="n"/>
      <c r="W506" s="56" t="n"/>
      <c r="X506" s="56" t="n"/>
      <c r="Y506" s="56" t="n"/>
      <c r="Z506" s="56" t="n"/>
      <c r="AA506" s="56"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56" t="n"/>
      <c r="T507" s="56" t="n"/>
      <c r="U507" s="56" t="n"/>
      <c r="V507" s="56" t="n"/>
      <c r="W507" s="56" t="n"/>
      <c r="X507" s="56" t="n"/>
      <c r="Y507" s="56" t="n"/>
      <c r="Z507" s="56" t="n"/>
      <c r="AA507" s="56"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56" t="n"/>
      <c r="T508" s="56" t="n"/>
      <c r="U508" s="56" t="n"/>
      <c r="V508" s="56" t="n"/>
      <c r="W508" s="56" t="n"/>
      <c r="X508" s="56" t="n"/>
      <c r="Y508" s="56" t="n"/>
      <c r="Z508" s="56" t="n"/>
      <c r="AA508" s="56"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56" t="n"/>
      <c r="T509" s="56" t="n"/>
      <c r="U509" s="56" t="n"/>
      <c r="V509" s="56" t="n"/>
      <c r="W509" s="56" t="n"/>
      <c r="X509" s="56" t="n"/>
      <c r="Y509" s="56" t="n"/>
      <c r="Z509" s="56" t="n"/>
      <c r="AA509" s="56"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56" t="n"/>
      <c r="T510" s="56" t="n"/>
      <c r="U510" s="56" t="n"/>
      <c r="V510" s="56" t="n"/>
      <c r="W510" s="56" t="n"/>
      <c r="X510" s="56" t="n"/>
      <c r="Y510" s="56" t="n"/>
      <c r="Z510" s="56" t="n"/>
      <c r="AA510" s="56"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56" t="n"/>
      <c r="T511" s="56" t="n"/>
      <c r="U511" s="56" t="n"/>
      <c r="V511" s="56" t="n"/>
      <c r="W511" s="56" t="n"/>
      <c r="X511" s="56" t="n"/>
      <c r="Y511" s="56" t="n"/>
      <c r="Z511" s="56" t="n"/>
      <c r="AA511" s="56"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56" t="n"/>
      <c r="T512" s="56" t="n"/>
      <c r="U512" s="56" t="n"/>
      <c r="V512" s="56" t="n"/>
      <c r="W512" s="56" t="n"/>
      <c r="X512" s="56" t="n"/>
      <c r="Y512" s="56" t="n"/>
      <c r="Z512" s="56" t="n"/>
      <c r="AA512" s="56"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56" t="n"/>
      <c r="T513" s="56" t="n"/>
      <c r="U513" s="56" t="n"/>
      <c r="V513" s="56" t="n"/>
      <c r="W513" s="56" t="n"/>
      <c r="X513" s="56" t="n"/>
      <c r="Y513" s="56" t="n"/>
      <c r="Z513" s="56" t="n"/>
      <c r="AA513" s="56"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56" t="n"/>
      <c r="T514" s="56" t="n"/>
      <c r="U514" s="56" t="n"/>
      <c r="V514" s="56" t="n"/>
      <c r="W514" s="56" t="n"/>
      <c r="X514" s="56" t="n"/>
      <c r="Y514" s="56" t="n"/>
      <c r="Z514" s="56" t="n"/>
      <c r="AA514" s="56"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56" t="n"/>
      <c r="T515" s="56" t="n"/>
      <c r="U515" s="56" t="n"/>
      <c r="V515" s="56" t="n"/>
      <c r="W515" s="56" t="n"/>
      <c r="X515" s="56" t="n"/>
      <c r="Y515" s="56" t="n"/>
      <c r="Z515" s="56" t="n"/>
      <c r="AA515" s="56"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56" t="n"/>
      <c r="T516" s="56" t="n"/>
      <c r="U516" s="56" t="n"/>
      <c r="V516" s="56" t="n"/>
      <c r="W516" s="56" t="n"/>
      <c r="X516" s="56" t="n"/>
      <c r="Y516" s="56" t="n"/>
      <c r="Z516" s="56" t="n"/>
      <c r="AA516" s="56"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56" t="n"/>
      <c r="T517" s="56" t="n"/>
      <c r="U517" s="56" t="n"/>
      <c r="V517" s="56" t="n"/>
      <c r="W517" s="56" t="n"/>
      <c r="X517" s="56" t="n"/>
      <c r="Y517" s="56" t="n"/>
      <c r="Z517" s="56" t="n"/>
      <c r="AA517" s="56"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56" t="n"/>
      <c r="T518" s="56" t="n"/>
      <c r="U518" s="56" t="n"/>
      <c r="V518" s="56" t="n"/>
      <c r="W518" s="56" t="n"/>
      <c r="X518" s="56" t="n"/>
      <c r="Y518" s="56" t="n"/>
      <c r="Z518" s="56" t="n"/>
      <c r="AA518" s="56"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56" t="n"/>
      <c r="T519" s="56" t="n"/>
      <c r="U519" s="56" t="n"/>
      <c r="V519" s="56" t="n"/>
      <c r="W519" s="56" t="n"/>
      <c r="X519" s="56" t="n"/>
      <c r="Y519" s="56" t="n"/>
      <c r="Z519" s="56" t="n"/>
      <c r="AA519" s="56"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56" t="n"/>
      <c r="T520" s="56" t="n"/>
      <c r="U520" s="56" t="n"/>
      <c r="V520" s="56" t="n"/>
      <c r="W520" s="56" t="n"/>
      <c r="X520" s="56" t="n"/>
      <c r="Y520" s="56" t="n"/>
      <c r="Z520" s="56" t="n"/>
      <c r="AA520" s="56"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56" t="n"/>
      <c r="T521" s="56" t="n"/>
      <c r="U521" s="56" t="n"/>
      <c r="V521" s="56" t="n"/>
      <c r="W521" s="56" t="n"/>
      <c r="X521" s="56" t="n"/>
      <c r="Y521" s="56" t="n"/>
      <c r="Z521" s="56" t="n"/>
      <c r="AA521" s="56"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56" t="n"/>
      <c r="T522" s="56" t="n"/>
      <c r="U522" s="56" t="n"/>
      <c r="V522" s="56" t="n"/>
      <c r="W522" s="56" t="n"/>
      <c r="X522" s="56" t="n"/>
      <c r="Y522" s="56" t="n"/>
      <c r="Z522" s="56" t="n"/>
      <c r="AA522" s="56"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56" t="n"/>
      <c r="T523" s="56" t="n"/>
      <c r="U523" s="56" t="n"/>
      <c r="V523" s="56" t="n"/>
      <c r="W523" s="56" t="n"/>
      <c r="X523" s="56" t="n"/>
      <c r="Y523" s="56" t="n"/>
      <c r="Z523" s="56" t="n"/>
      <c r="AA523" s="56"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56" t="n"/>
      <c r="T524" s="56" t="n"/>
      <c r="U524" s="56" t="n"/>
      <c r="V524" s="56" t="n"/>
      <c r="W524" s="56" t="n"/>
      <c r="X524" s="56" t="n"/>
      <c r="Y524" s="56" t="n"/>
      <c r="Z524" s="56" t="n"/>
      <c r="AA524" s="56"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56" t="n"/>
      <c r="T525" s="56" t="n"/>
      <c r="U525" s="56" t="n"/>
      <c r="V525" s="56" t="n"/>
      <c r="W525" s="56" t="n"/>
      <c r="X525" s="56" t="n"/>
      <c r="Y525" s="56" t="n"/>
      <c r="Z525" s="56" t="n"/>
      <c r="AA525" s="56"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56" t="n"/>
      <c r="T526" s="56" t="n"/>
      <c r="U526" s="56" t="n"/>
      <c r="V526" s="56" t="n"/>
      <c r="W526" s="56" t="n"/>
      <c r="X526" s="56" t="n"/>
      <c r="Y526" s="56" t="n"/>
      <c r="Z526" s="56" t="n"/>
      <c r="AA526" s="56"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56" t="n"/>
      <c r="T527" s="56" t="n"/>
      <c r="U527" s="56" t="n"/>
      <c r="V527" s="56" t="n"/>
      <c r="W527" s="56" t="n"/>
      <c r="X527" s="56" t="n"/>
      <c r="Y527" s="56" t="n"/>
      <c r="Z527" s="56" t="n"/>
      <c r="AA527" s="56"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56" t="n"/>
      <c r="T528" s="56" t="n"/>
      <c r="U528" s="56" t="n"/>
      <c r="V528" s="56" t="n"/>
      <c r="W528" s="56" t="n"/>
      <c r="X528" s="56" t="n"/>
      <c r="Y528" s="56" t="n"/>
      <c r="Z528" s="56" t="n"/>
      <c r="AA528" s="56"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56" t="n"/>
      <c r="T529" s="56" t="n"/>
      <c r="U529" s="56" t="n"/>
      <c r="V529" s="56" t="n"/>
      <c r="W529" s="56" t="n"/>
      <c r="X529" s="56" t="n"/>
      <c r="Y529" s="56" t="n"/>
      <c r="Z529" s="56" t="n"/>
      <c r="AA529" s="56"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56" t="n"/>
      <c r="T530" s="56" t="n"/>
      <c r="U530" s="56" t="n"/>
      <c r="V530" s="56" t="n"/>
      <c r="W530" s="56" t="n"/>
      <c r="X530" s="56" t="n"/>
      <c r="Y530" s="56" t="n"/>
      <c r="Z530" s="56" t="n"/>
      <c r="AA530" s="56"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56" t="n"/>
      <c r="T531" s="56" t="n"/>
      <c r="U531" s="56" t="n"/>
      <c r="V531" s="56" t="n"/>
      <c r="W531" s="56" t="n"/>
      <c r="X531" s="56" t="n"/>
      <c r="Y531" s="56" t="n"/>
      <c r="Z531" s="56" t="n"/>
      <c r="AA531" s="56"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56" t="n"/>
      <c r="T532" s="56" t="n"/>
      <c r="U532" s="56" t="n"/>
      <c r="V532" s="56" t="n"/>
      <c r="W532" s="56" t="n"/>
      <c r="X532" s="56" t="n"/>
      <c r="Y532" s="56" t="n"/>
      <c r="Z532" s="56" t="n"/>
      <c r="AA532" s="56"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56" t="n"/>
      <c r="T533" s="56" t="n"/>
      <c r="U533" s="56" t="n"/>
      <c r="V533" s="56" t="n"/>
      <c r="W533" s="56" t="n"/>
      <c r="X533" s="56" t="n"/>
      <c r="Y533" s="56" t="n"/>
      <c r="Z533" s="56" t="n"/>
      <c r="AA533" s="56"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56" t="n"/>
      <c r="T534" s="56" t="n"/>
      <c r="U534" s="56" t="n"/>
      <c r="V534" s="56" t="n"/>
      <c r="W534" s="56" t="n"/>
      <c r="X534" s="56" t="n"/>
      <c r="Y534" s="56" t="n"/>
      <c r="Z534" s="56" t="n"/>
      <c r="AA534" s="56"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56" t="n"/>
      <c r="T535" s="56" t="n"/>
      <c r="U535" s="56" t="n"/>
      <c r="V535" s="56" t="n"/>
      <c r="W535" s="56" t="n"/>
      <c r="X535" s="56" t="n"/>
      <c r="Y535" s="56" t="n"/>
      <c r="Z535" s="56" t="n"/>
      <c r="AA535" s="56"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56" t="n"/>
      <c r="T536" s="56" t="n"/>
      <c r="U536" s="56" t="n"/>
      <c r="V536" s="56" t="n"/>
      <c r="W536" s="56" t="n"/>
      <c r="X536" s="56" t="n"/>
      <c r="Y536" s="56" t="n"/>
      <c r="Z536" s="56" t="n"/>
      <c r="AA536" s="56"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56" t="n"/>
      <c r="T537" s="56" t="n"/>
      <c r="U537" s="56" t="n"/>
      <c r="V537" s="56" t="n"/>
      <c r="W537" s="56" t="n"/>
      <c r="X537" s="56" t="n"/>
      <c r="Y537" s="56" t="n"/>
      <c r="Z537" s="56" t="n"/>
      <c r="AA537" s="56"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56" t="n"/>
      <c r="T538" s="56" t="n"/>
      <c r="U538" s="56" t="n"/>
      <c r="V538" s="56" t="n"/>
      <c r="W538" s="56" t="n"/>
      <c r="X538" s="56" t="n"/>
      <c r="Y538" s="56" t="n"/>
      <c r="Z538" s="56" t="n"/>
      <c r="AA538" s="56"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56" t="n"/>
      <c r="T539" s="56" t="n"/>
      <c r="U539" s="56" t="n"/>
      <c r="V539" s="56" t="n"/>
      <c r="W539" s="56" t="n"/>
      <c r="X539" s="56" t="n"/>
      <c r="Y539" s="56" t="n"/>
      <c r="Z539" s="56" t="n"/>
      <c r="AA539" s="56"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56" t="n"/>
      <c r="T540" s="56" t="n"/>
      <c r="U540" s="56" t="n"/>
      <c r="V540" s="56" t="n"/>
      <c r="W540" s="56" t="n"/>
      <c r="X540" s="56" t="n"/>
      <c r="Y540" s="56" t="n"/>
      <c r="Z540" s="56" t="n"/>
      <c r="AA540" s="56"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56" t="n"/>
      <c r="T541" s="56" t="n"/>
      <c r="U541" s="56" t="n"/>
      <c r="V541" s="56" t="n"/>
      <c r="W541" s="56" t="n"/>
      <c r="X541" s="56" t="n"/>
      <c r="Y541" s="56" t="n"/>
      <c r="Z541" s="56" t="n"/>
      <c r="AA541" s="56"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56" t="n"/>
      <c r="T542" s="56" t="n"/>
      <c r="U542" s="56" t="n"/>
      <c r="V542" s="56" t="n"/>
      <c r="W542" s="56" t="n"/>
      <c r="X542" s="56" t="n"/>
      <c r="Y542" s="56" t="n"/>
      <c r="Z542" s="56" t="n"/>
      <c r="AA542" s="56"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56" t="n"/>
      <c r="T543" s="56" t="n"/>
      <c r="U543" s="56" t="n"/>
      <c r="V543" s="56" t="n"/>
      <c r="W543" s="56" t="n"/>
      <c r="X543" s="56" t="n"/>
      <c r="Y543" s="56" t="n"/>
      <c r="Z543" s="56" t="n"/>
      <c r="AA543" s="56"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56" t="n"/>
      <c r="T544" s="56" t="n"/>
      <c r="U544" s="56" t="n"/>
      <c r="V544" s="56" t="n"/>
      <c r="W544" s="56" t="n"/>
      <c r="X544" s="56" t="n"/>
      <c r="Y544" s="56" t="n"/>
      <c r="Z544" s="56" t="n"/>
      <c r="AA544" s="56"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56" t="n"/>
      <c r="T545" s="56" t="n"/>
      <c r="U545" s="56" t="n"/>
      <c r="V545" s="56" t="n"/>
      <c r="W545" s="56" t="n"/>
      <c r="X545" s="56" t="n"/>
      <c r="Y545" s="56" t="n"/>
      <c r="Z545" s="56" t="n"/>
      <c r="AA545" s="56"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56" t="n"/>
      <c r="T546" s="56" t="n"/>
      <c r="U546" s="56" t="n"/>
      <c r="V546" s="56" t="n"/>
      <c r="W546" s="56" t="n"/>
      <c r="X546" s="56" t="n"/>
      <c r="Y546" s="56" t="n"/>
      <c r="Z546" s="56" t="n"/>
      <c r="AA546" s="56"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56" t="n"/>
      <c r="T547" s="56" t="n"/>
      <c r="U547" s="56" t="n"/>
      <c r="V547" s="56" t="n"/>
      <c r="W547" s="56" t="n"/>
      <c r="X547" s="56" t="n"/>
      <c r="Y547" s="56" t="n"/>
      <c r="Z547" s="56" t="n"/>
      <c r="AA547" s="56"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56" t="n"/>
      <c r="T548" s="56" t="n"/>
      <c r="U548" s="56" t="n"/>
      <c r="V548" s="56" t="n"/>
      <c r="W548" s="56" t="n"/>
      <c r="X548" s="56" t="n"/>
      <c r="Y548" s="56" t="n"/>
      <c r="Z548" s="56" t="n"/>
      <c r="AA548" s="56"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56" t="n"/>
      <c r="T549" s="56" t="n"/>
      <c r="U549" s="56" t="n"/>
      <c r="V549" s="56" t="n"/>
      <c r="W549" s="56" t="n"/>
      <c r="X549" s="56" t="n"/>
      <c r="Y549" s="56" t="n"/>
      <c r="Z549" s="56" t="n"/>
      <c r="AA549" s="56"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56" t="n"/>
      <c r="T550" s="56" t="n"/>
      <c r="U550" s="56" t="n"/>
      <c r="V550" s="56" t="n"/>
      <c r="W550" s="56" t="n"/>
      <c r="X550" s="56" t="n"/>
      <c r="Y550" s="56" t="n"/>
      <c r="Z550" s="56" t="n"/>
      <c r="AA550" s="56"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56" t="n"/>
      <c r="T551" s="56" t="n"/>
      <c r="U551" s="56" t="n"/>
      <c r="V551" s="56" t="n"/>
      <c r="W551" s="56" t="n"/>
      <c r="X551" s="56" t="n"/>
      <c r="Y551" s="56" t="n"/>
      <c r="Z551" s="56" t="n"/>
      <c r="AA551" s="56"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56" t="n"/>
      <c r="T552" s="56" t="n"/>
      <c r="U552" s="56" t="n"/>
      <c r="V552" s="56" t="n"/>
      <c r="W552" s="56" t="n"/>
      <c r="X552" s="56" t="n"/>
      <c r="Y552" s="56" t="n"/>
      <c r="Z552" s="56" t="n"/>
      <c r="AA552" s="56"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56" t="n"/>
      <c r="T553" s="56" t="n"/>
      <c r="U553" s="56" t="n"/>
      <c r="V553" s="56" t="n"/>
      <c r="W553" s="56" t="n"/>
      <c r="X553" s="56" t="n"/>
      <c r="Y553" s="56" t="n"/>
      <c r="Z553" s="56" t="n"/>
      <c r="AA553" s="56"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56" t="n"/>
      <c r="T554" s="56" t="n"/>
      <c r="U554" s="56" t="n"/>
      <c r="V554" s="56" t="n"/>
      <c r="W554" s="56" t="n"/>
      <c r="X554" s="56" t="n"/>
      <c r="Y554" s="56" t="n"/>
      <c r="Z554" s="56" t="n"/>
      <c r="AA554" s="56"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56" t="n"/>
      <c r="T555" s="56" t="n"/>
      <c r="U555" s="56" t="n"/>
      <c r="V555" s="56" t="n"/>
      <c r="W555" s="56" t="n"/>
      <c r="X555" s="56" t="n"/>
      <c r="Y555" s="56" t="n"/>
      <c r="Z555" s="56" t="n"/>
      <c r="AA555" s="56"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56" t="n"/>
      <c r="T556" s="56" t="n"/>
      <c r="U556" s="56" t="n"/>
      <c r="V556" s="56" t="n"/>
      <c r="W556" s="56" t="n"/>
      <c r="X556" s="56" t="n"/>
      <c r="Y556" s="56" t="n"/>
      <c r="Z556" s="56" t="n"/>
      <c r="AA556" s="56"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56" t="n"/>
      <c r="T557" s="56" t="n"/>
      <c r="U557" s="56" t="n"/>
      <c r="V557" s="56" t="n"/>
      <c r="W557" s="56" t="n"/>
      <c r="X557" s="56" t="n"/>
      <c r="Y557" s="56" t="n"/>
      <c r="Z557" s="56" t="n"/>
      <c r="AA557" s="56"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56" t="n"/>
      <c r="T558" s="56" t="n"/>
      <c r="U558" s="56" t="n"/>
      <c r="V558" s="56" t="n"/>
      <c r="W558" s="56" t="n"/>
      <c r="X558" s="56" t="n"/>
      <c r="Y558" s="56" t="n"/>
      <c r="Z558" s="56" t="n"/>
      <c r="AA558" s="56"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56" t="n"/>
      <c r="T559" s="56" t="n"/>
      <c r="U559" s="56" t="n"/>
      <c r="V559" s="56" t="n"/>
      <c r="W559" s="56" t="n"/>
      <c r="X559" s="56" t="n"/>
      <c r="Y559" s="56" t="n"/>
      <c r="Z559" s="56" t="n"/>
      <c r="AA559" s="56"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56" t="n"/>
      <c r="T560" s="56" t="n"/>
      <c r="U560" s="56" t="n"/>
      <c r="V560" s="56" t="n"/>
      <c r="W560" s="56" t="n"/>
      <c r="X560" s="56" t="n"/>
      <c r="Y560" s="56" t="n"/>
      <c r="Z560" s="56" t="n"/>
      <c r="AA560" s="56"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56" t="n"/>
      <c r="T561" s="56" t="n"/>
      <c r="U561" s="56" t="n"/>
      <c r="V561" s="56" t="n"/>
      <c r="W561" s="56" t="n"/>
      <c r="X561" s="56" t="n"/>
      <c r="Y561" s="56" t="n"/>
      <c r="Z561" s="56" t="n"/>
      <c r="AA561" s="56"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56" t="n"/>
      <c r="T562" s="56" t="n"/>
      <c r="U562" s="56" t="n"/>
      <c r="V562" s="56" t="n"/>
      <c r="W562" s="56" t="n"/>
      <c r="X562" s="56" t="n"/>
      <c r="Y562" s="56" t="n"/>
      <c r="Z562" s="56" t="n"/>
      <c r="AA562" s="56"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56" t="n"/>
      <c r="T563" s="56" t="n"/>
      <c r="U563" s="56" t="n"/>
      <c r="V563" s="56" t="n"/>
      <c r="W563" s="56" t="n"/>
      <c r="X563" s="56" t="n"/>
      <c r="Y563" s="56" t="n"/>
      <c r="Z563" s="56" t="n"/>
      <c r="AA563" s="56"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56" t="n"/>
      <c r="T564" s="56" t="n"/>
      <c r="U564" s="56" t="n"/>
      <c r="V564" s="56" t="n"/>
      <c r="W564" s="56" t="n"/>
      <c r="X564" s="56" t="n"/>
      <c r="Y564" s="56" t="n"/>
      <c r="Z564" s="56" t="n"/>
      <c r="AA564" s="56"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56" t="n"/>
      <c r="T565" s="56" t="n"/>
      <c r="U565" s="56" t="n"/>
      <c r="V565" s="56" t="n"/>
      <c r="W565" s="56" t="n"/>
      <c r="X565" s="56" t="n"/>
      <c r="Y565" s="56" t="n"/>
      <c r="Z565" s="56" t="n"/>
      <c r="AA565" s="56"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56" t="n"/>
      <c r="T566" s="56" t="n"/>
      <c r="U566" s="56" t="n"/>
      <c r="V566" s="56" t="n"/>
      <c r="W566" s="56" t="n"/>
      <c r="X566" s="56" t="n"/>
      <c r="Y566" s="56" t="n"/>
      <c r="Z566" s="56" t="n"/>
      <c r="AA566" s="56"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56" t="n"/>
      <c r="T567" s="56" t="n"/>
      <c r="U567" s="56" t="n"/>
      <c r="V567" s="56" t="n"/>
      <c r="W567" s="56" t="n"/>
      <c r="X567" s="56" t="n"/>
      <c r="Y567" s="56" t="n"/>
      <c r="Z567" s="56" t="n"/>
      <c r="AA567" s="56"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56" t="n"/>
      <c r="T568" s="56" t="n"/>
      <c r="U568" s="56" t="n"/>
      <c r="V568" s="56" t="n"/>
      <c r="W568" s="56" t="n"/>
      <c r="X568" s="56" t="n"/>
      <c r="Y568" s="56" t="n"/>
      <c r="Z568" s="56" t="n"/>
      <c r="AA568" s="56"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56" t="n"/>
      <c r="T569" s="56" t="n"/>
      <c r="U569" s="56" t="n"/>
      <c r="V569" s="56" t="n"/>
      <c r="W569" s="56" t="n"/>
      <c r="X569" s="56" t="n"/>
      <c r="Y569" s="56" t="n"/>
      <c r="Z569" s="56" t="n"/>
      <c r="AA569" s="56"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56" t="n"/>
      <c r="T570" s="56" t="n"/>
      <c r="U570" s="56" t="n"/>
      <c r="V570" s="56" t="n"/>
      <c r="W570" s="56" t="n"/>
      <c r="X570" s="56" t="n"/>
      <c r="Y570" s="56" t="n"/>
      <c r="Z570" s="56" t="n"/>
      <c r="AA570" s="56"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56" t="n"/>
      <c r="T571" s="56" t="n"/>
      <c r="U571" s="56" t="n"/>
      <c r="V571" s="56" t="n"/>
      <c r="W571" s="56" t="n"/>
      <c r="X571" s="56" t="n"/>
      <c r="Y571" s="56" t="n"/>
      <c r="Z571" s="56" t="n"/>
      <c r="AA571" s="56"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56" t="n"/>
      <c r="T572" s="56" t="n"/>
      <c r="U572" s="56" t="n"/>
      <c r="V572" s="56" t="n"/>
      <c r="W572" s="56" t="n"/>
      <c r="X572" s="56" t="n"/>
      <c r="Y572" s="56" t="n"/>
      <c r="Z572" s="56" t="n"/>
      <c r="AA572" s="56"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56" t="n"/>
      <c r="T573" s="56" t="n"/>
      <c r="U573" s="56" t="n"/>
      <c r="V573" s="56" t="n"/>
      <c r="W573" s="56" t="n"/>
      <c r="X573" s="56" t="n"/>
      <c r="Y573" s="56" t="n"/>
      <c r="Z573" s="56" t="n"/>
      <c r="AA573" s="56"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56" t="n"/>
      <c r="T574" s="56" t="n"/>
      <c r="U574" s="56" t="n"/>
      <c r="V574" s="56" t="n"/>
      <c r="W574" s="56" t="n"/>
      <c r="X574" s="56" t="n"/>
      <c r="Y574" s="56" t="n"/>
      <c r="Z574" s="56" t="n"/>
      <c r="AA574" s="56"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56" t="n"/>
      <c r="T575" s="56" t="n"/>
      <c r="U575" s="56" t="n"/>
      <c r="V575" s="56" t="n"/>
      <c r="W575" s="56" t="n"/>
      <c r="X575" s="56" t="n"/>
      <c r="Y575" s="56" t="n"/>
      <c r="Z575" s="56" t="n"/>
      <c r="AA575" s="56"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56" t="n"/>
      <c r="T576" s="56" t="n"/>
      <c r="U576" s="56" t="n"/>
      <c r="V576" s="56" t="n"/>
      <c r="W576" s="56" t="n"/>
      <c r="X576" s="56" t="n"/>
      <c r="Y576" s="56" t="n"/>
      <c r="Z576" s="56" t="n"/>
      <c r="AA576" s="56"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56" t="n"/>
      <c r="T577" s="56" t="n"/>
      <c r="U577" s="56" t="n"/>
      <c r="V577" s="56" t="n"/>
      <c r="W577" s="56" t="n"/>
      <c r="X577" s="56" t="n"/>
      <c r="Y577" s="56" t="n"/>
      <c r="Z577" s="56" t="n"/>
      <c r="AA577" s="56"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56" t="n"/>
      <c r="T578" s="56" t="n"/>
      <c r="U578" s="56" t="n"/>
      <c r="V578" s="56" t="n"/>
      <c r="W578" s="56" t="n"/>
      <c r="X578" s="56" t="n"/>
      <c r="Y578" s="56" t="n"/>
      <c r="Z578" s="56" t="n"/>
      <c r="AA578" s="56"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56" t="n"/>
      <c r="T579" s="56" t="n"/>
      <c r="U579" s="56" t="n"/>
      <c r="V579" s="56" t="n"/>
      <c r="W579" s="56" t="n"/>
      <c r="X579" s="56" t="n"/>
      <c r="Y579" s="56" t="n"/>
      <c r="Z579" s="56" t="n"/>
      <c r="AA579" s="56"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56" t="n"/>
      <c r="T580" s="56" t="n"/>
      <c r="U580" s="56" t="n"/>
      <c r="V580" s="56" t="n"/>
      <c r="W580" s="56" t="n"/>
      <c r="X580" s="56" t="n"/>
      <c r="Y580" s="56" t="n"/>
      <c r="Z580" s="56" t="n"/>
      <c r="AA580" s="56"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56" t="n"/>
      <c r="T581" s="56" t="n"/>
      <c r="U581" s="56" t="n"/>
      <c r="V581" s="56" t="n"/>
      <c r="W581" s="56" t="n"/>
      <c r="X581" s="56" t="n"/>
      <c r="Y581" s="56" t="n"/>
      <c r="Z581" s="56" t="n"/>
      <c r="AA581" s="56"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56" t="n"/>
      <c r="T582" s="56" t="n"/>
      <c r="U582" s="56" t="n"/>
      <c r="V582" s="56" t="n"/>
      <c r="W582" s="56" t="n"/>
      <c r="X582" s="56" t="n"/>
      <c r="Y582" s="56" t="n"/>
      <c r="Z582" s="56" t="n"/>
      <c r="AA582" s="56"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56" t="n"/>
      <c r="T583" s="56" t="n"/>
      <c r="U583" s="56" t="n"/>
      <c r="V583" s="56" t="n"/>
      <c r="W583" s="56" t="n"/>
      <c r="X583" s="56" t="n"/>
      <c r="Y583" s="56" t="n"/>
      <c r="Z583" s="56" t="n"/>
      <c r="AA583" s="56"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56" t="n"/>
      <c r="T584" s="56" t="n"/>
      <c r="U584" s="56" t="n"/>
      <c r="V584" s="56" t="n"/>
      <c r="W584" s="56" t="n"/>
      <c r="X584" s="56" t="n"/>
      <c r="Y584" s="56" t="n"/>
      <c r="Z584" s="56" t="n"/>
      <c r="AA584" s="56"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56" t="n"/>
      <c r="T585" s="56" t="n"/>
      <c r="U585" s="56" t="n"/>
      <c r="V585" s="56" t="n"/>
      <c r="W585" s="56" t="n"/>
      <c r="X585" s="56" t="n"/>
      <c r="Y585" s="56" t="n"/>
      <c r="Z585" s="56" t="n"/>
      <c r="AA585" s="56"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56" t="n"/>
      <c r="T586" s="56" t="n"/>
      <c r="U586" s="56" t="n"/>
      <c r="V586" s="56" t="n"/>
      <c r="W586" s="56" t="n"/>
      <c r="X586" s="56" t="n"/>
      <c r="Y586" s="56" t="n"/>
      <c r="Z586" s="56" t="n"/>
      <c r="AA586" s="56"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56" t="n"/>
      <c r="T587" s="56" t="n"/>
      <c r="U587" s="56" t="n"/>
      <c r="V587" s="56" t="n"/>
      <c r="W587" s="56" t="n"/>
      <c r="X587" s="56" t="n"/>
      <c r="Y587" s="56" t="n"/>
      <c r="Z587" s="56" t="n"/>
      <c r="AA587" s="56"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56" t="n"/>
      <c r="T588" s="56" t="n"/>
      <c r="U588" s="56" t="n"/>
      <c r="V588" s="56" t="n"/>
      <c r="W588" s="56" t="n"/>
      <c r="X588" s="56" t="n"/>
      <c r="Y588" s="56" t="n"/>
      <c r="Z588" s="56" t="n"/>
      <c r="AA588" s="56"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56" t="n"/>
      <c r="T589" s="56" t="n"/>
      <c r="U589" s="56" t="n"/>
      <c r="V589" s="56" t="n"/>
      <c r="W589" s="56" t="n"/>
      <c r="X589" s="56" t="n"/>
      <c r="Y589" s="56" t="n"/>
      <c r="Z589" s="56" t="n"/>
      <c r="AA589" s="56"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56" t="n"/>
      <c r="T590" s="56" t="n"/>
      <c r="U590" s="56" t="n"/>
      <c r="V590" s="56" t="n"/>
      <c r="W590" s="56" t="n"/>
      <c r="X590" s="56" t="n"/>
      <c r="Y590" s="56" t="n"/>
      <c r="Z590" s="56" t="n"/>
      <c r="AA590" s="56"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56" t="n"/>
      <c r="T591" s="56" t="n"/>
      <c r="U591" s="56" t="n"/>
      <c r="V591" s="56" t="n"/>
      <c r="W591" s="56" t="n"/>
      <c r="X591" s="56" t="n"/>
      <c r="Y591" s="56" t="n"/>
      <c r="Z591" s="56" t="n"/>
      <c r="AA591" s="56"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56" t="n"/>
      <c r="T592" s="56" t="n"/>
      <c r="U592" s="56" t="n"/>
      <c r="V592" s="56" t="n"/>
      <c r="W592" s="56" t="n"/>
      <c r="X592" s="56" t="n"/>
      <c r="Y592" s="56" t="n"/>
      <c r="Z592" s="56" t="n"/>
      <c r="AA592" s="56"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56" t="n"/>
      <c r="T593" s="56" t="n"/>
      <c r="U593" s="56" t="n"/>
      <c r="V593" s="56" t="n"/>
      <c r="W593" s="56" t="n"/>
      <c r="X593" s="56" t="n"/>
      <c r="Y593" s="56" t="n"/>
      <c r="Z593" s="56" t="n"/>
      <c r="AA593" s="56"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56" t="n"/>
      <c r="T594" s="56" t="n"/>
      <c r="U594" s="56" t="n"/>
      <c r="V594" s="56" t="n"/>
      <c r="W594" s="56" t="n"/>
      <c r="X594" s="56" t="n"/>
      <c r="Y594" s="56" t="n"/>
      <c r="Z594" s="56" t="n"/>
      <c r="AA594" s="56"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56" t="n"/>
      <c r="T595" s="56" t="n"/>
      <c r="U595" s="56" t="n"/>
      <c r="V595" s="56" t="n"/>
      <c r="W595" s="56" t="n"/>
      <c r="X595" s="56" t="n"/>
      <c r="Y595" s="56" t="n"/>
      <c r="Z595" s="56" t="n"/>
      <c r="AA595" s="56"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56" t="n"/>
      <c r="T596" s="56" t="n"/>
      <c r="U596" s="56" t="n"/>
      <c r="V596" s="56" t="n"/>
      <c r="W596" s="56" t="n"/>
      <c r="X596" s="56" t="n"/>
      <c r="Y596" s="56" t="n"/>
      <c r="Z596" s="56" t="n"/>
      <c r="AA596" s="56"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56" t="n"/>
      <c r="T597" s="56" t="n"/>
      <c r="U597" s="56" t="n"/>
      <c r="V597" s="56" t="n"/>
      <c r="W597" s="56" t="n"/>
      <c r="X597" s="56" t="n"/>
      <c r="Y597" s="56" t="n"/>
      <c r="Z597" s="56" t="n"/>
      <c r="AA597" s="56"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56" t="n"/>
      <c r="T598" s="56" t="n"/>
      <c r="U598" s="56" t="n"/>
      <c r="V598" s="56" t="n"/>
      <c r="W598" s="56" t="n"/>
      <c r="X598" s="56" t="n"/>
      <c r="Y598" s="56" t="n"/>
      <c r="Z598" s="56" t="n"/>
      <c r="AA598" s="56"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56" t="n"/>
      <c r="T599" s="56" t="n"/>
      <c r="U599" s="56" t="n"/>
      <c r="V599" s="56" t="n"/>
      <c r="W599" s="56" t="n"/>
      <c r="X599" s="56" t="n"/>
      <c r="Y599" s="56" t="n"/>
      <c r="Z599" s="56" t="n"/>
      <c r="AA599" s="56"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56" t="n"/>
      <c r="T600" s="56" t="n"/>
      <c r="U600" s="56" t="n"/>
      <c r="V600" s="56" t="n"/>
      <c r="W600" s="56" t="n"/>
      <c r="X600" s="56" t="n"/>
      <c r="Y600" s="56" t="n"/>
      <c r="Z600" s="56" t="n"/>
      <c r="AA600" s="56"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56" t="n"/>
      <c r="T601" s="56" t="n"/>
      <c r="U601" s="56" t="n"/>
      <c r="V601" s="56" t="n"/>
      <c r="W601" s="56" t="n"/>
      <c r="X601" s="56" t="n"/>
      <c r="Y601" s="56" t="n"/>
      <c r="Z601" s="56" t="n"/>
      <c r="AA601" s="56"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56" t="n"/>
      <c r="T602" s="56" t="n"/>
      <c r="U602" s="56" t="n"/>
      <c r="V602" s="56" t="n"/>
      <c r="W602" s="56" t="n"/>
      <c r="X602" s="56" t="n"/>
      <c r="Y602" s="56" t="n"/>
      <c r="Z602" s="56" t="n"/>
      <c r="AA602" s="56"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56" t="n"/>
      <c r="T603" s="56" t="n"/>
      <c r="U603" s="56" t="n"/>
      <c r="V603" s="56" t="n"/>
      <c r="W603" s="56" t="n"/>
      <c r="X603" s="56" t="n"/>
      <c r="Y603" s="56" t="n"/>
      <c r="Z603" s="56" t="n"/>
      <c r="AA603" s="56"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56" t="n"/>
      <c r="T604" s="56" t="n"/>
      <c r="U604" s="56" t="n"/>
      <c r="V604" s="56" t="n"/>
      <c r="W604" s="56" t="n"/>
      <c r="X604" s="56" t="n"/>
      <c r="Y604" s="56" t="n"/>
      <c r="Z604" s="56" t="n"/>
      <c r="AA604" s="56"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56" t="n"/>
      <c r="T605" s="56" t="n"/>
      <c r="U605" s="56" t="n"/>
      <c r="V605" s="56" t="n"/>
      <c r="W605" s="56" t="n"/>
      <c r="X605" s="56" t="n"/>
      <c r="Y605" s="56" t="n"/>
      <c r="Z605" s="56" t="n"/>
      <c r="AA605" s="56"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56" t="n"/>
      <c r="T606" s="56" t="n"/>
      <c r="U606" s="56" t="n"/>
      <c r="V606" s="56" t="n"/>
      <c r="W606" s="56" t="n"/>
      <c r="X606" s="56" t="n"/>
      <c r="Y606" s="56" t="n"/>
      <c r="Z606" s="56" t="n"/>
      <c r="AA606" s="56"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56" t="n"/>
      <c r="T607" s="56" t="n"/>
      <c r="U607" s="56" t="n"/>
      <c r="V607" s="56" t="n"/>
      <c r="W607" s="56" t="n"/>
      <c r="X607" s="56" t="n"/>
      <c r="Y607" s="56" t="n"/>
      <c r="Z607" s="56" t="n"/>
      <c r="AA607" s="56"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56" t="n"/>
      <c r="T608" s="56" t="n"/>
      <c r="U608" s="56" t="n"/>
      <c r="V608" s="56" t="n"/>
      <c r="W608" s="56" t="n"/>
      <c r="X608" s="56" t="n"/>
      <c r="Y608" s="56" t="n"/>
      <c r="Z608" s="56" t="n"/>
      <c r="AA608" s="56"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56" t="n"/>
      <c r="T609" s="56" t="n"/>
      <c r="U609" s="56" t="n"/>
      <c r="V609" s="56" t="n"/>
      <c r="W609" s="56" t="n"/>
      <c r="X609" s="56" t="n"/>
      <c r="Y609" s="56" t="n"/>
      <c r="Z609" s="56" t="n"/>
      <c r="AA609" s="56"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56" t="n"/>
      <c r="T610" s="56" t="n"/>
      <c r="U610" s="56" t="n"/>
      <c r="V610" s="56" t="n"/>
      <c r="W610" s="56" t="n"/>
      <c r="X610" s="56" t="n"/>
      <c r="Y610" s="56" t="n"/>
      <c r="Z610" s="56" t="n"/>
      <c r="AA610" s="56"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56" t="n"/>
      <c r="T611" s="56" t="n"/>
      <c r="U611" s="56" t="n"/>
      <c r="V611" s="56" t="n"/>
      <c r="W611" s="56" t="n"/>
      <c r="X611" s="56" t="n"/>
      <c r="Y611" s="56" t="n"/>
      <c r="Z611" s="56" t="n"/>
      <c r="AA611" s="56"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56" t="n"/>
      <c r="T612" s="56" t="n"/>
      <c r="U612" s="56" t="n"/>
      <c r="V612" s="56" t="n"/>
      <c r="W612" s="56" t="n"/>
      <c r="X612" s="56" t="n"/>
      <c r="Y612" s="56" t="n"/>
      <c r="Z612" s="56" t="n"/>
      <c r="AA612" s="56"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56" t="n"/>
      <c r="T613" s="56" t="n"/>
      <c r="U613" s="56" t="n"/>
      <c r="V613" s="56" t="n"/>
      <c r="W613" s="56" t="n"/>
      <c r="X613" s="56" t="n"/>
      <c r="Y613" s="56" t="n"/>
      <c r="Z613" s="56" t="n"/>
      <c r="AA613" s="56"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56" t="n"/>
      <c r="T614" s="56" t="n"/>
      <c r="U614" s="56" t="n"/>
      <c r="V614" s="56" t="n"/>
      <c r="W614" s="56" t="n"/>
      <c r="X614" s="56" t="n"/>
      <c r="Y614" s="56" t="n"/>
      <c r="Z614" s="56" t="n"/>
      <c r="AA614" s="56"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56" t="n"/>
      <c r="T615" s="56" t="n"/>
      <c r="U615" s="56" t="n"/>
      <c r="V615" s="56" t="n"/>
      <c r="W615" s="56" t="n"/>
      <c r="X615" s="56" t="n"/>
      <c r="Y615" s="56" t="n"/>
      <c r="Z615" s="56" t="n"/>
      <c r="AA615" s="56"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56" t="n"/>
      <c r="T616" s="56" t="n"/>
      <c r="U616" s="56" t="n"/>
      <c r="V616" s="56" t="n"/>
      <c r="W616" s="56" t="n"/>
      <c r="X616" s="56" t="n"/>
      <c r="Y616" s="56" t="n"/>
      <c r="Z616" s="56" t="n"/>
      <c r="AA616" s="56"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56" t="n"/>
      <c r="T617" s="56" t="n"/>
      <c r="U617" s="56" t="n"/>
      <c r="V617" s="56" t="n"/>
      <c r="W617" s="56" t="n"/>
      <c r="X617" s="56" t="n"/>
      <c r="Y617" s="56" t="n"/>
      <c r="Z617" s="56" t="n"/>
      <c r="AA617" s="56"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56" t="n"/>
      <c r="T618" s="56" t="n"/>
      <c r="U618" s="56" t="n"/>
      <c r="V618" s="56" t="n"/>
      <c r="W618" s="56" t="n"/>
      <c r="X618" s="56" t="n"/>
      <c r="Y618" s="56" t="n"/>
      <c r="Z618" s="56" t="n"/>
      <c r="AA618" s="56"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56" t="n"/>
      <c r="T619" s="56" t="n"/>
      <c r="U619" s="56" t="n"/>
      <c r="V619" s="56" t="n"/>
      <c r="W619" s="56" t="n"/>
      <c r="X619" s="56" t="n"/>
      <c r="Y619" s="56" t="n"/>
      <c r="Z619" s="56" t="n"/>
      <c r="AA619" s="56"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56" t="n"/>
      <c r="T620" s="56" t="n"/>
      <c r="U620" s="56" t="n"/>
      <c r="V620" s="56" t="n"/>
      <c r="W620" s="56" t="n"/>
      <c r="X620" s="56" t="n"/>
      <c r="Y620" s="56" t="n"/>
      <c r="Z620" s="56" t="n"/>
      <c r="AA620" s="56"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56" t="n"/>
      <c r="T621" s="56" t="n"/>
      <c r="U621" s="56" t="n"/>
      <c r="V621" s="56" t="n"/>
      <c r="W621" s="56" t="n"/>
      <c r="X621" s="56" t="n"/>
      <c r="Y621" s="56" t="n"/>
      <c r="Z621" s="56" t="n"/>
      <c r="AA621" s="56"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56" t="n"/>
      <c r="T622" s="56" t="n"/>
      <c r="U622" s="56" t="n"/>
      <c r="V622" s="56" t="n"/>
      <c r="W622" s="56" t="n"/>
      <c r="X622" s="56" t="n"/>
      <c r="Y622" s="56" t="n"/>
      <c r="Z622" s="56" t="n"/>
      <c r="AA622" s="56"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56" t="n"/>
      <c r="T623" s="56" t="n"/>
      <c r="U623" s="56" t="n"/>
      <c r="V623" s="56" t="n"/>
      <c r="W623" s="56" t="n"/>
      <c r="X623" s="56" t="n"/>
      <c r="Y623" s="56" t="n"/>
      <c r="Z623" s="56" t="n"/>
      <c r="AA623" s="56"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56" t="n"/>
      <c r="T624" s="56" t="n"/>
      <c r="U624" s="56" t="n"/>
      <c r="V624" s="56" t="n"/>
      <c r="W624" s="56" t="n"/>
      <c r="X624" s="56" t="n"/>
      <c r="Y624" s="56" t="n"/>
      <c r="Z624" s="56" t="n"/>
      <c r="AA624" s="56"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56" t="n"/>
      <c r="T625" s="56" t="n"/>
      <c r="U625" s="56" t="n"/>
      <c r="V625" s="56" t="n"/>
      <c r="W625" s="56" t="n"/>
      <c r="X625" s="56" t="n"/>
      <c r="Y625" s="56" t="n"/>
      <c r="Z625" s="56" t="n"/>
      <c r="AA625" s="56"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56" t="n"/>
      <c r="T626" s="56" t="n"/>
      <c r="U626" s="56" t="n"/>
      <c r="V626" s="56" t="n"/>
      <c r="W626" s="56" t="n"/>
      <c r="X626" s="56" t="n"/>
      <c r="Y626" s="56" t="n"/>
      <c r="Z626" s="56" t="n"/>
      <c r="AA626" s="56"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56" t="n"/>
      <c r="T627" s="56" t="n"/>
      <c r="U627" s="56" t="n"/>
      <c r="V627" s="56" t="n"/>
      <c r="W627" s="56" t="n"/>
      <c r="X627" s="56" t="n"/>
      <c r="Y627" s="56" t="n"/>
      <c r="Z627" s="56" t="n"/>
      <c r="AA627" s="56"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56" t="n"/>
      <c r="T628" s="56" t="n"/>
      <c r="U628" s="56" t="n"/>
      <c r="V628" s="56" t="n"/>
      <c r="W628" s="56" t="n"/>
      <c r="X628" s="56" t="n"/>
      <c r="Y628" s="56" t="n"/>
      <c r="Z628" s="56" t="n"/>
      <c r="AA628" s="56"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56" t="n"/>
      <c r="T629" s="56" t="n"/>
      <c r="U629" s="56" t="n"/>
      <c r="V629" s="56" t="n"/>
      <c r="W629" s="56" t="n"/>
      <c r="X629" s="56" t="n"/>
      <c r="Y629" s="56" t="n"/>
      <c r="Z629" s="56" t="n"/>
      <c r="AA629" s="56"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56" t="n"/>
      <c r="T630" s="56" t="n"/>
      <c r="U630" s="56" t="n"/>
      <c r="V630" s="56" t="n"/>
      <c r="W630" s="56" t="n"/>
      <c r="X630" s="56" t="n"/>
      <c r="Y630" s="56" t="n"/>
      <c r="Z630" s="56" t="n"/>
      <c r="AA630" s="56"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56" t="n"/>
      <c r="T631" s="56" t="n"/>
      <c r="U631" s="56" t="n"/>
      <c r="V631" s="56" t="n"/>
      <c r="W631" s="56" t="n"/>
      <c r="X631" s="56" t="n"/>
      <c r="Y631" s="56" t="n"/>
      <c r="Z631" s="56" t="n"/>
      <c r="AA631" s="56"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56" t="n"/>
      <c r="T632" s="56" t="n"/>
      <c r="U632" s="56" t="n"/>
      <c r="V632" s="56" t="n"/>
      <c r="W632" s="56" t="n"/>
      <c r="X632" s="56" t="n"/>
      <c r="Y632" s="56" t="n"/>
      <c r="Z632" s="56" t="n"/>
      <c r="AA632" s="56"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56" t="n"/>
      <c r="T633" s="56" t="n"/>
      <c r="U633" s="56" t="n"/>
      <c r="V633" s="56" t="n"/>
      <c r="W633" s="56" t="n"/>
      <c r="X633" s="56" t="n"/>
      <c r="Y633" s="56" t="n"/>
      <c r="Z633" s="56" t="n"/>
      <c r="AA633" s="56"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56" t="n"/>
      <c r="T634" s="56" t="n"/>
      <c r="U634" s="56" t="n"/>
      <c r="V634" s="56" t="n"/>
      <c r="W634" s="56" t="n"/>
      <c r="X634" s="56" t="n"/>
      <c r="Y634" s="56" t="n"/>
      <c r="Z634" s="56" t="n"/>
      <c r="AA634" s="56"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56" t="n"/>
      <c r="T635" s="56" t="n"/>
      <c r="U635" s="56" t="n"/>
      <c r="V635" s="56" t="n"/>
      <c r="W635" s="56" t="n"/>
      <c r="X635" s="56" t="n"/>
      <c r="Y635" s="56" t="n"/>
      <c r="Z635" s="56" t="n"/>
      <c r="AA635" s="56"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56" t="n"/>
      <c r="T636" s="56" t="n"/>
      <c r="U636" s="56" t="n"/>
      <c r="V636" s="56" t="n"/>
      <c r="W636" s="56" t="n"/>
      <c r="X636" s="56" t="n"/>
      <c r="Y636" s="56" t="n"/>
      <c r="Z636" s="56" t="n"/>
      <c r="AA636" s="56"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56" t="n"/>
      <c r="T637" s="56" t="n"/>
      <c r="U637" s="56" t="n"/>
      <c r="V637" s="56" t="n"/>
      <c r="W637" s="56" t="n"/>
      <c r="X637" s="56" t="n"/>
      <c r="Y637" s="56" t="n"/>
      <c r="Z637" s="56" t="n"/>
      <c r="AA637" s="56"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56" t="n"/>
      <c r="T638" s="56" t="n"/>
      <c r="U638" s="56" t="n"/>
      <c r="V638" s="56" t="n"/>
      <c r="W638" s="56" t="n"/>
      <c r="X638" s="56" t="n"/>
      <c r="Y638" s="56" t="n"/>
      <c r="Z638" s="56" t="n"/>
      <c r="AA638" s="56"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56" t="n"/>
      <c r="T639" s="56" t="n"/>
      <c r="U639" s="56" t="n"/>
      <c r="V639" s="56" t="n"/>
      <c r="W639" s="56" t="n"/>
      <c r="X639" s="56" t="n"/>
      <c r="Y639" s="56" t="n"/>
      <c r="Z639" s="56" t="n"/>
      <c r="AA639" s="56"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56" t="n"/>
      <c r="T640" s="56" t="n"/>
      <c r="U640" s="56" t="n"/>
      <c r="V640" s="56" t="n"/>
      <c r="W640" s="56" t="n"/>
      <c r="X640" s="56" t="n"/>
      <c r="Y640" s="56" t="n"/>
      <c r="Z640" s="56" t="n"/>
      <c r="AA640" s="56"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56" t="n"/>
      <c r="T641" s="56" t="n"/>
      <c r="U641" s="56" t="n"/>
      <c r="V641" s="56" t="n"/>
      <c r="W641" s="56" t="n"/>
      <c r="X641" s="56" t="n"/>
      <c r="Y641" s="56" t="n"/>
      <c r="Z641" s="56" t="n"/>
      <c r="AA641" s="56"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56" t="n"/>
      <c r="T642" s="56" t="n"/>
      <c r="U642" s="56" t="n"/>
      <c r="V642" s="56" t="n"/>
      <c r="W642" s="56" t="n"/>
      <c r="X642" s="56" t="n"/>
      <c r="Y642" s="56" t="n"/>
      <c r="Z642" s="56" t="n"/>
      <c r="AA642" s="56"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56" t="n"/>
      <c r="T643" s="56" t="n"/>
      <c r="U643" s="56" t="n"/>
      <c r="V643" s="56" t="n"/>
      <c r="W643" s="56" t="n"/>
      <c r="X643" s="56" t="n"/>
      <c r="Y643" s="56" t="n"/>
      <c r="Z643" s="56" t="n"/>
      <c r="AA643" s="56"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56" t="n"/>
      <c r="T644" s="56" t="n"/>
      <c r="U644" s="56" t="n"/>
      <c r="V644" s="56" t="n"/>
      <c r="W644" s="56" t="n"/>
      <c r="X644" s="56" t="n"/>
      <c r="Y644" s="56" t="n"/>
      <c r="Z644" s="56" t="n"/>
      <c r="AA644" s="56"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56" t="n"/>
      <c r="T645" s="56" t="n"/>
      <c r="U645" s="56" t="n"/>
      <c r="V645" s="56" t="n"/>
      <c r="W645" s="56" t="n"/>
      <c r="X645" s="56" t="n"/>
      <c r="Y645" s="56" t="n"/>
      <c r="Z645" s="56" t="n"/>
      <c r="AA645" s="56"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56" t="n"/>
      <c r="T646" s="56" t="n"/>
      <c r="U646" s="56" t="n"/>
      <c r="V646" s="56" t="n"/>
      <c r="W646" s="56" t="n"/>
      <c r="X646" s="56" t="n"/>
      <c r="Y646" s="56" t="n"/>
      <c r="Z646" s="56" t="n"/>
      <c r="AA646" s="56"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56" t="n"/>
      <c r="T647" s="56" t="n"/>
      <c r="U647" s="56" t="n"/>
      <c r="V647" s="56" t="n"/>
      <c r="W647" s="56" t="n"/>
      <c r="X647" s="56" t="n"/>
      <c r="Y647" s="56" t="n"/>
      <c r="Z647" s="56" t="n"/>
      <c r="AA647" s="56"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56" t="n"/>
      <c r="T648" s="56" t="n"/>
      <c r="U648" s="56" t="n"/>
      <c r="V648" s="56" t="n"/>
      <c r="W648" s="56" t="n"/>
      <c r="X648" s="56" t="n"/>
      <c r="Y648" s="56" t="n"/>
      <c r="Z648" s="56" t="n"/>
      <c r="AA648" s="56"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56" t="n"/>
      <c r="T649" s="56" t="n"/>
      <c r="U649" s="56" t="n"/>
      <c r="V649" s="56" t="n"/>
      <c r="W649" s="56" t="n"/>
      <c r="X649" s="56" t="n"/>
      <c r="Y649" s="56" t="n"/>
      <c r="Z649" s="56" t="n"/>
      <c r="AA649" s="56"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56" t="n"/>
      <c r="T650" s="56" t="n"/>
      <c r="U650" s="56" t="n"/>
      <c r="V650" s="56" t="n"/>
      <c r="W650" s="56" t="n"/>
      <c r="X650" s="56" t="n"/>
      <c r="Y650" s="56" t="n"/>
      <c r="Z650" s="56" t="n"/>
      <c r="AA650" s="56"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56" t="n"/>
      <c r="T651" s="56" t="n"/>
      <c r="U651" s="56" t="n"/>
      <c r="V651" s="56" t="n"/>
      <c r="W651" s="56" t="n"/>
      <c r="X651" s="56" t="n"/>
      <c r="Y651" s="56" t="n"/>
      <c r="Z651" s="56" t="n"/>
      <c r="AA651" s="56"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56" t="n"/>
      <c r="T652" s="56" t="n"/>
      <c r="U652" s="56" t="n"/>
      <c r="V652" s="56" t="n"/>
      <c r="W652" s="56" t="n"/>
      <c r="X652" s="56" t="n"/>
      <c r="Y652" s="56" t="n"/>
      <c r="Z652" s="56" t="n"/>
      <c r="AA652" s="56"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56" t="n"/>
      <c r="T653" s="56" t="n"/>
      <c r="U653" s="56" t="n"/>
      <c r="V653" s="56" t="n"/>
      <c r="W653" s="56" t="n"/>
      <c r="X653" s="56" t="n"/>
      <c r="Y653" s="56" t="n"/>
      <c r="Z653" s="56" t="n"/>
      <c r="AA653" s="56"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56" t="n"/>
      <c r="T654" s="56" t="n"/>
      <c r="U654" s="56" t="n"/>
      <c r="V654" s="56" t="n"/>
      <c r="W654" s="56" t="n"/>
      <c r="X654" s="56" t="n"/>
      <c r="Y654" s="56" t="n"/>
      <c r="Z654" s="56" t="n"/>
      <c r="AA654" s="56"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56" t="n"/>
      <c r="T655" s="56" t="n"/>
      <c r="U655" s="56" t="n"/>
      <c r="V655" s="56" t="n"/>
      <c r="W655" s="56" t="n"/>
      <c r="X655" s="56" t="n"/>
      <c r="Y655" s="56" t="n"/>
      <c r="Z655" s="56" t="n"/>
      <c r="AA655" s="56"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56" t="n"/>
      <c r="T656" s="56" t="n"/>
      <c r="U656" s="56" t="n"/>
      <c r="V656" s="56" t="n"/>
      <c r="W656" s="56" t="n"/>
      <c r="X656" s="56" t="n"/>
      <c r="Y656" s="56" t="n"/>
      <c r="Z656" s="56" t="n"/>
      <c r="AA656" s="56"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56" t="n"/>
      <c r="T657" s="56" t="n"/>
      <c r="U657" s="56" t="n"/>
      <c r="V657" s="56" t="n"/>
      <c r="W657" s="56" t="n"/>
      <c r="X657" s="56" t="n"/>
      <c r="Y657" s="56" t="n"/>
      <c r="Z657" s="56" t="n"/>
      <c r="AA657" s="56"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56" t="n"/>
      <c r="T658" s="56" t="n"/>
      <c r="U658" s="56" t="n"/>
      <c r="V658" s="56" t="n"/>
      <c r="W658" s="56" t="n"/>
      <c r="X658" s="56" t="n"/>
      <c r="Y658" s="56" t="n"/>
      <c r="Z658" s="56" t="n"/>
      <c r="AA658" s="56"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56" t="n"/>
      <c r="T659" s="56" t="n"/>
      <c r="U659" s="56" t="n"/>
      <c r="V659" s="56" t="n"/>
      <c r="W659" s="56" t="n"/>
      <c r="X659" s="56" t="n"/>
      <c r="Y659" s="56" t="n"/>
      <c r="Z659" s="56" t="n"/>
      <c r="AA659" s="56"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56" t="n"/>
      <c r="T660" s="56" t="n"/>
      <c r="U660" s="56" t="n"/>
      <c r="V660" s="56" t="n"/>
      <c r="W660" s="56" t="n"/>
      <c r="X660" s="56" t="n"/>
      <c r="Y660" s="56" t="n"/>
      <c r="Z660" s="56" t="n"/>
      <c r="AA660" s="56"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56" t="n"/>
      <c r="T661" s="56" t="n"/>
      <c r="U661" s="56" t="n"/>
      <c r="V661" s="56" t="n"/>
      <c r="W661" s="56" t="n"/>
      <c r="X661" s="56" t="n"/>
      <c r="Y661" s="56" t="n"/>
      <c r="Z661" s="56" t="n"/>
      <c r="AA661" s="56"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56" t="n"/>
      <c r="T662" s="56" t="n"/>
      <c r="U662" s="56" t="n"/>
      <c r="V662" s="56" t="n"/>
      <c r="W662" s="56" t="n"/>
      <c r="X662" s="56" t="n"/>
      <c r="Y662" s="56" t="n"/>
      <c r="Z662" s="56" t="n"/>
      <c r="AA662" s="56"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56" t="n"/>
      <c r="T663" s="56" t="n"/>
      <c r="U663" s="56" t="n"/>
      <c r="V663" s="56" t="n"/>
      <c r="W663" s="56" t="n"/>
      <c r="X663" s="56" t="n"/>
      <c r="Y663" s="56" t="n"/>
      <c r="Z663" s="56" t="n"/>
      <c r="AA663" s="56"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56" t="n"/>
      <c r="T664" s="56" t="n"/>
      <c r="U664" s="56" t="n"/>
      <c r="V664" s="56" t="n"/>
      <c r="W664" s="56" t="n"/>
      <c r="X664" s="56" t="n"/>
      <c r="Y664" s="56" t="n"/>
      <c r="Z664" s="56" t="n"/>
      <c r="AA664" s="56"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56" t="n"/>
      <c r="T665" s="56" t="n"/>
      <c r="U665" s="56" t="n"/>
      <c r="V665" s="56" t="n"/>
      <c r="W665" s="56" t="n"/>
      <c r="X665" s="56" t="n"/>
      <c r="Y665" s="56" t="n"/>
      <c r="Z665" s="56" t="n"/>
      <c r="AA665" s="56"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56" t="n"/>
      <c r="T666" s="56" t="n"/>
      <c r="U666" s="56" t="n"/>
      <c r="V666" s="56" t="n"/>
      <c r="W666" s="56" t="n"/>
      <c r="X666" s="56" t="n"/>
      <c r="Y666" s="56" t="n"/>
      <c r="Z666" s="56" t="n"/>
      <c r="AA666" s="56"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56" t="n"/>
      <c r="T667" s="56" t="n"/>
      <c r="U667" s="56" t="n"/>
      <c r="V667" s="56" t="n"/>
      <c r="W667" s="56" t="n"/>
      <c r="X667" s="56" t="n"/>
      <c r="Y667" s="56" t="n"/>
      <c r="Z667" s="56" t="n"/>
      <c r="AA667" s="56"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56" t="n"/>
      <c r="T668" s="56" t="n"/>
      <c r="U668" s="56" t="n"/>
      <c r="V668" s="56" t="n"/>
      <c r="W668" s="56" t="n"/>
      <c r="X668" s="56" t="n"/>
      <c r="Y668" s="56" t="n"/>
      <c r="Z668" s="56" t="n"/>
      <c r="AA668" s="56"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56" t="n"/>
      <c r="T669" s="56" t="n"/>
      <c r="U669" s="56" t="n"/>
      <c r="V669" s="56" t="n"/>
      <c r="W669" s="56" t="n"/>
      <c r="X669" s="56" t="n"/>
      <c r="Y669" s="56" t="n"/>
      <c r="Z669" s="56" t="n"/>
      <c r="AA669" s="56"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56" t="n"/>
      <c r="T670" s="56" t="n"/>
      <c r="U670" s="56" t="n"/>
      <c r="V670" s="56" t="n"/>
      <c r="W670" s="56" t="n"/>
      <c r="X670" s="56" t="n"/>
      <c r="Y670" s="56" t="n"/>
      <c r="Z670" s="56" t="n"/>
      <c r="AA670" s="56"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56" t="n"/>
      <c r="T671" s="56" t="n"/>
      <c r="U671" s="56" t="n"/>
      <c r="V671" s="56" t="n"/>
      <c r="W671" s="56" t="n"/>
      <c r="X671" s="56" t="n"/>
      <c r="Y671" s="56" t="n"/>
      <c r="Z671" s="56" t="n"/>
      <c r="AA671" s="56"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56" t="n"/>
      <c r="T672" s="56" t="n"/>
      <c r="U672" s="56" t="n"/>
      <c r="V672" s="56" t="n"/>
      <c r="W672" s="56" t="n"/>
      <c r="X672" s="56" t="n"/>
      <c r="Y672" s="56" t="n"/>
      <c r="Z672" s="56" t="n"/>
      <c r="AA672" s="56"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56" t="n"/>
      <c r="T673" s="56" t="n"/>
      <c r="U673" s="56" t="n"/>
      <c r="V673" s="56" t="n"/>
      <c r="W673" s="56" t="n"/>
      <c r="X673" s="56" t="n"/>
      <c r="Y673" s="56" t="n"/>
      <c r="Z673" s="56" t="n"/>
      <c r="AA673" s="56"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56" t="n"/>
      <c r="T674" s="56" t="n"/>
      <c r="U674" s="56" t="n"/>
      <c r="V674" s="56" t="n"/>
      <c r="W674" s="56" t="n"/>
      <c r="X674" s="56" t="n"/>
      <c r="Y674" s="56" t="n"/>
      <c r="Z674" s="56" t="n"/>
      <c r="AA674" s="56"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56" t="n"/>
      <c r="T675" s="56" t="n"/>
      <c r="U675" s="56" t="n"/>
      <c r="V675" s="56" t="n"/>
      <c r="W675" s="56" t="n"/>
      <c r="X675" s="56" t="n"/>
      <c r="Y675" s="56" t="n"/>
      <c r="Z675" s="56" t="n"/>
      <c r="AA675" s="56"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56" t="n"/>
      <c r="T676" s="56" t="n"/>
      <c r="U676" s="56" t="n"/>
      <c r="V676" s="56" t="n"/>
      <c r="W676" s="56" t="n"/>
      <c r="X676" s="56" t="n"/>
      <c r="Y676" s="56" t="n"/>
      <c r="Z676" s="56" t="n"/>
      <c r="AA676" s="56"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56" t="n"/>
      <c r="T677" s="56" t="n"/>
      <c r="U677" s="56" t="n"/>
      <c r="V677" s="56" t="n"/>
      <c r="W677" s="56" t="n"/>
      <c r="X677" s="56" t="n"/>
      <c r="Y677" s="56" t="n"/>
      <c r="Z677" s="56" t="n"/>
      <c r="AA677" s="56"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56" t="n"/>
      <c r="T678" s="56" t="n"/>
      <c r="U678" s="56" t="n"/>
      <c r="V678" s="56" t="n"/>
      <c r="W678" s="56" t="n"/>
      <c r="X678" s="56" t="n"/>
      <c r="Y678" s="56" t="n"/>
      <c r="Z678" s="56" t="n"/>
      <c r="AA678" s="56"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56" t="n"/>
      <c r="T679" s="56" t="n"/>
      <c r="U679" s="56" t="n"/>
      <c r="V679" s="56" t="n"/>
      <c r="W679" s="56" t="n"/>
      <c r="X679" s="56" t="n"/>
      <c r="Y679" s="56" t="n"/>
      <c r="Z679" s="56" t="n"/>
      <c r="AA679" s="56"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56" t="n"/>
      <c r="T680" s="56" t="n"/>
      <c r="U680" s="56" t="n"/>
      <c r="V680" s="56" t="n"/>
      <c r="W680" s="56" t="n"/>
      <c r="X680" s="56" t="n"/>
      <c r="Y680" s="56" t="n"/>
      <c r="Z680" s="56" t="n"/>
      <c r="AA680" s="56"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56" t="n"/>
      <c r="T681" s="56" t="n"/>
      <c r="U681" s="56" t="n"/>
      <c r="V681" s="56" t="n"/>
      <c r="W681" s="56" t="n"/>
      <c r="X681" s="56" t="n"/>
      <c r="Y681" s="56" t="n"/>
      <c r="Z681" s="56" t="n"/>
      <c r="AA681" s="56"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56" t="n"/>
      <c r="T682" s="56" t="n"/>
      <c r="U682" s="56" t="n"/>
      <c r="V682" s="56" t="n"/>
      <c r="W682" s="56" t="n"/>
      <c r="X682" s="56" t="n"/>
      <c r="Y682" s="56" t="n"/>
      <c r="Z682" s="56" t="n"/>
      <c r="AA682" s="56"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56" t="n"/>
      <c r="T683" s="56" t="n"/>
      <c r="U683" s="56" t="n"/>
      <c r="V683" s="56" t="n"/>
      <c r="W683" s="56" t="n"/>
      <c r="X683" s="56" t="n"/>
      <c r="Y683" s="56" t="n"/>
      <c r="Z683" s="56" t="n"/>
      <c r="AA683" s="56"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56" t="n"/>
      <c r="T684" s="56" t="n"/>
      <c r="U684" s="56" t="n"/>
      <c r="V684" s="56" t="n"/>
      <c r="W684" s="56" t="n"/>
      <c r="X684" s="56" t="n"/>
      <c r="Y684" s="56" t="n"/>
      <c r="Z684" s="56" t="n"/>
      <c r="AA684" s="56"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56" t="n"/>
      <c r="T685" s="56" t="n"/>
      <c r="U685" s="56" t="n"/>
      <c r="V685" s="56" t="n"/>
      <c r="W685" s="56" t="n"/>
      <c r="X685" s="56" t="n"/>
      <c r="Y685" s="56" t="n"/>
      <c r="Z685" s="56" t="n"/>
      <c r="AA685" s="56"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56" t="n"/>
      <c r="T686" s="56" t="n"/>
      <c r="U686" s="56" t="n"/>
      <c r="V686" s="56" t="n"/>
      <c r="W686" s="56" t="n"/>
      <c r="X686" s="56" t="n"/>
      <c r="Y686" s="56" t="n"/>
      <c r="Z686" s="56" t="n"/>
      <c r="AA686" s="56"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56" t="n"/>
      <c r="T687" s="56" t="n"/>
      <c r="U687" s="56" t="n"/>
      <c r="V687" s="56" t="n"/>
      <c r="W687" s="56" t="n"/>
      <c r="X687" s="56" t="n"/>
      <c r="Y687" s="56" t="n"/>
      <c r="Z687" s="56" t="n"/>
      <c r="AA687" s="56"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56" t="n"/>
      <c r="T688" s="56" t="n"/>
      <c r="U688" s="56" t="n"/>
      <c r="V688" s="56" t="n"/>
      <c r="W688" s="56" t="n"/>
      <c r="X688" s="56" t="n"/>
      <c r="Y688" s="56" t="n"/>
      <c r="Z688" s="56" t="n"/>
      <c r="AA688" s="56"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56" t="n"/>
      <c r="T689" s="56" t="n"/>
      <c r="U689" s="56" t="n"/>
      <c r="V689" s="56" t="n"/>
      <c r="W689" s="56" t="n"/>
      <c r="X689" s="56" t="n"/>
      <c r="Y689" s="56" t="n"/>
      <c r="Z689" s="56" t="n"/>
      <c r="AA689" s="56"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56" t="n"/>
      <c r="T690" s="56" t="n"/>
      <c r="U690" s="56" t="n"/>
      <c r="V690" s="56" t="n"/>
      <c r="W690" s="56" t="n"/>
      <c r="X690" s="56" t="n"/>
      <c r="Y690" s="56" t="n"/>
      <c r="Z690" s="56" t="n"/>
      <c r="AA690" s="56"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56" t="n"/>
      <c r="T691" s="56" t="n"/>
      <c r="U691" s="56" t="n"/>
      <c r="V691" s="56" t="n"/>
      <c r="W691" s="56" t="n"/>
      <c r="X691" s="56" t="n"/>
      <c r="Y691" s="56" t="n"/>
      <c r="Z691" s="56" t="n"/>
      <c r="AA691" s="56"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56" t="n"/>
      <c r="T692" s="56" t="n"/>
      <c r="U692" s="56" t="n"/>
      <c r="V692" s="56" t="n"/>
      <c r="W692" s="56" t="n"/>
      <c r="X692" s="56" t="n"/>
      <c r="Y692" s="56" t="n"/>
      <c r="Z692" s="56" t="n"/>
      <c r="AA692" s="56"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56" t="n"/>
      <c r="T693" s="56" t="n"/>
      <c r="U693" s="56" t="n"/>
      <c r="V693" s="56" t="n"/>
      <c r="W693" s="56" t="n"/>
      <c r="X693" s="56" t="n"/>
      <c r="Y693" s="56" t="n"/>
      <c r="Z693" s="56" t="n"/>
      <c r="AA693" s="56"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56" t="n"/>
      <c r="T694" s="56" t="n"/>
      <c r="U694" s="56" t="n"/>
      <c r="V694" s="56" t="n"/>
      <c r="W694" s="56" t="n"/>
      <c r="X694" s="56" t="n"/>
      <c r="Y694" s="56" t="n"/>
      <c r="Z694" s="56" t="n"/>
      <c r="AA694" s="56"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56" t="n"/>
      <c r="T695" s="56" t="n"/>
      <c r="U695" s="56" t="n"/>
      <c r="V695" s="56" t="n"/>
      <c r="W695" s="56" t="n"/>
      <c r="X695" s="56" t="n"/>
      <c r="Y695" s="56" t="n"/>
      <c r="Z695" s="56" t="n"/>
      <c r="AA695" s="56"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56" t="n"/>
      <c r="T696" s="56" t="n"/>
      <c r="U696" s="56" t="n"/>
      <c r="V696" s="56" t="n"/>
      <c r="W696" s="56" t="n"/>
      <c r="X696" s="56" t="n"/>
      <c r="Y696" s="56" t="n"/>
      <c r="Z696" s="56" t="n"/>
      <c r="AA696" s="56"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56" t="n"/>
      <c r="T697" s="56" t="n"/>
      <c r="U697" s="56" t="n"/>
      <c r="V697" s="56" t="n"/>
      <c r="W697" s="56" t="n"/>
      <c r="X697" s="56" t="n"/>
      <c r="Y697" s="56" t="n"/>
      <c r="Z697" s="56" t="n"/>
      <c r="AA697" s="56"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56" t="n"/>
      <c r="T698" s="56" t="n"/>
      <c r="U698" s="56" t="n"/>
      <c r="V698" s="56" t="n"/>
      <c r="W698" s="56" t="n"/>
      <c r="X698" s="56" t="n"/>
      <c r="Y698" s="56" t="n"/>
      <c r="Z698" s="56" t="n"/>
      <c r="AA698" s="56"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56" t="n"/>
      <c r="T699" s="56" t="n"/>
      <c r="U699" s="56" t="n"/>
      <c r="V699" s="56" t="n"/>
      <c r="W699" s="56" t="n"/>
      <c r="X699" s="56" t="n"/>
      <c r="Y699" s="56" t="n"/>
      <c r="Z699" s="56" t="n"/>
      <c r="AA699" s="56"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56" t="n"/>
      <c r="T700" s="56" t="n"/>
      <c r="U700" s="56" t="n"/>
      <c r="V700" s="56" t="n"/>
      <c r="W700" s="56" t="n"/>
      <c r="X700" s="56" t="n"/>
      <c r="Y700" s="56" t="n"/>
      <c r="Z700" s="56" t="n"/>
      <c r="AA700" s="56"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56" t="n"/>
      <c r="T701" s="56" t="n"/>
      <c r="U701" s="56" t="n"/>
      <c r="V701" s="56" t="n"/>
      <c r="W701" s="56" t="n"/>
      <c r="X701" s="56" t="n"/>
      <c r="Y701" s="56" t="n"/>
      <c r="Z701" s="56" t="n"/>
      <c r="AA701" s="56"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56" t="n"/>
      <c r="T702" s="56" t="n"/>
      <c r="U702" s="56" t="n"/>
      <c r="V702" s="56" t="n"/>
      <c r="W702" s="56" t="n"/>
      <c r="X702" s="56" t="n"/>
      <c r="Y702" s="56" t="n"/>
      <c r="Z702" s="56" t="n"/>
      <c r="AA702" s="56"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56" t="n"/>
      <c r="T703" s="56" t="n"/>
      <c r="U703" s="56" t="n"/>
      <c r="V703" s="56" t="n"/>
      <c r="W703" s="56" t="n"/>
      <c r="X703" s="56" t="n"/>
      <c r="Y703" s="56" t="n"/>
      <c r="Z703" s="56" t="n"/>
      <c r="AA703" s="56"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56" t="n"/>
      <c r="T704" s="56" t="n"/>
      <c r="U704" s="56" t="n"/>
      <c r="V704" s="56" t="n"/>
      <c r="W704" s="56" t="n"/>
      <c r="X704" s="56" t="n"/>
      <c r="Y704" s="56" t="n"/>
      <c r="Z704" s="56" t="n"/>
      <c r="AA704" s="56"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56" t="n"/>
      <c r="T705" s="56" t="n"/>
      <c r="U705" s="56" t="n"/>
      <c r="V705" s="56" t="n"/>
      <c r="W705" s="56" t="n"/>
      <c r="X705" s="56" t="n"/>
      <c r="Y705" s="56" t="n"/>
      <c r="Z705" s="56" t="n"/>
      <c r="AA705" s="56"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56" t="n"/>
      <c r="T706" s="56" t="n"/>
      <c r="U706" s="56" t="n"/>
      <c r="V706" s="56" t="n"/>
      <c r="W706" s="56" t="n"/>
      <c r="X706" s="56" t="n"/>
      <c r="Y706" s="56" t="n"/>
      <c r="Z706" s="56" t="n"/>
      <c r="AA706" s="56"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56" t="n"/>
      <c r="T707" s="56" t="n"/>
      <c r="U707" s="56" t="n"/>
      <c r="V707" s="56" t="n"/>
      <c r="W707" s="56" t="n"/>
      <c r="X707" s="56" t="n"/>
      <c r="Y707" s="56" t="n"/>
      <c r="Z707" s="56" t="n"/>
      <c r="AA707" s="56"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56" t="n"/>
      <c r="T708" s="56" t="n"/>
      <c r="U708" s="56" t="n"/>
      <c r="V708" s="56" t="n"/>
      <c r="W708" s="56" t="n"/>
      <c r="X708" s="56" t="n"/>
      <c r="Y708" s="56" t="n"/>
      <c r="Z708" s="56" t="n"/>
      <c r="AA708" s="56"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56" t="n"/>
      <c r="T709" s="56" t="n"/>
      <c r="U709" s="56" t="n"/>
      <c r="V709" s="56" t="n"/>
      <c r="W709" s="56" t="n"/>
      <c r="X709" s="56" t="n"/>
      <c r="Y709" s="56" t="n"/>
      <c r="Z709" s="56" t="n"/>
      <c r="AA709" s="56"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56" t="n"/>
      <c r="T710" s="56" t="n"/>
      <c r="U710" s="56" t="n"/>
      <c r="V710" s="56" t="n"/>
      <c r="W710" s="56" t="n"/>
      <c r="X710" s="56" t="n"/>
      <c r="Y710" s="56" t="n"/>
      <c r="Z710" s="56" t="n"/>
      <c r="AA710" s="56"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56" t="n"/>
      <c r="T711" s="56" t="n"/>
      <c r="U711" s="56" t="n"/>
      <c r="V711" s="56" t="n"/>
      <c r="W711" s="56" t="n"/>
      <c r="X711" s="56" t="n"/>
      <c r="Y711" s="56" t="n"/>
      <c r="Z711" s="56" t="n"/>
      <c r="AA711" s="56"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56" t="n"/>
      <c r="T712" s="56" t="n"/>
      <c r="U712" s="56" t="n"/>
      <c r="V712" s="56" t="n"/>
      <c r="W712" s="56" t="n"/>
      <c r="X712" s="56" t="n"/>
      <c r="Y712" s="56" t="n"/>
      <c r="Z712" s="56" t="n"/>
      <c r="AA712" s="56"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56" t="n"/>
      <c r="T713" s="56" t="n"/>
      <c r="U713" s="56" t="n"/>
      <c r="V713" s="56" t="n"/>
      <c r="W713" s="56" t="n"/>
      <c r="X713" s="56" t="n"/>
      <c r="Y713" s="56" t="n"/>
      <c r="Z713" s="56" t="n"/>
      <c r="AA713" s="56"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56" t="n"/>
      <c r="T714" s="56" t="n"/>
      <c r="U714" s="56" t="n"/>
      <c r="V714" s="56" t="n"/>
      <c r="W714" s="56" t="n"/>
      <c r="X714" s="56" t="n"/>
      <c r="Y714" s="56" t="n"/>
      <c r="Z714" s="56" t="n"/>
      <c r="AA714" s="56"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56" t="n"/>
      <c r="T715" s="56" t="n"/>
      <c r="U715" s="56" t="n"/>
      <c r="V715" s="56" t="n"/>
      <c r="W715" s="56" t="n"/>
      <c r="X715" s="56" t="n"/>
      <c r="Y715" s="56" t="n"/>
      <c r="Z715" s="56" t="n"/>
      <c r="AA715" s="56"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56" t="n"/>
      <c r="T716" s="56" t="n"/>
      <c r="U716" s="56" t="n"/>
      <c r="V716" s="56" t="n"/>
      <c r="W716" s="56" t="n"/>
      <c r="X716" s="56" t="n"/>
      <c r="Y716" s="56" t="n"/>
      <c r="Z716" s="56" t="n"/>
      <c r="AA716" s="56"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56" t="n"/>
      <c r="T717" s="56" t="n"/>
      <c r="U717" s="56" t="n"/>
      <c r="V717" s="56" t="n"/>
      <c r="W717" s="56" t="n"/>
      <c r="X717" s="56" t="n"/>
      <c r="Y717" s="56" t="n"/>
      <c r="Z717" s="56" t="n"/>
      <c r="AA717" s="56"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56" t="n"/>
      <c r="T718" s="56" t="n"/>
      <c r="U718" s="56" t="n"/>
      <c r="V718" s="56" t="n"/>
      <c r="W718" s="56" t="n"/>
      <c r="X718" s="56" t="n"/>
      <c r="Y718" s="56" t="n"/>
      <c r="Z718" s="56" t="n"/>
      <c r="AA718" s="56"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56" t="n"/>
      <c r="T719" s="56" t="n"/>
      <c r="U719" s="56" t="n"/>
      <c r="V719" s="56" t="n"/>
      <c r="W719" s="56" t="n"/>
      <c r="X719" s="56" t="n"/>
      <c r="Y719" s="56" t="n"/>
      <c r="Z719" s="56" t="n"/>
      <c r="AA719" s="56"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56" t="n"/>
      <c r="T720" s="56" t="n"/>
      <c r="U720" s="56" t="n"/>
      <c r="V720" s="56" t="n"/>
      <c r="W720" s="56" t="n"/>
      <c r="X720" s="56" t="n"/>
      <c r="Y720" s="56" t="n"/>
      <c r="Z720" s="56" t="n"/>
      <c r="AA720" s="56"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56" t="n"/>
      <c r="T721" s="56" t="n"/>
      <c r="U721" s="56" t="n"/>
      <c r="V721" s="56" t="n"/>
      <c r="W721" s="56" t="n"/>
      <c r="X721" s="56" t="n"/>
      <c r="Y721" s="56" t="n"/>
      <c r="Z721" s="56" t="n"/>
      <c r="AA721" s="56"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56" t="n"/>
      <c r="T722" s="56" t="n"/>
      <c r="U722" s="56" t="n"/>
      <c r="V722" s="56" t="n"/>
      <c r="W722" s="56" t="n"/>
      <c r="X722" s="56" t="n"/>
      <c r="Y722" s="56" t="n"/>
      <c r="Z722" s="56" t="n"/>
      <c r="AA722" s="56"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56" t="n"/>
      <c r="T723" s="56" t="n"/>
      <c r="U723" s="56" t="n"/>
      <c r="V723" s="56" t="n"/>
      <c r="W723" s="56" t="n"/>
      <c r="X723" s="56" t="n"/>
      <c r="Y723" s="56" t="n"/>
      <c r="Z723" s="56" t="n"/>
      <c r="AA723" s="56"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56" t="n"/>
      <c r="T724" s="56" t="n"/>
      <c r="U724" s="56" t="n"/>
      <c r="V724" s="56" t="n"/>
      <c r="W724" s="56" t="n"/>
      <c r="X724" s="56" t="n"/>
      <c r="Y724" s="56" t="n"/>
      <c r="Z724" s="56" t="n"/>
      <c r="AA724" s="56"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56" t="n"/>
      <c r="T725" s="56" t="n"/>
      <c r="U725" s="56" t="n"/>
      <c r="V725" s="56" t="n"/>
      <c r="W725" s="56" t="n"/>
      <c r="X725" s="56" t="n"/>
      <c r="Y725" s="56" t="n"/>
      <c r="Z725" s="56" t="n"/>
      <c r="AA725" s="56"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56" t="n"/>
      <c r="T726" s="56" t="n"/>
      <c r="U726" s="56" t="n"/>
      <c r="V726" s="56" t="n"/>
      <c r="W726" s="56" t="n"/>
      <c r="X726" s="56" t="n"/>
      <c r="Y726" s="56" t="n"/>
      <c r="Z726" s="56" t="n"/>
      <c r="AA726" s="56"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56" t="n"/>
      <c r="T727" s="56" t="n"/>
      <c r="U727" s="56" t="n"/>
      <c r="V727" s="56" t="n"/>
      <c r="W727" s="56" t="n"/>
      <c r="X727" s="56" t="n"/>
      <c r="Y727" s="56" t="n"/>
      <c r="Z727" s="56" t="n"/>
      <c r="AA727" s="56"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56" t="n"/>
      <c r="T728" s="56" t="n"/>
      <c r="U728" s="56" t="n"/>
      <c r="V728" s="56" t="n"/>
      <c r="W728" s="56" t="n"/>
      <c r="X728" s="56" t="n"/>
      <c r="Y728" s="56" t="n"/>
      <c r="Z728" s="56" t="n"/>
      <c r="AA728" s="56"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56" t="n"/>
      <c r="T729" s="56" t="n"/>
      <c r="U729" s="56" t="n"/>
      <c r="V729" s="56" t="n"/>
      <c r="W729" s="56" t="n"/>
      <c r="X729" s="56" t="n"/>
      <c r="Y729" s="56" t="n"/>
      <c r="Z729" s="56" t="n"/>
      <c r="AA729" s="56"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56" t="n"/>
      <c r="T730" s="56" t="n"/>
      <c r="U730" s="56" t="n"/>
      <c r="V730" s="56" t="n"/>
      <c r="W730" s="56" t="n"/>
      <c r="X730" s="56" t="n"/>
      <c r="Y730" s="56" t="n"/>
      <c r="Z730" s="56" t="n"/>
      <c r="AA730" s="56"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56" t="n"/>
      <c r="T731" s="56" t="n"/>
      <c r="U731" s="56" t="n"/>
      <c r="V731" s="56" t="n"/>
      <c r="W731" s="56" t="n"/>
      <c r="X731" s="56" t="n"/>
      <c r="Y731" s="56" t="n"/>
      <c r="Z731" s="56" t="n"/>
      <c r="AA731" s="56"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56" t="n"/>
      <c r="T732" s="56" t="n"/>
      <c r="U732" s="56" t="n"/>
      <c r="V732" s="56" t="n"/>
      <c r="W732" s="56" t="n"/>
      <c r="X732" s="56" t="n"/>
      <c r="Y732" s="56" t="n"/>
      <c r="Z732" s="56" t="n"/>
      <c r="AA732" s="56"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56" t="n"/>
      <c r="T733" s="56" t="n"/>
      <c r="U733" s="56" t="n"/>
      <c r="V733" s="56" t="n"/>
      <c r="W733" s="56" t="n"/>
      <c r="X733" s="56" t="n"/>
      <c r="Y733" s="56" t="n"/>
      <c r="Z733" s="56" t="n"/>
      <c r="AA733" s="56"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56" t="n"/>
      <c r="T734" s="56" t="n"/>
      <c r="U734" s="56" t="n"/>
      <c r="V734" s="56" t="n"/>
      <c r="W734" s="56" t="n"/>
      <c r="X734" s="56" t="n"/>
      <c r="Y734" s="56" t="n"/>
      <c r="Z734" s="56" t="n"/>
      <c r="AA734" s="56"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56" t="n"/>
      <c r="T735" s="56" t="n"/>
      <c r="U735" s="56" t="n"/>
      <c r="V735" s="56" t="n"/>
      <c r="W735" s="56" t="n"/>
      <c r="X735" s="56" t="n"/>
      <c r="Y735" s="56" t="n"/>
      <c r="Z735" s="56" t="n"/>
      <c r="AA735" s="56"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56" t="n"/>
      <c r="T736" s="56" t="n"/>
      <c r="U736" s="56" t="n"/>
      <c r="V736" s="56" t="n"/>
      <c r="W736" s="56" t="n"/>
      <c r="X736" s="56" t="n"/>
      <c r="Y736" s="56" t="n"/>
      <c r="Z736" s="56" t="n"/>
      <c r="AA736" s="56"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56" t="n"/>
      <c r="T737" s="56" t="n"/>
      <c r="U737" s="56" t="n"/>
      <c r="V737" s="56" t="n"/>
      <c r="W737" s="56" t="n"/>
      <c r="X737" s="56" t="n"/>
      <c r="Y737" s="56" t="n"/>
      <c r="Z737" s="56" t="n"/>
      <c r="AA737" s="56"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56" t="n"/>
      <c r="T738" s="56" t="n"/>
      <c r="U738" s="56" t="n"/>
      <c r="V738" s="56" t="n"/>
      <c r="W738" s="56" t="n"/>
      <c r="X738" s="56" t="n"/>
      <c r="Y738" s="56" t="n"/>
      <c r="Z738" s="56" t="n"/>
      <c r="AA738" s="56"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56" t="n"/>
      <c r="T739" s="56" t="n"/>
      <c r="U739" s="56" t="n"/>
      <c r="V739" s="56" t="n"/>
      <c r="W739" s="56" t="n"/>
      <c r="X739" s="56" t="n"/>
      <c r="Y739" s="56" t="n"/>
      <c r="Z739" s="56" t="n"/>
      <c r="AA739" s="56"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56" t="n"/>
      <c r="T740" s="56" t="n"/>
      <c r="U740" s="56" t="n"/>
      <c r="V740" s="56" t="n"/>
      <c r="W740" s="56" t="n"/>
      <c r="X740" s="56" t="n"/>
      <c r="Y740" s="56" t="n"/>
      <c r="Z740" s="56" t="n"/>
      <c r="AA740" s="56"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56" t="n"/>
      <c r="T741" s="56" t="n"/>
      <c r="U741" s="56" t="n"/>
      <c r="V741" s="56" t="n"/>
      <c r="W741" s="56" t="n"/>
      <c r="X741" s="56" t="n"/>
      <c r="Y741" s="56" t="n"/>
      <c r="Z741" s="56" t="n"/>
      <c r="AA741" s="56"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56" t="n"/>
      <c r="T742" s="56" t="n"/>
      <c r="U742" s="56" t="n"/>
      <c r="V742" s="56" t="n"/>
      <c r="W742" s="56" t="n"/>
      <c r="X742" s="56" t="n"/>
      <c r="Y742" s="56" t="n"/>
      <c r="Z742" s="56" t="n"/>
      <c r="AA742" s="56"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56" t="n"/>
      <c r="T743" s="56" t="n"/>
      <c r="U743" s="56" t="n"/>
      <c r="V743" s="56" t="n"/>
      <c r="W743" s="56" t="n"/>
      <c r="X743" s="56" t="n"/>
      <c r="Y743" s="56" t="n"/>
      <c r="Z743" s="56" t="n"/>
      <c r="AA743" s="56"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56" t="n"/>
      <c r="T744" s="56" t="n"/>
      <c r="U744" s="56" t="n"/>
      <c r="V744" s="56" t="n"/>
      <c r="W744" s="56" t="n"/>
      <c r="X744" s="56" t="n"/>
      <c r="Y744" s="56" t="n"/>
      <c r="Z744" s="56" t="n"/>
      <c r="AA744" s="56"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56" t="n"/>
      <c r="T745" s="56" t="n"/>
      <c r="U745" s="56" t="n"/>
      <c r="V745" s="56" t="n"/>
      <c r="W745" s="56" t="n"/>
      <c r="X745" s="56" t="n"/>
      <c r="Y745" s="56" t="n"/>
      <c r="Z745" s="56" t="n"/>
      <c r="AA745" s="56"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56" t="n"/>
      <c r="T746" s="56" t="n"/>
      <c r="U746" s="56" t="n"/>
      <c r="V746" s="56" t="n"/>
      <c r="W746" s="56" t="n"/>
      <c r="X746" s="56" t="n"/>
      <c r="Y746" s="56" t="n"/>
      <c r="Z746" s="56" t="n"/>
      <c r="AA746" s="56"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56" t="n"/>
      <c r="T747" s="56" t="n"/>
      <c r="U747" s="56" t="n"/>
      <c r="V747" s="56" t="n"/>
      <c r="W747" s="56" t="n"/>
      <c r="X747" s="56" t="n"/>
      <c r="Y747" s="56" t="n"/>
      <c r="Z747" s="56" t="n"/>
      <c r="AA747" s="56"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56" t="n"/>
      <c r="T748" s="56" t="n"/>
      <c r="U748" s="56" t="n"/>
      <c r="V748" s="56" t="n"/>
      <c r="W748" s="56" t="n"/>
      <c r="X748" s="56" t="n"/>
      <c r="Y748" s="56" t="n"/>
      <c r="Z748" s="56" t="n"/>
      <c r="AA748" s="56"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56" t="n"/>
      <c r="T749" s="56" t="n"/>
      <c r="U749" s="56" t="n"/>
      <c r="V749" s="56" t="n"/>
      <c r="W749" s="56" t="n"/>
      <c r="X749" s="56" t="n"/>
      <c r="Y749" s="56" t="n"/>
      <c r="Z749" s="56" t="n"/>
      <c r="AA749" s="56"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56" t="n"/>
      <c r="T750" s="56" t="n"/>
      <c r="U750" s="56" t="n"/>
      <c r="V750" s="56" t="n"/>
      <c r="W750" s="56" t="n"/>
      <c r="X750" s="56" t="n"/>
      <c r="Y750" s="56" t="n"/>
      <c r="Z750" s="56" t="n"/>
      <c r="AA750" s="56"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56" t="n"/>
      <c r="T751" s="56" t="n"/>
      <c r="U751" s="56" t="n"/>
      <c r="V751" s="56" t="n"/>
      <c r="W751" s="56" t="n"/>
      <c r="X751" s="56" t="n"/>
      <c r="Y751" s="56" t="n"/>
      <c r="Z751" s="56" t="n"/>
      <c r="AA751" s="56"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56" t="n"/>
      <c r="T752" s="56" t="n"/>
      <c r="U752" s="56" t="n"/>
      <c r="V752" s="56" t="n"/>
      <c r="W752" s="56" t="n"/>
      <c r="X752" s="56" t="n"/>
      <c r="Y752" s="56" t="n"/>
      <c r="Z752" s="56" t="n"/>
      <c r="AA752" s="56"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56" t="n"/>
      <c r="T753" s="56" t="n"/>
      <c r="U753" s="56" t="n"/>
      <c r="V753" s="56" t="n"/>
      <c r="W753" s="56" t="n"/>
      <c r="X753" s="56" t="n"/>
      <c r="Y753" s="56" t="n"/>
      <c r="Z753" s="56" t="n"/>
      <c r="AA753" s="56"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56" t="n"/>
      <c r="T754" s="56" t="n"/>
      <c r="U754" s="56" t="n"/>
      <c r="V754" s="56" t="n"/>
      <c r="W754" s="56" t="n"/>
      <c r="X754" s="56" t="n"/>
      <c r="Y754" s="56" t="n"/>
      <c r="Z754" s="56" t="n"/>
      <c r="AA754" s="56"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56" t="n"/>
      <c r="T755" s="56" t="n"/>
      <c r="U755" s="56" t="n"/>
      <c r="V755" s="56" t="n"/>
      <c r="W755" s="56" t="n"/>
      <c r="X755" s="56" t="n"/>
      <c r="Y755" s="56" t="n"/>
      <c r="Z755" s="56" t="n"/>
      <c r="AA755" s="56"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56" t="n"/>
      <c r="T756" s="56" t="n"/>
      <c r="U756" s="56" t="n"/>
      <c r="V756" s="56" t="n"/>
      <c r="W756" s="56" t="n"/>
      <c r="X756" s="56" t="n"/>
      <c r="Y756" s="56" t="n"/>
      <c r="Z756" s="56" t="n"/>
      <c r="AA756" s="56"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56" t="n"/>
      <c r="T757" s="56" t="n"/>
      <c r="U757" s="56" t="n"/>
      <c r="V757" s="56" t="n"/>
      <c r="W757" s="56" t="n"/>
      <c r="X757" s="56" t="n"/>
      <c r="Y757" s="56" t="n"/>
      <c r="Z757" s="56" t="n"/>
      <c r="AA757" s="56"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56" t="n"/>
      <c r="T758" s="56" t="n"/>
      <c r="U758" s="56" t="n"/>
      <c r="V758" s="56" t="n"/>
      <c r="W758" s="56" t="n"/>
      <c r="X758" s="56" t="n"/>
      <c r="Y758" s="56" t="n"/>
      <c r="Z758" s="56" t="n"/>
      <c r="AA758" s="56"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56" t="n"/>
      <c r="T759" s="56" t="n"/>
      <c r="U759" s="56" t="n"/>
      <c r="V759" s="56" t="n"/>
      <c r="W759" s="56" t="n"/>
      <c r="X759" s="56" t="n"/>
      <c r="Y759" s="56" t="n"/>
      <c r="Z759" s="56" t="n"/>
      <c r="AA759" s="56"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56" t="n"/>
      <c r="T760" s="56" t="n"/>
      <c r="U760" s="56" t="n"/>
      <c r="V760" s="56" t="n"/>
      <c r="W760" s="56" t="n"/>
      <c r="X760" s="56" t="n"/>
      <c r="Y760" s="56" t="n"/>
      <c r="Z760" s="56" t="n"/>
      <c r="AA760" s="56"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56" t="n"/>
      <c r="T761" s="56" t="n"/>
      <c r="U761" s="56" t="n"/>
      <c r="V761" s="56" t="n"/>
      <c r="W761" s="56" t="n"/>
      <c r="X761" s="56" t="n"/>
      <c r="Y761" s="56" t="n"/>
      <c r="Z761" s="56" t="n"/>
      <c r="AA761" s="56"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56" t="n"/>
      <c r="T762" s="56" t="n"/>
      <c r="U762" s="56" t="n"/>
      <c r="V762" s="56" t="n"/>
      <c r="W762" s="56" t="n"/>
      <c r="X762" s="56" t="n"/>
      <c r="Y762" s="56" t="n"/>
      <c r="Z762" s="56" t="n"/>
      <c r="AA762" s="56"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56" t="n"/>
      <c r="T763" s="56" t="n"/>
      <c r="U763" s="56" t="n"/>
      <c r="V763" s="56" t="n"/>
      <c r="W763" s="56" t="n"/>
      <c r="X763" s="56" t="n"/>
      <c r="Y763" s="56" t="n"/>
      <c r="Z763" s="56" t="n"/>
      <c r="AA763" s="56"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56" t="n"/>
      <c r="T764" s="56" t="n"/>
      <c r="U764" s="56" t="n"/>
      <c r="V764" s="56" t="n"/>
      <c r="W764" s="56" t="n"/>
      <c r="X764" s="56" t="n"/>
      <c r="Y764" s="56" t="n"/>
      <c r="Z764" s="56" t="n"/>
      <c r="AA764" s="56"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56" t="n"/>
      <c r="T765" s="56" t="n"/>
      <c r="U765" s="56" t="n"/>
      <c r="V765" s="56" t="n"/>
      <c r="W765" s="56" t="n"/>
      <c r="X765" s="56" t="n"/>
      <c r="Y765" s="56" t="n"/>
      <c r="Z765" s="56" t="n"/>
      <c r="AA765" s="56"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56" t="n"/>
      <c r="T766" s="56" t="n"/>
      <c r="U766" s="56" t="n"/>
      <c r="V766" s="56" t="n"/>
      <c r="W766" s="56" t="n"/>
      <c r="X766" s="56" t="n"/>
      <c r="Y766" s="56" t="n"/>
      <c r="Z766" s="56" t="n"/>
      <c r="AA766" s="56"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56" t="n"/>
      <c r="T767" s="56" t="n"/>
      <c r="U767" s="56" t="n"/>
      <c r="V767" s="56" t="n"/>
      <c r="W767" s="56" t="n"/>
      <c r="X767" s="56" t="n"/>
      <c r="Y767" s="56" t="n"/>
      <c r="Z767" s="56" t="n"/>
      <c r="AA767" s="56"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56" t="n"/>
      <c r="T768" s="56" t="n"/>
      <c r="U768" s="56" t="n"/>
      <c r="V768" s="56" t="n"/>
      <c r="W768" s="56" t="n"/>
      <c r="X768" s="56" t="n"/>
      <c r="Y768" s="56" t="n"/>
      <c r="Z768" s="56" t="n"/>
      <c r="AA768" s="56"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56" t="n"/>
      <c r="T769" s="56" t="n"/>
      <c r="U769" s="56" t="n"/>
      <c r="V769" s="56" t="n"/>
      <c r="W769" s="56" t="n"/>
      <c r="X769" s="56" t="n"/>
      <c r="Y769" s="56" t="n"/>
      <c r="Z769" s="56" t="n"/>
      <c r="AA769" s="56"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56" t="n"/>
      <c r="T770" s="56" t="n"/>
      <c r="U770" s="56" t="n"/>
      <c r="V770" s="56" t="n"/>
      <c r="W770" s="56" t="n"/>
      <c r="X770" s="56" t="n"/>
      <c r="Y770" s="56" t="n"/>
      <c r="Z770" s="56" t="n"/>
      <c r="AA770" s="56"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56" t="n"/>
      <c r="T771" s="56" t="n"/>
      <c r="U771" s="56" t="n"/>
      <c r="V771" s="56" t="n"/>
      <c r="W771" s="56" t="n"/>
      <c r="X771" s="56" t="n"/>
      <c r="Y771" s="56" t="n"/>
      <c r="Z771" s="56" t="n"/>
      <c r="AA771" s="56"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56" t="n"/>
      <c r="T772" s="56" t="n"/>
      <c r="U772" s="56" t="n"/>
      <c r="V772" s="56" t="n"/>
      <c r="W772" s="56" t="n"/>
      <c r="X772" s="56" t="n"/>
      <c r="Y772" s="56" t="n"/>
      <c r="Z772" s="56" t="n"/>
      <c r="AA772" s="56"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56" t="n"/>
      <c r="T773" s="56" t="n"/>
      <c r="U773" s="56" t="n"/>
      <c r="V773" s="56" t="n"/>
      <c r="W773" s="56" t="n"/>
      <c r="X773" s="56" t="n"/>
      <c r="Y773" s="56" t="n"/>
      <c r="Z773" s="56" t="n"/>
      <c r="AA773" s="56"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56" t="n"/>
      <c r="T774" s="56" t="n"/>
      <c r="U774" s="56" t="n"/>
      <c r="V774" s="56" t="n"/>
      <c r="W774" s="56" t="n"/>
      <c r="X774" s="56" t="n"/>
      <c r="Y774" s="56" t="n"/>
      <c r="Z774" s="56" t="n"/>
      <c r="AA774" s="56"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56" t="n"/>
      <c r="T775" s="56" t="n"/>
      <c r="U775" s="56" t="n"/>
      <c r="V775" s="56" t="n"/>
      <c r="W775" s="56" t="n"/>
      <c r="X775" s="56" t="n"/>
      <c r="Y775" s="56" t="n"/>
      <c r="Z775" s="56" t="n"/>
      <c r="AA775" s="56"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56" t="n"/>
      <c r="T776" s="56" t="n"/>
      <c r="U776" s="56" t="n"/>
      <c r="V776" s="56" t="n"/>
      <c r="W776" s="56" t="n"/>
      <c r="X776" s="56" t="n"/>
      <c r="Y776" s="56" t="n"/>
      <c r="Z776" s="56" t="n"/>
      <c r="AA776" s="56"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56" t="n"/>
      <c r="T777" s="56" t="n"/>
      <c r="U777" s="56" t="n"/>
      <c r="V777" s="56" t="n"/>
      <c r="W777" s="56" t="n"/>
      <c r="X777" s="56" t="n"/>
      <c r="Y777" s="56" t="n"/>
      <c r="Z777" s="56" t="n"/>
      <c r="AA777" s="56"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56" t="n"/>
      <c r="T778" s="56" t="n"/>
      <c r="U778" s="56" t="n"/>
      <c r="V778" s="56" t="n"/>
      <c r="W778" s="56" t="n"/>
      <c r="X778" s="56" t="n"/>
      <c r="Y778" s="56" t="n"/>
      <c r="Z778" s="56" t="n"/>
      <c r="AA778" s="56"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56" t="n"/>
      <c r="T779" s="56" t="n"/>
      <c r="U779" s="56" t="n"/>
      <c r="V779" s="56" t="n"/>
      <c r="W779" s="56" t="n"/>
      <c r="X779" s="56" t="n"/>
      <c r="Y779" s="56" t="n"/>
      <c r="Z779" s="56" t="n"/>
      <c r="AA779" s="56"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56" t="n"/>
      <c r="T780" s="56" t="n"/>
      <c r="U780" s="56" t="n"/>
      <c r="V780" s="56" t="n"/>
      <c r="W780" s="56" t="n"/>
      <c r="X780" s="56" t="n"/>
      <c r="Y780" s="56" t="n"/>
      <c r="Z780" s="56" t="n"/>
      <c r="AA780" s="56"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56" t="n"/>
      <c r="T781" s="56" t="n"/>
      <c r="U781" s="56" t="n"/>
      <c r="V781" s="56" t="n"/>
      <c r="W781" s="56" t="n"/>
      <c r="X781" s="56" t="n"/>
      <c r="Y781" s="56" t="n"/>
      <c r="Z781" s="56" t="n"/>
      <c r="AA781" s="56"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56" t="n"/>
      <c r="T782" s="56" t="n"/>
      <c r="U782" s="56" t="n"/>
      <c r="V782" s="56" t="n"/>
      <c r="W782" s="56" t="n"/>
      <c r="X782" s="56" t="n"/>
      <c r="Y782" s="56" t="n"/>
      <c r="Z782" s="56" t="n"/>
      <c r="AA782" s="56"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56" t="n"/>
      <c r="T783" s="56" t="n"/>
      <c r="U783" s="56" t="n"/>
      <c r="V783" s="56" t="n"/>
      <c r="W783" s="56" t="n"/>
      <c r="X783" s="56" t="n"/>
      <c r="Y783" s="56" t="n"/>
      <c r="Z783" s="56" t="n"/>
      <c r="AA783" s="56"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56" t="n"/>
      <c r="T784" s="56" t="n"/>
      <c r="U784" s="56" t="n"/>
      <c r="V784" s="56" t="n"/>
      <c r="W784" s="56" t="n"/>
      <c r="X784" s="56" t="n"/>
      <c r="Y784" s="56" t="n"/>
      <c r="Z784" s="56" t="n"/>
      <c r="AA784" s="56"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56" t="n"/>
      <c r="T785" s="56" t="n"/>
      <c r="U785" s="56" t="n"/>
      <c r="V785" s="56" t="n"/>
      <c r="W785" s="56" t="n"/>
      <c r="X785" s="56" t="n"/>
      <c r="Y785" s="56" t="n"/>
      <c r="Z785" s="56" t="n"/>
      <c r="AA785" s="56"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56" t="n"/>
      <c r="T786" s="56" t="n"/>
      <c r="U786" s="56" t="n"/>
      <c r="V786" s="56" t="n"/>
      <c r="W786" s="56" t="n"/>
      <c r="X786" s="56" t="n"/>
      <c r="Y786" s="56" t="n"/>
      <c r="Z786" s="56" t="n"/>
      <c r="AA786" s="56"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56" t="n"/>
      <c r="T787" s="56" t="n"/>
      <c r="U787" s="56" t="n"/>
      <c r="V787" s="56" t="n"/>
      <c r="W787" s="56" t="n"/>
      <c r="X787" s="56" t="n"/>
      <c r="Y787" s="56" t="n"/>
      <c r="Z787" s="56" t="n"/>
      <c r="AA787" s="56"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56" t="n"/>
      <c r="T788" s="56" t="n"/>
      <c r="U788" s="56" t="n"/>
      <c r="V788" s="56" t="n"/>
      <c r="W788" s="56" t="n"/>
      <c r="X788" s="56" t="n"/>
      <c r="Y788" s="56" t="n"/>
      <c r="Z788" s="56" t="n"/>
      <c r="AA788" s="56"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56" t="n"/>
      <c r="T789" s="56" t="n"/>
      <c r="U789" s="56" t="n"/>
      <c r="V789" s="56" t="n"/>
      <c r="W789" s="56" t="n"/>
      <c r="X789" s="56" t="n"/>
      <c r="Y789" s="56" t="n"/>
      <c r="Z789" s="56" t="n"/>
      <c r="AA789" s="56"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56" t="n"/>
      <c r="T790" s="56" t="n"/>
      <c r="U790" s="56" t="n"/>
      <c r="V790" s="56" t="n"/>
      <c r="W790" s="56" t="n"/>
      <c r="X790" s="56" t="n"/>
      <c r="Y790" s="56" t="n"/>
      <c r="Z790" s="56" t="n"/>
      <c r="AA790" s="56"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56" t="n"/>
      <c r="T791" s="56" t="n"/>
      <c r="U791" s="56" t="n"/>
      <c r="V791" s="56" t="n"/>
      <c r="W791" s="56" t="n"/>
      <c r="X791" s="56" t="n"/>
      <c r="Y791" s="56" t="n"/>
      <c r="Z791" s="56" t="n"/>
      <c r="AA791" s="56"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56" t="n"/>
      <c r="T792" s="56" t="n"/>
      <c r="U792" s="56" t="n"/>
      <c r="V792" s="56" t="n"/>
      <c r="W792" s="56" t="n"/>
      <c r="X792" s="56" t="n"/>
      <c r="Y792" s="56" t="n"/>
      <c r="Z792" s="56" t="n"/>
      <c r="AA792" s="56"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56" t="n"/>
      <c r="T793" s="56" t="n"/>
      <c r="U793" s="56" t="n"/>
      <c r="V793" s="56" t="n"/>
      <c r="W793" s="56" t="n"/>
      <c r="X793" s="56" t="n"/>
      <c r="Y793" s="56" t="n"/>
      <c r="Z793" s="56" t="n"/>
      <c r="AA793" s="56"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56" t="n"/>
      <c r="T794" s="56" t="n"/>
      <c r="U794" s="56" t="n"/>
      <c r="V794" s="56" t="n"/>
      <c r="W794" s="56" t="n"/>
      <c r="X794" s="56" t="n"/>
      <c r="Y794" s="56" t="n"/>
      <c r="Z794" s="56" t="n"/>
      <c r="AA794" s="56"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56" t="n"/>
      <c r="T795" s="56" t="n"/>
      <c r="U795" s="56" t="n"/>
      <c r="V795" s="56" t="n"/>
      <c r="W795" s="56" t="n"/>
      <c r="X795" s="56" t="n"/>
      <c r="Y795" s="56" t="n"/>
      <c r="Z795" s="56" t="n"/>
      <c r="AA795" s="56"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56" t="n"/>
      <c r="T796" s="56" t="n"/>
      <c r="U796" s="56" t="n"/>
      <c r="V796" s="56" t="n"/>
      <c r="W796" s="56" t="n"/>
      <c r="X796" s="56" t="n"/>
      <c r="Y796" s="56" t="n"/>
      <c r="Z796" s="56" t="n"/>
      <c r="AA796" s="56"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56" t="n"/>
      <c r="T797" s="56" t="n"/>
      <c r="U797" s="56" t="n"/>
      <c r="V797" s="56" t="n"/>
      <c r="W797" s="56" t="n"/>
      <c r="X797" s="56" t="n"/>
      <c r="Y797" s="56" t="n"/>
      <c r="Z797" s="56" t="n"/>
      <c r="AA797" s="56"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56" t="n"/>
      <c r="T798" s="56" t="n"/>
      <c r="U798" s="56" t="n"/>
      <c r="V798" s="56" t="n"/>
      <c r="W798" s="56" t="n"/>
      <c r="X798" s="56" t="n"/>
      <c r="Y798" s="56" t="n"/>
      <c r="Z798" s="56" t="n"/>
      <c r="AA798" s="56"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56" t="n"/>
      <c r="T799" s="56" t="n"/>
      <c r="U799" s="56" t="n"/>
      <c r="V799" s="56" t="n"/>
      <c r="W799" s="56" t="n"/>
      <c r="X799" s="56" t="n"/>
      <c r="Y799" s="56" t="n"/>
      <c r="Z799" s="56" t="n"/>
      <c r="AA799" s="56"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56" t="n"/>
      <c r="T800" s="56" t="n"/>
      <c r="U800" s="56" t="n"/>
      <c r="V800" s="56" t="n"/>
      <c r="W800" s="56" t="n"/>
      <c r="X800" s="56" t="n"/>
      <c r="Y800" s="56" t="n"/>
      <c r="Z800" s="56" t="n"/>
      <c r="AA800" s="56"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56" t="n"/>
      <c r="T801" s="56" t="n"/>
      <c r="U801" s="56" t="n"/>
      <c r="V801" s="56" t="n"/>
      <c r="W801" s="56" t="n"/>
      <c r="X801" s="56" t="n"/>
      <c r="Y801" s="56" t="n"/>
      <c r="Z801" s="56" t="n"/>
      <c r="AA801" s="56"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56" t="n"/>
      <c r="T802" s="56" t="n"/>
      <c r="U802" s="56" t="n"/>
      <c r="V802" s="56" t="n"/>
      <c r="W802" s="56" t="n"/>
      <c r="X802" s="56" t="n"/>
      <c r="Y802" s="56" t="n"/>
      <c r="Z802" s="56" t="n"/>
      <c r="AA802" s="56"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56" t="n"/>
      <c r="T803" s="56" t="n"/>
      <c r="U803" s="56" t="n"/>
      <c r="V803" s="56" t="n"/>
      <c r="W803" s="56" t="n"/>
      <c r="X803" s="56" t="n"/>
      <c r="Y803" s="56" t="n"/>
      <c r="Z803" s="56" t="n"/>
      <c r="AA803" s="56"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56" t="n"/>
      <c r="T804" s="56" t="n"/>
      <c r="U804" s="56" t="n"/>
      <c r="V804" s="56" t="n"/>
      <c r="W804" s="56" t="n"/>
      <c r="X804" s="56" t="n"/>
      <c r="Y804" s="56" t="n"/>
      <c r="Z804" s="56" t="n"/>
      <c r="AA804" s="56"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56" t="n"/>
      <c r="T805" s="56" t="n"/>
      <c r="U805" s="56" t="n"/>
      <c r="V805" s="56" t="n"/>
      <c r="W805" s="56" t="n"/>
      <c r="X805" s="56" t="n"/>
      <c r="Y805" s="56" t="n"/>
      <c r="Z805" s="56" t="n"/>
      <c r="AA805" s="56"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56" t="n"/>
      <c r="T806" s="56" t="n"/>
      <c r="U806" s="56" t="n"/>
      <c r="V806" s="56" t="n"/>
      <c r="W806" s="56" t="n"/>
      <c r="X806" s="56" t="n"/>
      <c r="Y806" s="56" t="n"/>
      <c r="Z806" s="56" t="n"/>
      <c r="AA806" s="56"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56" t="n"/>
      <c r="T807" s="56" t="n"/>
      <c r="U807" s="56" t="n"/>
      <c r="V807" s="56" t="n"/>
      <c r="W807" s="56" t="n"/>
      <c r="X807" s="56" t="n"/>
      <c r="Y807" s="56" t="n"/>
      <c r="Z807" s="56" t="n"/>
      <c r="AA807" s="56"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56" t="n"/>
      <c r="T808" s="56" t="n"/>
      <c r="U808" s="56" t="n"/>
      <c r="V808" s="56" t="n"/>
      <c r="W808" s="56" t="n"/>
      <c r="X808" s="56" t="n"/>
      <c r="Y808" s="56" t="n"/>
      <c r="Z808" s="56" t="n"/>
      <c r="AA808" s="56"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56" t="n"/>
      <c r="T809" s="56" t="n"/>
      <c r="U809" s="56" t="n"/>
      <c r="V809" s="56" t="n"/>
      <c r="W809" s="56" t="n"/>
      <c r="X809" s="56" t="n"/>
      <c r="Y809" s="56" t="n"/>
      <c r="Z809" s="56" t="n"/>
      <c r="AA809" s="56"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56" t="n"/>
      <c r="T810" s="56" t="n"/>
      <c r="U810" s="56" t="n"/>
      <c r="V810" s="56" t="n"/>
      <c r="W810" s="56" t="n"/>
      <c r="X810" s="56" t="n"/>
      <c r="Y810" s="56" t="n"/>
      <c r="Z810" s="56" t="n"/>
      <c r="AA810" s="56"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56" t="n"/>
      <c r="T811" s="56" t="n"/>
      <c r="U811" s="56" t="n"/>
      <c r="V811" s="56" t="n"/>
      <c r="W811" s="56" t="n"/>
      <c r="X811" s="56" t="n"/>
      <c r="Y811" s="56" t="n"/>
      <c r="Z811" s="56" t="n"/>
      <c r="AA811" s="56"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56" t="n"/>
      <c r="T812" s="56" t="n"/>
      <c r="U812" s="56" t="n"/>
      <c r="V812" s="56" t="n"/>
      <c r="W812" s="56" t="n"/>
      <c r="X812" s="56" t="n"/>
      <c r="Y812" s="56" t="n"/>
      <c r="Z812" s="56" t="n"/>
      <c r="AA812" s="56"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56" t="n"/>
      <c r="T813" s="56" t="n"/>
      <c r="U813" s="56" t="n"/>
      <c r="V813" s="56" t="n"/>
      <c r="W813" s="56" t="n"/>
      <c r="X813" s="56" t="n"/>
      <c r="Y813" s="56" t="n"/>
      <c r="Z813" s="56" t="n"/>
      <c r="AA813" s="56"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56" t="n"/>
      <c r="T814" s="56" t="n"/>
      <c r="U814" s="56" t="n"/>
      <c r="V814" s="56" t="n"/>
      <c r="W814" s="56" t="n"/>
      <c r="X814" s="56" t="n"/>
      <c r="Y814" s="56" t="n"/>
      <c r="Z814" s="56" t="n"/>
      <c r="AA814" s="56"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56" t="n"/>
      <c r="T815" s="56" t="n"/>
      <c r="U815" s="56" t="n"/>
      <c r="V815" s="56" t="n"/>
      <c r="W815" s="56" t="n"/>
      <c r="X815" s="56" t="n"/>
      <c r="Y815" s="56" t="n"/>
      <c r="Z815" s="56" t="n"/>
      <c r="AA815" s="56"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56" t="n"/>
      <c r="T816" s="56" t="n"/>
      <c r="U816" s="56" t="n"/>
      <c r="V816" s="56" t="n"/>
      <c r="W816" s="56" t="n"/>
      <c r="X816" s="56" t="n"/>
      <c r="Y816" s="56" t="n"/>
      <c r="Z816" s="56" t="n"/>
      <c r="AA816" s="56"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56" t="n"/>
      <c r="T817" s="56" t="n"/>
      <c r="U817" s="56" t="n"/>
      <c r="V817" s="56" t="n"/>
      <c r="W817" s="56" t="n"/>
      <c r="X817" s="56" t="n"/>
      <c r="Y817" s="56" t="n"/>
      <c r="Z817" s="56" t="n"/>
      <c r="AA817" s="56"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56" t="n"/>
      <c r="T818" s="56" t="n"/>
      <c r="U818" s="56" t="n"/>
      <c r="V818" s="56" t="n"/>
      <c r="W818" s="56" t="n"/>
      <c r="X818" s="56" t="n"/>
      <c r="Y818" s="56" t="n"/>
      <c r="Z818" s="56" t="n"/>
      <c r="AA818" s="56"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56" t="n"/>
      <c r="T819" s="56" t="n"/>
      <c r="U819" s="56" t="n"/>
      <c r="V819" s="56" t="n"/>
      <c r="W819" s="56" t="n"/>
      <c r="X819" s="56" t="n"/>
      <c r="Y819" s="56" t="n"/>
      <c r="Z819" s="56" t="n"/>
      <c r="AA819" s="56"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56" t="n"/>
      <c r="T820" s="56" t="n"/>
      <c r="U820" s="56" t="n"/>
      <c r="V820" s="56" t="n"/>
      <c r="W820" s="56" t="n"/>
      <c r="X820" s="56" t="n"/>
      <c r="Y820" s="56" t="n"/>
      <c r="Z820" s="56" t="n"/>
      <c r="AA820" s="56"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56" t="n"/>
      <c r="T821" s="56" t="n"/>
      <c r="U821" s="56" t="n"/>
      <c r="V821" s="56" t="n"/>
      <c r="W821" s="56" t="n"/>
      <c r="X821" s="56" t="n"/>
      <c r="Y821" s="56" t="n"/>
      <c r="Z821" s="56" t="n"/>
      <c r="AA821" s="56"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56" t="n"/>
      <c r="T822" s="56" t="n"/>
      <c r="U822" s="56" t="n"/>
      <c r="V822" s="56" t="n"/>
      <c r="W822" s="56" t="n"/>
      <c r="X822" s="56" t="n"/>
      <c r="Y822" s="56" t="n"/>
      <c r="Z822" s="56" t="n"/>
      <c r="AA822" s="56"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56" t="n"/>
      <c r="T823" s="56" t="n"/>
      <c r="U823" s="56" t="n"/>
      <c r="V823" s="56" t="n"/>
      <c r="W823" s="56" t="n"/>
      <c r="X823" s="56" t="n"/>
      <c r="Y823" s="56" t="n"/>
      <c r="Z823" s="56" t="n"/>
      <c r="AA823" s="56"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56" t="n"/>
      <c r="T824" s="56" t="n"/>
      <c r="U824" s="56" t="n"/>
      <c r="V824" s="56" t="n"/>
      <c r="W824" s="56" t="n"/>
      <c r="X824" s="56" t="n"/>
      <c r="Y824" s="56" t="n"/>
      <c r="Z824" s="56" t="n"/>
      <c r="AA824" s="56"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56" t="n"/>
      <c r="T825" s="56" t="n"/>
      <c r="U825" s="56" t="n"/>
      <c r="V825" s="56" t="n"/>
      <c r="W825" s="56" t="n"/>
      <c r="X825" s="56" t="n"/>
      <c r="Y825" s="56" t="n"/>
      <c r="Z825" s="56" t="n"/>
      <c r="AA825" s="56"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56" t="n"/>
      <c r="T826" s="56" t="n"/>
      <c r="U826" s="56" t="n"/>
      <c r="V826" s="56" t="n"/>
      <c r="W826" s="56" t="n"/>
      <c r="X826" s="56" t="n"/>
      <c r="Y826" s="56" t="n"/>
      <c r="Z826" s="56" t="n"/>
      <c r="AA826" s="56"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56" t="n"/>
      <c r="T827" s="56" t="n"/>
      <c r="U827" s="56" t="n"/>
      <c r="V827" s="56" t="n"/>
      <c r="W827" s="56" t="n"/>
      <c r="X827" s="56" t="n"/>
      <c r="Y827" s="56" t="n"/>
      <c r="Z827" s="56" t="n"/>
      <c r="AA827" s="56"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56" t="n"/>
      <c r="T828" s="56" t="n"/>
      <c r="U828" s="56" t="n"/>
      <c r="V828" s="56" t="n"/>
      <c r="W828" s="56" t="n"/>
      <c r="X828" s="56" t="n"/>
      <c r="Y828" s="56" t="n"/>
      <c r="Z828" s="56" t="n"/>
      <c r="AA828" s="56"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56" t="n"/>
      <c r="T829" s="56" t="n"/>
      <c r="U829" s="56" t="n"/>
      <c r="V829" s="56" t="n"/>
      <c r="W829" s="56" t="n"/>
      <c r="X829" s="56" t="n"/>
      <c r="Y829" s="56" t="n"/>
      <c r="Z829" s="56" t="n"/>
      <c r="AA829" s="56"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56" t="n"/>
      <c r="T830" s="56" t="n"/>
      <c r="U830" s="56" t="n"/>
      <c r="V830" s="56" t="n"/>
      <c r="W830" s="56" t="n"/>
      <c r="X830" s="56" t="n"/>
      <c r="Y830" s="56" t="n"/>
      <c r="Z830" s="56" t="n"/>
      <c r="AA830" s="56"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56" t="n"/>
      <c r="T831" s="56" t="n"/>
      <c r="U831" s="56" t="n"/>
      <c r="V831" s="56" t="n"/>
      <c r="W831" s="56" t="n"/>
      <c r="X831" s="56" t="n"/>
      <c r="Y831" s="56" t="n"/>
      <c r="Z831" s="56" t="n"/>
      <c r="AA831" s="56"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56" t="n"/>
      <c r="T832" s="56" t="n"/>
      <c r="U832" s="56" t="n"/>
      <c r="V832" s="56" t="n"/>
      <c r="W832" s="56" t="n"/>
      <c r="X832" s="56" t="n"/>
      <c r="Y832" s="56" t="n"/>
      <c r="Z832" s="56" t="n"/>
      <c r="AA832" s="56"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56" t="n"/>
      <c r="T833" s="56" t="n"/>
      <c r="U833" s="56" t="n"/>
      <c r="V833" s="56" t="n"/>
      <c r="W833" s="56" t="n"/>
      <c r="X833" s="56" t="n"/>
      <c r="Y833" s="56" t="n"/>
      <c r="Z833" s="56" t="n"/>
      <c r="AA833" s="56"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56" t="n"/>
      <c r="T834" s="56" t="n"/>
      <c r="U834" s="56" t="n"/>
      <c r="V834" s="56" t="n"/>
      <c r="W834" s="56" t="n"/>
      <c r="X834" s="56" t="n"/>
      <c r="Y834" s="56" t="n"/>
      <c r="Z834" s="56" t="n"/>
      <c r="AA834" s="56"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56" t="n"/>
      <c r="T835" s="56" t="n"/>
      <c r="U835" s="56" t="n"/>
      <c r="V835" s="56" t="n"/>
      <c r="W835" s="56" t="n"/>
      <c r="X835" s="56" t="n"/>
      <c r="Y835" s="56" t="n"/>
      <c r="Z835" s="56" t="n"/>
      <c r="AA835" s="56"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56" t="n"/>
      <c r="T836" s="56" t="n"/>
      <c r="U836" s="56" t="n"/>
      <c r="V836" s="56" t="n"/>
      <c r="W836" s="56" t="n"/>
      <c r="X836" s="56" t="n"/>
      <c r="Y836" s="56" t="n"/>
      <c r="Z836" s="56" t="n"/>
      <c r="AA836" s="56"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56" t="n"/>
      <c r="T837" s="56" t="n"/>
      <c r="U837" s="56" t="n"/>
      <c r="V837" s="56" t="n"/>
      <c r="W837" s="56" t="n"/>
      <c r="X837" s="56" t="n"/>
      <c r="Y837" s="56" t="n"/>
      <c r="Z837" s="56" t="n"/>
      <c r="AA837" s="56"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56" t="n"/>
      <c r="T838" s="56" t="n"/>
      <c r="U838" s="56" t="n"/>
      <c r="V838" s="56" t="n"/>
      <c r="W838" s="56" t="n"/>
      <c r="X838" s="56" t="n"/>
      <c r="Y838" s="56" t="n"/>
      <c r="Z838" s="56" t="n"/>
      <c r="AA838" s="56"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56" t="n"/>
      <c r="T839" s="56" t="n"/>
      <c r="U839" s="56" t="n"/>
      <c r="V839" s="56" t="n"/>
      <c r="W839" s="56" t="n"/>
      <c r="X839" s="56" t="n"/>
      <c r="Y839" s="56" t="n"/>
      <c r="Z839" s="56" t="n"/>
      <c r="AA839" s="56"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56" t="n"/>
      <c r="T840" s="56" t="n"/>
      <c r="U840" s="56" t="n"/>
      <c r="V840" s="56" t="n"/>
      <c r="W840" s="56" t="n"/>
      <c r="X840" s="56" t="n"/>
      <c r="Y840" s="56" t="n"/>
      <c r="Z840" s="56" t="n"/>
      <c r="AA840" s="56"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56" t="n"/>
      <c r="T841" s="56" t="n"/>
      <c r="U841" s="56" t="n"/>
      <c r="V841" s="56" t="n"/>
      <c r="W841" s="56" t="n"/>
      <c r="X841" s="56" t="n"/>
      <c r="Y841" s="56" t="n"/>
      <c r="Z841" s="56" t="n"/>
      <c r="AA841" s="56"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56" t="n"/>
      <c r="T842" s="56" t="n"/>
      <c r="U842" s="56" t="n"/>
      <c r="V842" s="56" t="n"/>
      <c r="W842" s="56" t="n"/>
      <c r="X842" s="56" t="n"/>
      <c r="Y842" s="56" t="n"/>
      <c r="Z842" s="56" t="n"/>
      <c r="AA842" s="56"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56" t="n"/>
      <c r="T843" s="56" t="n"/>
      <c r="U843" s="56" t="n"/>
      <c r="V843" s="56" t="n"/>
      <c r="W843" s="56" t="n"/>
      <c r="X843" s="56" t="n"/>
      <c r="Y843" s="56" t="n"/>
      <c r="Z843" s="56" t="n"/>
      <c r="AA843" s="56"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56" t="n"/>
      <c r="T844" s="56" t="n"/>
      <c r="U844" s="56" t="n"/>
      <c r="V844" s="56" t="n"/>
      <c r="W844" s="56" t="n"/>
      <c r="X844" s="56" t="n"/>
      <c r="Y844" s="56" t="n"/>
      <c r="Z844" s="56" t="n"/>
      <c r="AA844" s="56"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56" t="n"/>
      <c r="T845" s="56" t="n"/>
      <c r="U845" s="56" t="n"/>
      <c r="V845" s="56" t="n"/>
      <c r="W845" s="56" t="n"/>
      <c r="X845" s="56" t="n"/>
      <c r="Y845" s="56" t="n"/>
      <c r="Z845" s="56" t="n"/>
      <c r="AA845" s="56"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56" t="n"/>
      <c r="T846" s="56" t="n"/>
      <c r="U846" s="56" t="n"/>
      <c r="V846" s="56" t="n"/>
      <c r="W846" s="56" t="n"/>
      <c r="X846" s="56" t="n"/>
      <c r="Y846" s="56" t="n"/>
      <c r="Z846" s="56" t="n"/>
      <c r="AA846" s="56"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56" t="n"/>
      <c r="T847" s="56" t="n"/>
      <c r="U847" s="56" t="n"/>
      <c r="V847" s="56" t="n"/>
      <c r="W847" s="56" t="n"/>
      <c r="X847" s="56" t="n"/>
      <c r="Y847" s="56" t="n"/>
      <c r="Z847" s="56" t="n"/>
      <c r="AA847" s="56"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56" t="n"/>
      <c r="T848" s="56" t="n"/>
      <c r="U848" s="56" t="n"/>
      <c r="V848" s="56" t="n"/>
      <c r="W848" s="56" t="n"/>
      <c r="X848" s="56" t="n"/>
      <c r="Y848" s="56" t="n"/>
      <c r="Z848" s="56" t="n"/>
      <c r="AA848" s="56"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56" t="n"/>
      <c r="T849" s="56" t="n"/>
      <c r="U849" s="56" t="n"/>
      <c r="V849" s="56" t="n"/>
      <c r="W849" s="56" t="n"/>
      <c r="X849" s="56" t="n"/>
      <c r="Y849" s="56" t="n"/>
      <c r="Z849" s="56" t="n"/>
      <c r="AA849" s="56"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56" t="n"/>
      <c r="T850" s="56" t="n"/>
      <c r="U850" s="56" t="n"/>
      <c r="V850" s="56" t="n"/>
      <c r="W850" s="56" t="n"/>
      <c r="X850" s="56" t="n"/>
      <c r="Y850" s="56" t="n"/>
      <c r="Z850" s="56" t="n"/>
      <c r="AA850" s="56"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56" t="n"/>
      <c r="T851" s="56" t="n"/>
      <c r="U851" s="56" t="n"/>
      <c r="V851" s="56" t="n"/>
      <c r="W851" s="56" t="n"/>
      <c r="X851" s="56" t="n"/>
      <c r="Y851" s="56" t="n"/>
      <c r="Z851" s="56" t="n"/>
      <c r="AA851" s="56"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56" t="n"/>
      <c r="T852" s="56" t="n"/>
      <c r="U852" s="56" t="n"/>
      <c r="V852" s="56" t="n"/>
      <c r="W852" s="56" t="n"/>
      <c r="X852" s="56" t="n"/>
      <c r="Y852" s="56" t="n"/>
      <c r="Z852" s="56" t="n"/>
      <c r="AA852" s="56"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56" t="n"/>
      <c r="T853" s="56" t="n"/>
      <c r="U853" s="56" t="n"/>
      <c r="V853" s="56" t="n"/>
      <c r="W853" s="56" t="n"/>
      <c r="X853" s="56" t="n"/>
      <c r="Y853" s="56" t="n"/>
      <c r="Z853" s="56" t="n"/>
      <c r="AA853" s="56"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56" t="n"/>
      <c r="T854" s="56" t="n"/>
      <c r="U854" s="56" t="n"/>
      <c r="V854" s="56" t="n"/>
      <c r="W854" s="56" t="n"/>
      <c r="X854" s="56" t="n"/>
      <c r="Y854" s="56" t="n"/>
      <c r="Z854" s="56" t="n"/>
      <c r="AA854" s="56"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56" t="n"/>
      <c r="T855" s="56" t="n"/>
      <c r="U855" s="56" t="n"/>
      <c r="V855" s="56" t="n"/>
      <c r="W855" s="56" t="n"/>
      <c r="X855" s="56" t="n"/>
      <c r="Y855" s="56" t="n"/>
      <c r="Z855" s="56" t="n"/>
      <c r="AA855" s="56"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56" t="n"/>
      <c r="T856" s="56" t="n"/>
      <c r="U856" s="56" t="n"/>
      <c r="V856" s="56" t="n"/>
      <c r="W856" s="56" t="n"/>
      <c r="X856" s="56" t="n"/>
      <c r="Y856" s="56" t="n"/>
      <c r="Z856" s="56" t="n"/>
      <c r="AA856" s="56"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56" t="n"/>
      <c r="T857" s="56" t="n"/>
      <c r="U857" s="56" t="n"/>
      <c r="V857" s="56" t="n"/>
      <c r="W857" s="56" t="n"/>
      <c r="X857" s="56" t="n"/>
      <c r="Y857" s="56" t="n"/>
      <c r="Z857" s="56" t="n"/>
      <c r="AA857" s="56"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56" t="n"/>
      <c r="T858" s="56" t="n"/>
      <c r="U858" s="56" t="n"/>
      <c r="V858" s="56" t="n"/>
      <c r="W858" s="56" t="n"/>
      <c r="X858" s="56" t="n"/>
      <c r="Y858" s="56" t="n"/>
      <c r="Z858" s="56" t="n"/>
      <c r="AA858" s="56"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56" t="n"/>
      <c r="T859" s="56" t="n"/>
      <c r="U859" s="56" t="n"/>
      <c r="V859" s="56" t="n"/>
      <c r="W859" s="56" t="n"/>
      <c r="X859" s="56" t="n"/>
      <c r="Y859" s="56" t="n"/>
      <c r="Z859" s="56" t="n"/>
      <c r="AA859" s="56"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56" t="n"/>
      <c r="T860" s="56" t="n"/>
      <c r="U860" s="56" t="n"/>
      <c r="V860" s="56" t="n"/>
      <c r="W860" s="56" t="n"/>
      <c r="X860" s="56" t="n"/>
      <c r="Y860" s="56" t="n"/>
      <c r="Z860" s="56" t="n"/>
      <c r="AA860" s="56"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56" t="n"/>
      <c r="T861" s="56" t="n"/>
      <c r="U861" s="56" t="n"/>
      <c r="V861" s="56" t="n"/>
      <c r="W861" s="56" t="n"/>
      <c r="X861" s="56" t="n"/>
      <c r="Y861" s="56" t="n"/>
      <c r="Z861" s="56" t="n"/>
      <c r="AA861" s="56"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56" t="n"/>
      <c r="T862" s="56" t="n"/>
      <c r="U862" s="56" t="n"/>
      <c r="V862" s="56" t="n"/>
      <c r="W862" s="56" t="n"/>
      <c r="X862" s="56" t="n"/>
      <c r="Y862" s="56" t="n"/>
      <c r="Z862" s="56" t="n"/>
      <c r="AA862" s="56"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56" t="n"/>
      <c r="T863" s="56" t="n"/>
      <c r="U863" s="56" t="n"/>
      <c r="V863" s="56" t="n"/>
      <c r="W863" s="56" t="n"/>
      <c r="X863" s="56" t="n"/>
      <c r="Y863" s="56" t="n"/>
      <c r="Z863" s="56" t="n"/>
      <c r="AA863" s="56"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56" t="n"/>
      <c r="T864" s="56" t="n"/>
      <c r="U864" s="56" t="n"/>
      <c r="V864" s="56" t="n"/>
      <c r="W864" s="56" t="n"/>
      <c r="X864" s="56" t="n"/>
      <c r="Y864" s="56" t="n"/>
      <c r="Z864" s="56" t="n"/>
      <c r="AA864" s="56"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56" t="n"/>
      <c r="T865" s="56" t="n"/>
      <c r="U865" s="56" t="n"/>
      <c r="V865" s="56" t="n"/>
      <c r="W865" s="56" t="n"/>
      <c r="X865" s="56" t="n"/>
      <c r="Y865" s="56" t="n"/>
      <c r="Z865" s="56" t="n"/>
      <c r="AA865" s="56"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56" t="n"/>
      <c r="T866" s="56" t="n"/>
      <c r="U866" s="56" t="n"/>
      <c r="V866" s="56" t="n"/>
      <c r="W866" s="56" t="n"/>
      <c r="X866" s="56" t="n"/>
      <c r="Y866" s="56" t="n"/>
      <c r="Z866" s="56" t="n"/>
      <c r="AA866" s="56"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56" t="n"/>
      <c r="T867" s="56" t="n"/>
      <c r="U867" s="56" t="n"/>
      <c r="V867" s="56" t="n"/>
      <c r="W867" s="56" t="n"/>
      <c r="X867" s="56" t="n"/>
      <c r="Y867" s="56" t="n"/>
      <c r="Z867" s="56" t="n"/>
      <c r="AA867" s="56"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56" t="n"/>
      <c r="T868" s="56" t="n"/>
      <c r="U868" s="56" t="n"/>
      <c r="V868" s="56" t="n"/>
      <c r="W868" s="56" t="n"/>
      <c r="X868" s="56" t="n"/>
      <c r="Y868" s="56" t="n"/>
      <c r="Z868" s="56" t="n"/>
      <c r="AA868" s="56"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56" t="n"/>
      <c r="T869" s="56" t="n"/>
      <c r="U869" s="56" t="n"/>
      <c r="V869" s="56" t="n"/>
      <c r="W869" s="56" t="n"/>
      <c r="X869" s="56" t="n"/>
      <c r="Y869" s="56" t="n"/>
      <c r="Z869" s="56" t="n"/>
      <c r="AA869" s="56"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56" t="n"/>
      <c r="T870" s="56" t="n"/>
      <c r="U870" s="56" t="n"/>
      <c r="V870" s="56" t="n"/>
      <c r="W870" s="56" t="n"/>
      <c r="X870" s="56" t="n"/>
      <c r="Y870" s="56" t="n"/>
      <c r="Z870" s="56" t="n"/>
      <c r="AA870" s="56"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56" t="n"/>
      <c r="T871" s="56" t="n"/>
      <c r="U871" s="56" t="n"/>
      <c r="V871" s="56" t="n"/>
      <c r="W871" s="56" t="n"/>
      <c r="X871" s="56" t="n"/>
      <c r="Y871" s="56" t="n"/>
      <c r="Z871" s="56" t="n"/>
      <c r="AA871" s="56"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56" t="n"/>
      <c r="T872" s="56" t="n"/>
      <c r="U872" s="56" t="n"/>
      <c r="V872" s="56" t="n"/>
      <c r="W872" s="56" t="n"/>
      <c r="X872" s="56" t="n"/>
      <c r="Y872" s="56" t="n"/>
      <c r="Z872" s="56" t="n"/>
      <c r="AA872" s="56"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56" t="n"/>
      <c r="T873" s="56" t="n"/>
      <c r="U873" s="56" t="n"/>
      <c r="V873" s="56" t="n"/>
      <c r="W873" s="56" t="n"/>
      <c r="X873" s="56" t="n"/>
      <c r="Y873" s="56" t="n"/>
      <c r="Z873" s="56" t="n"/>
      <c r="AA873" s="56"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56" t="n"/>
      <c r="T874" s="56" t="n"/>
      <c r="U874" s="56" t="n"/>
      <c r="V874" s="56" t="n"/>
      <c r="W874" s="56" t="n"/>
      <c r="X874" s="56" t="n"/>
      <c r="Y874" s="56" t="n"/>
      <c r="Z874" s="56" t="n"/>
      <c r="AA874" s="56"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56" t="n"/>
      <c r="T875" s="56" t="n"/>
      <c r="U875" s="56" t="n"/>
      <c r="V875" s="56" t="n"/>
      <c r="W875" s="56" t="n"/>
      <c r="X875" s="56" t="n"/>
      <c r="Y875" s="56" t="n"/>
      <c r="Z875" s="56" t="n"/>
      <c r="AA875" s="56"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56" t="n"/>
      <c r="T876" s="56" t="n"/>
      <c r="U876" s="56" t="n"/>
      <c r="V876" s="56" t="n"/>
      <c r="W876" s="56" t="n"/>
      <c r="X876" s="56" t="n"/>
      <c r="Y876" s="56" t="n"/>
      <c r="Z876" s="56" t="n"/>
      <c r="AA876" s="56"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56" t="n"/>
      <c r="T877" s="56" t="n"/>
      <c r="U877" s="56" t="n"/>
      <c r="V877" s="56" t="n"/>
      <c r="W877" s="56" t="n"/>
      <c r="X877" s="56" t="n"/>
      <c r="Y877" s="56" t="n"/>
      <c r="Z877" s="56" t="n"/>
      <c r="AA877" s="56"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56" t="n"/>
      <c r="T878" s="56" t="n"/>
      <c r="U878" s="56" t="n"/>
      <c r="V878" s="56" t="n"/>
      <c r="W878" s="56" t="n"/>
      <c r="X878" s="56" t="n"/>
      <c r="Y878" s="56" t="n"/>
      <c r="Z878" s="56" t="n"/>
      <c r="AA878" s="56"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56" t="n"/>
      <c r="T879" s="56" t="n"/>
      <c r="U879" s="56" t="n"/>
      <c r="V879" s="56" t="n"/>
      <c r="W879" s="56" t="n"/>
      <c r="X879" s="56" t="n"/>
      <c r="Y879" s="56" t="n"/>
      <c r="Z879" s="56" t="n"/>
      <c r="AA879" s="56"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56" t="n"/>
      <c r="T880" s="56" t="n"/>
      <c r="U880" s="56" t="n"/>
      <c r="V880" s="56" t="n"/>
      <c r="W880" s="56" t="n"/>
      <c r="X880" s="56" t="n"/>
      <c r="Y880" s="56" t="n"/>
      <c r="Z880" s="56" t="n"/>
      <c r="AA880" s="56"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56" t="n"/>
      <c r="T881" s="56" t="n"/>
      <c r="U881" s="56" t="n"/>
      <c r="V881" s="56" t="n"/>
      <c r="W881" s="56" t="n"/>
      <c r="X881" s="56" t="n"/>
      <c r="Y881" s="56" t="n"/>
      <c r="Z881" s="56" t="n"/>
      <c r="AA881" s="56"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56" t="n"/>
      <c r="T882" s="56" t="n"/>
      <c r="U882" s="56" t="n"/>
      <c r="V882" s="56" t="n"/>
      <c r="W882" s="56" t="n"/>
      <c r="X882" s="56" t="n"/>
      <c r="Y882" s="56" t="n"/>
      <c r="Z882" s="56" t="n"/>
      <c r="AA882" s="56"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56" t="n"/>
      <c r="T883" s="56" t="n"/>
      <c r="U883" s="56" t="n"/>
      <c r="V883" s="56" t="n"/>
      <c r="W883" s="56" t="n"/>
      <c r="X883" s="56" t="n"/>
      <c r="Y883" s="56" t="n"/>
      <c r="Z883" s="56" t="n"/>
      <c r="AA883" s="56"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56" t="n"/>
      <c r="T884" s="56" t="n"/>
      <c r="U884" s="56" t="n"/>
      <c r="V884" s="56" t="n"/>
      <c r="W884" s="56" t="n"/>
      <c r="X884" s="56" t="n"/>
      <c r="Y884" s="56" t="n"/>
      <c r="Z884" s="56" t="n"/>
      <c r="AA884" s="56"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56" t="n"/>
      <c r="T885" s="56" t="n"/>
      <c r="U885" s="56" t="n"/>
      <c r="V885" s="56" t="n"/>
      <c r="W885" s="56" t="n"/>
      <c r="X885" s="56" t="n"/>
      <c r="Y885" s="56" t="n"/>
      <c r="Z885" s="56" t="n"/>
      <c r="AA885" s="56"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56" t="n"/>
      <c r="T886" s="56" t="n"/>
      <c r="U886" s="56" t="n"/>
      <c r="V886" s="56" t="n"/>
      <c r="W886" s="56" t="n"/>
      <c r="X886" s="56" t="n"/>
      <c r="Y886" s="56" t="n"/>
      <c r="Z886" s="56" t="n"/>
      <c r="AA886" s="56"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56" t="n"/>
      <c r="T887" s="56" t="n"/>
      <c r="U887" s="56" t="n"/>
      <c r="V887" s="56" t="n"/>
      <c r="W887" s="56" t="n"/>
      <c r="X887" s="56" t="n"/>
      <c r="Y887" s="56" t="n"/>
      <c r="Z887" s="56" t="n"/>
      <c r="AA887" s="56"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56" t="n"/>
      <c r="T888" s="56" t="n"/>
      <c r="U888" s="56" t="n"/>
      <c r="V888" s="56" t="n"/>
      <c r="W888" s="56" t="n"/>
      <c r="X888" s="56" t="n"/>
      <c r="Y888" s="56" t="n"/>
      <c r="Z888" s="56" t="n"/>
      <c r="AA888" s="56"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56" t="n"/>
      <c r="T889" s="56" t="n"/>
      <c r="U889" s="56" t="n"/>
      <c r="V889" s="56" t="n"/>
      <c r="W889" s="56" t="n"/>
      <c r="X889" s="56" t="n"/>
      <c r="Y889" s="56" t="n"/>
      <c r="Z889" s="56" t="n"/>
      <c r="AA889" s="56"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56" t="n"/>
      <c r="T890" s="56" t="n"/>
      <c r="U890" s="56" t="n"/>
      <c r="V890" s="56" t="n"/>
      <c r="W890" s="56" t="n"/>
      <c r="X890" s="56" t="n"/>
      <c r="Y890" s="56" t="n"/>
      <c r="Z890" s="56" t="n"/>
      <c r="AA890" s="56"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56" t="n"/>
      <c r="T891" s="56" t="n"/>
      <c r="U891" s="56" t="n"/>
      <c r="V891" s="56" t="n"/>
      <c r="W891" s="56" t="n"/>
      <c r="X891" s="56" t="n"/>
      <c r="Y891" s="56" t="n"/>
      <c r="Z891" s="56" t="n"/>
      <c r="AA891" s="56"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56" t="n"/>
      <c r="T892" s="56" t="n"/>
      <c r="U892" s="56" t="n"/>
      <c r="V892" s="56" t="n"/>
      <c r="W892" s="56" t="n"/>
      <c r="X892" s="56" t="n"/>
      <c r="Y892" s="56" t="n"/>
      <c r="Z892" s="56" t="n"/>
      <c r="AA892" s="56"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56" t="n"/>
      <c r="T893" s="56" t="n"/>
      <c r="U893" s="56" t="n"/>
      <c r="V893" s="56" t="n"/>
      <c r="W893" s="56" t="n"/>
      <c r="X893" s="56" t="n"/>
      <c r="Y893" s="56" t="n"/>
      <c r="Z893" s="56" t="n"/>
      <c r="AA893" s="56"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56" t="n"/>
      <c r="T894" s="56" t="n"/>
      <c r="U894" s="56" t="n"/>
      <c r="V894" s="56" t="n"/>
      <c r="W894" s="56" t="n"/>
      <c r="X894" s="56" t="n"/>
      <c r="Y894" s="56" t="n"/>
      <c r="Z894" s="56" t="n"/>
      <c r="AA894" s="56"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56" t="n"/>
      <c r="T895" s="56" t="n"/>
      <c r="U895" s="56" t="n"/>
      <c r="V895" s="56" t="n"/>
      <c r="W895" s="56" t="n"/>
      <c r="X895" s="56" t="n"/>
      <c r="Y895" s="56" t="n"/>
      <c r="Z895" s="56" t="n"/>
      <c r="AA895" s="56"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56" t="n"/>
      <c r="T896" s="56" t="n"/>
      <c r="U896" s="56" t="n"/>
      <c r="V896" s="56" t="n"/>
      <c r="W896" s="56" t="n"/>
      <c r="X896" s="56" t="n"/>
      <c r="Y896" s="56" t="n"/>
      <c r="Z896" s="56" t="n"/>
      <c r="AA896" s="56"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56" t="n"/>
      <c r="T897" s="56" t="n"/>
      <c r="U897" s="56" t="n"/>
      <c r="V897" s="56" t="n"/>
      <c r="W897" s="56" t="n"/>
      <c r="X897" s="56" t="n"/>
      <c r="Y897" s="56" t="n"/>
      <c r="Z897" s="56" t="n"/>
      <c r="AA897" s="56"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56" t="n"/>
      <c r="T898" s="56" t="n"/>
      <c r="U898" s="56" t="n"/>
      <c r="V898" s="56" t="n"/>
      <c r="W898" s="56" t="n"/>
      <c r="X898" s="56" t="n"/>
      <c r="Y898" s="56" t="n"/>
      <c r="Z898" s="56" t="n"/>
      <c r="AA898" s="56"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56" t="n"/>
      <c r="T899" s="56" t="n"/>
      <c r="U899" s="56" t="n"/>
      <c r="V899" s="56" t="n"/>
      <c r="W899" s="56" t="n"/>
      <c r="X899" s="56" t="n"/>
      <c r="Y899" s="56" t="n"/>
      <c r="Z899" s="56" t="n"/>
      <c r="AA899" s="56"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56" t="n"/>
      <c r="T900" s="56" t="n"/>
      <c r="U900" s="56" t="n"/>
      <c r="V900" s="56" t="n"/>
      <c r="W900" s="56" t="n"/>
      <c r="X900" s="56" t="n"/>
      <c r="Y900" s="56" t="n"/>
      <c r="Z900" s="56" t="n"/>
      <c r="AA900" s="56"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56" t="n"/>
      <c r="T901" s="56" t="n"/>
      <c r="U901" s="56" t="n"/>
      <c r="V901" s="56" t="n"/>
      <c r="W901" s="56" t="n"/>
      <c r="X901" s="56" t="n"/>
      <c r="Y901" s="56" t="n"/>
      <c r="Z901" s="56" t="n"/>
      <c r="AA901" s="56"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56" t="n"/>
      <c r="T902" s="56" t="n"/>
      <c r="U902" s="56" t="n"/>
      <c r="V902" s="56" t="n"/>
      <c r="W902" s="56" t="n"/>
      <c r="X902" s="56" t="n"/>
      <c r="Y902" s="56" t="n"/>
      <c r="Z902" s="56" t="n"/>
      <c r="AA902" s="56"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56" t="n"/>
      <c r="T903" s="56" t="n"/>
      <c r="U903" s="56" t="n"/>
      <c r="V903" s="56" t="n"/>
      <c r="W903" s="56" t="n"/>
      <c r="X903" s="56" t="n"/>
      <c r="Y903" s="56" t="n"/>
      <c r="Z903" s="56" t="n"/>
      <c r="AA903" s="56"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56" t="n"/>
      <c r="T904" s="56" t="n"/>
      <c r="U904" s="56" t="n"/>
      <c r="V904" s="56" t="n"/>
      <c r="W904" s="56" t="n"/>
      <c r="X904" s="56" t="n"/>
      <c r="Y904" s="56" t="n"/>
      <c r="Z904" s="56" t="n"/>
      <c r="AA904" s="56"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56" t="n"/>
      <c r="T905" s="56" t="n"/>
      <c r="U905" s="56" t="n"/>
      <c r="V905" s="56" t="n"/>
      <c r="W905" s="56" t="n"/>
      <c r="X905" s="56" t="n"/>
      <c r="Y905" s="56" t="n"/>
      <c r="Z905" s="56" t="n"/>
      <c r="AA905" s="56"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56" t="n"/>
      <c r="T906" s="56" t="n"/>
      <c r="U906" s="56" t="n"/>
      <c r="V906" s="56" t="n"/>
      <c r="W906" s="56" t="n"/>
      <c r="X906" s="56" t="n"/>
      <c r="Y906" s="56" t="n"/>
      <c r="Z906" s="56" t="n"/>
      <c r="AA906" s="56"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56" t="n"/>
      <c r="T907" s="56" t="n"/>
      <c r="U907" s="56" t="n"/>
      <c r="V907" s="56" t="n"/>
      <c r="W907" s="56" t="n"/>
      <c r="X907" s="56" t="n"/>
      <c r="Y907" s="56" t="n"/>
      <c r="Z907" s="56" t="n"/>
      <c r="AA907" s="56"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56" t="n"/>
      <c r="T908" s="56" t="n"/>
      <c r="U908" s="56" t="n"/>
      <c r="V908" s="56" t="n"/>
      <c r="W908" s="56" t="n"/>
      <c r="X908" s="56" t="n"/>
      <c r="Y908" s="56" t="n"/>
      <c r="Z908" s="56" t="n"/>
      <c r="AA908" s="56"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56" t="n"/>
      <c r="T909" s="56" t="n"/>
      <c r="U909" s="56" t="n"/>
      <c r="V909" s="56" t="n"/>
      <c r="W909" s="56" t="n"/>
      <c r="X909" s="56" t="n"/>
      <c r="Y909" s="56" t="n"/>
      <c r="Z909" s="56" t="n"/>
      <c r="AA909" s="56"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56" t="n"/>
      <c r="T910" s="56" t="n"/>
      <c r="U910" s="56" t="n"/>
      <c r="V910" s="56" t="n"/>
      <c r="W910" s="56" t="n"/>
      <c r="X910" s="56" t="n"/>
      <c r="Y910" s="56" t="n"/>
      <c r="Z910" s="56" t="n"/>
      <c r="AA910" s="56"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56" t="n"/>
      <c r="T911" s="56" t="n"/>
      <c r="U911" s="56" t="n"/>
      <c r="V911" s="56" t="n"/>
      <c r="W911" s="56" t="n"/>
      <c r="X911" s="56" t="n"/>
      <c r="Y911" s="56" t="n"/>
      <c r="Z911" s="56" t="n"/>
      <c r="AA911" s="56"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56" t="n"/>
      <c r="T912" s="56" t="n"/>
      <c r="U912" s="56" t="n"/>
      <c r="V912" s="56" t="n"/>
      <c r="W912" s="56" t="n"/>
      <c r="X912" s="56" t="n"/>
      <c r="Y912" s="56" t="n"/>
      <c r="Z912" s="56" t="n"/>
      <c r="AA912" s="56"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56" t="n"/>
      <c r="T913" s="56" t="n"/>
      <c r="U913" s="56" t="n"/>
      <c r="V913" s="56" t="n"/>
      <c r="W913" s="56" t="n"/>
      <c r="X913" s="56" t="n"/>
      <c r="Y913" s="56" t="n"/>
      <c r="Z913" s="56" t="n"/>
      <c r="AA913" s="56"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56" t="n"/>
      <c r="T914" s="56" t="n"/>
      <c r="U914" s="56" t="n"/>
      <c r="V914" s="56" t="n"/>
      <c r="W914" s="56" t="n"/>
      <c r="X914" s="56" t="n"/>
      <c r="Y914" s="56" t="n"/>
      <c r="Z914" s="56" t="n"/>
      <c r="AA914" s="56"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56" t="n"/>
      <c r="T915" s="56" t="n"/>
      <c r="U915" s="56" t="n"/>
      <c r="V915" s="56" t="n"/>
      <c r="W915" s="56" t="n"/>
      <c r="X915" s="56" t="n"/>
      <c r="Y915" s="56" t="n"/>
      <c r="Z915" s="56" t="n"/>
      <c r="AA915" s="56"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56" t="n"/>
      <c r="T916" s="56" t="n"/>
      <c r="U916" s="56" t="n"/>
      <c r="V916" s="56" t="n"/>
      <c r="W916" s="56" t="n"/>
      <c r="X916" s="56" t="n"/>
      <c r="Y916" s="56" t="n"/>
      <c r="Z916" s="56" t="n"/>
      <c r="AA916" s="56"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56" t="n"/>
      <c r="T917" s="56" t="n"/>
      <c r="U917" s="56" t="n"/>
      <c r="V917" s="56" t="n"/>
      <c r="W917" s="56" t="n"/>
      <c r="X917" s="56" t="n"/>
      <c r="Y917" s="56" t="n"/>
      <c r="Z917" s="56" t="n"/>
      <c r="AA917" s="56"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56" t="n"/>
      <c r="T918" s="56" t="n"/>
      <c r="U918" s="56" t="n"/>
      <c r="V918" s="56" t="n"/>
      <c r="W918" s="56" t="n"/>
      <c r="X918" s="56" t="n"/>
      <c r="Y918" s="56" t="n"/>
      <c r="Z918" s="56" t="n"/>
      <c r="AA918" s="56"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56" t="n"/>
      <c r="T919" s="56" t="n"/>
      <c r="U919" s="56" t="n"/>
      <c r="V919" s="56" t="n"/>
      <c r="W919" s="56" t="n"/>
      <c r="X919" s="56" t="n"/>
      <c r="Y919" s="56" t="n"/>
      <c r="Z919" s="56" t="n"/>
      <c r="AA919" s="56"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56" t="n"/>
      <c r="T920" s="56" t="n"/>
      <c r="U920" s="56" t="n"/>
      <c r="V920" s="56" t="n"/>
      <c r="W920" s="56" t="n"/>
      <c r="X920" s="56" t="n"/>
      <c r="Y920" s="56" t="n"/>
      <c r="Z920" s="56" t="n"/>
      <c r="AA920" s="56"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56" t="n"/>
      <c r="T921" s="56" t="n"/>
      <c r="U921" s="56" t="n"/>
      <c r="V921" s="56" t="n"/>
      <c r="W921" s="56" t="n"/>
      <c r="X921" s="56" t="n"/>
      <c r="Y921" s="56" t="n"/>
      <c r="Z921" s="56" t="n"/>
      <c r="AA921" s="56"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56" t="n"/>
      <c r="T922" s="56" t="n"/>
      <c r="U922" s="56" t="n"/>
      <c r="V922" s="56" t="n"/>
      <c r="W922" s="56" t="n"/>
      <c r="X922" s="56" t="n"/>
      <c r="Y922" s="56" t="n"/>
      <c r="Z922" s="56" t="n"/>
      <c r="AA922" s="56"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56" t="n"/>
      <c r="T923" s="56" t="n"/>
      <c r="U923" s="56" t="n"/>
      <c r="V923" s="56" t="n"/>
      <c r="W923" s="56" t="n"/>
      <c r="X923" s="56" t="n"/>
      <c r="Y923" s="56" t="n"/>
      <c r="Z923" s="56" t="n"/>
      <c r="AA923" s="56"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56" t="n"/>
      <c r="T924" s="56" t="n"/>
      <c r="U924" s="56" t="n"/>
      <c r="V924" s="56" t="n"/>
      <c r="W924" s="56" t="n"/>
      <c r="X924" s="56" t="n"/>
      <c r="Y924" s="56" t="n"/>
      <c r="Z924" s="56" t="n"/>
      <c r="AA924" s="56"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56" t="n"/>
      <c r="T925" s="56" t="n"/>
      <c r="U925" s="56" t="n"/>
      <c r="V925" s="56" t="n"/>
      <c r="W925" s="56" t="n"/>
      <c r="X925" s="56" t="n"/>
      <c r="Y925" s="56" t="n"/>
      <c r="Z925" s="56" t="n"/>
      <c r="AA925" s="56"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56" t="n"/>
      <c r="T926" s="56" t="n"/>
      <c r="U926" s="56" t="n"/>
      <c r="V926" s="56" t="n"/>
      <c r="W926" s="56" t="n"/>
      <c r="X926" s="56" t="n"/>
      <c r="Y926" s="56" t="n"/>
      <c r="Z926" s="56" t="n"/>
      <c r="AA926" s="56"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56" t="n"/>
      <c r="T927" s="56" t="n"/>
      <c r="U927" s="56" t="n"/>
      <c r="V927" s="56" t="n"/>
      <c r="W927" s="56" t="n"/>
      <c r="X927" s="56" t="n"/>
      <c r="Y927" s="56" t="n"/>
      <c r="Z927" s="56" t="n"/>
      <c r="AA927" s="56"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56" t="n"/>
      <c r="T928" s="56" t="n"/>
      <c r="U928" s="56" t="n"/>
      <c r="V928" s="56" t="n"/>
      <c r="W928" s="56" t="n"/>
      <c r="X928" s="56" t="n"/>
      <c r="Y928" s="56" t="n"/>
      <c r="Z928" s="56" t="n"/>
      <c r="AA928" s="56"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56" t="n"/>
      <c r="T929" s="56" t="n"/>
      <c r="U929" s="56" t="n"/>
      <c r="V929" s="56" t="n"/>
      <c r="W929" s="56" t="n"/>
      <c r="X929" s="56" t="n"/>
      <c r="Y929" s="56" t="n"/>
      <c r="Z929" s="56" t="n"/>
      <c r="AA929" s="56"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56" t="n"/>
      <c r="T930" s="56" t="n"/>
      <c r="U930" s="56" t="n"/>
      <c r="V930" s="56" t="n"/>
      <c r="W930" s="56" t="n"/>
      <c r="X930" s="56" t="n"/>
      <c r="Y930" s="56" t="n"/>
      <c r="Z930" s="56" t="n"/>
      <c r="AA930" s="56"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56" t="n"/>
      <c r="T931" s="56" t="n"/>
      <c r="U931" s="56" t="n"/>
      <c r="V931" s="56" t="n"/>
      <c r="W931" s="56" t="n"/>
      <c r="X931" s="56" t="n"/>
      <c r="Y931" s="56" t="n"/>
      <c r="Z931" s="56" t="n"/>
      <c r="AA931" s="56"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56" t="n"/>
      <c r="T932" s="56" t="n"/>
      <c r="U932" s="56" t="n"/>
      <c r="V932" s="56" t="n"/>
      <c r="W932" s="56" t="n"/>
      <c r="X932" s="56" t="n"/>
      <c r="Y932" s="56" t="n"/>
      <c r="Z932" s="56" t="n"/>
      <c r="AA932" s="56"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56" t="n"/>
      <c r="T933" s="56" t="n"/>
      <c r="U933" s="56" t="n"/>
      <c r="V933" s="56" t="n"/>
      <c r="W933" s="56" t="n"/>
      <c r="X933" s="56" t="n"/>
      <c r="Y933" s="56" t="n"/>
      <c r="Z933" s="56" t="n"/>
      <c r="AA933" s="56"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56" t="n"/>
      <c r="T934" s="56" t="n"/>
      <c r="U934" s="56" t="n"/>
      <c r="V934" s="56" t="n"/>
      <c r="W934" s="56" t="n"/>
      <c r="X934" s="56" t="n"/>
      <c r="Y934" s="56" t="n"/>
      <c r="Z934" s="56" t="n"/>
      <c r="AA934" s="56"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56" t="n"/>
      <c r="T935" s="56" t="n"/>
      <c r="U935" s="56" t="n"/>
      <c r="V935" s="56" t="n"/>
      <c r="W935" s="56" t="n"/>
      <c r="X935" s="56" t="n"/>
      <c r="Y935" s="56" t="n"/>
      <c r="Z935" s="56" t="n"/>
      <c r="AA935" s="56"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56" t="n"/>
      <c r="T936" s="56" t="n"/>
      <c r="U936" s="56" t="n"/>
      <c r="V936" s="56" t="n"/>
      <c r="W936" s="56" t="n"/>
      <c r="X936" s="56" t="n"/>
      <c r="Y936" s="56" t="n"/>
      <c r="Z936" s="56" t="n"/>
      <c r="AA936" s="56"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56" t="n"/>
      <c r="T937" s="56" t="n"/>
      <c r="U937" s="56" t="n"/>
      <c r="V937" s="56" t="n"/>
      <c r="W937" s="56" t="n"/>
      <c r="X937" s="56" t="n"/>
      <c r="Y937" s="56" t="n"/>
      <c r="Z937" s="56" t="n"/>
      <c r="AA937" s="56"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56" t="n"/>
      <c r="T938" s="56" t="n"/>
      <c r="U938" s="56" t="n"/>
      <c r="V938" s="56" t="n"/>
      <c r="W938" s="56" t="n"/>
      <c r="X938" s="56" t="n"/>
      <c r="Y938" s="56" t="n"/>
      <c r="Z938" s="56" t="n"/>
      <c r="AA938" s="56"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56" t="n"/>
      <c r="T939" s="56" t="n"/>
      <c r="U939" s="56" t="n"/>
      <c r="V939" s="56" t="n"/>
      <c r="W939" s="56" t="n"/>
      <c r="X939" s="56" t="n"/>
      <c r="Y939" s="56" t="n"/>
      <c r="Z939" s="56" t="n"/>
      <c r="AA939" s="56"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56" t="n"/>
      <c r="T940" s="56" t="n"/>
      <c r="U940" s="56" t="n"/>
      <c r="V940" s="56" t="n"/>
      <c r="W940" s="56" t="n"/>
      <c r="X940" s="56" t="n"/>
      <c r="Y940" s="56" t="n"/>
      <c r="Z940" s="56" t="n"/>
      <c r="AA940" s="56"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56" t="n"/>
      <c r="T941" s="56" t="n"/>
      <c r="U941" s="56" t="n"/>
      <c r="V941" s="56" t="n"/>
      <c r="W941" s="56" t="n"/>
      <c r="X941" s="56" t="n"/>
      <c r="Y941" s="56" t="n"/>
      <c r="Z941" s="56" t="n"/>
      <c r="AA941" s="56"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56" t="n"/>
      <c r="T942" s="56" t="n"/>
      <c r="U942" s="56" t="n"/>
      <c r="V942" s="56" t="n"/>
      <c r="W942" s="56" t="n"/>
      <c r="X942" s="56" t="n"/>
      <c r="Y942" s="56" t="n"/>
      <c r="Z942" s="56" t="n"/>
      <c r="AA942" s="56"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56" t="n"/>
      <c r="T943" s="56" t="n"/>
      <c r="U943" s="56" t="n"/>
      <c r="V943" s="56" t="n"/>
      <c r="W943" s="56" t="n"/>
      <c r="X943" s="56" t="n"/>
      <c r="Y943" s="56" t="n"/>
      <c r="Z943" s="56" t="n"/>
      <c r="AA943" s="56"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56" t="n"/>
      <c r="T944" s="56" t="n"/>
      <c r="U944" s="56" t="n"/>
      <c r="V944" s="56" t="n"/>
      <c r="W944" s="56" t="n"/>
      <c r="X944" s="56" t="n"/>
      <c r="Y944" s="56" t="n"/>
      <c r="Z944" s="56" t="n"/>
      <c r="AA944" s="56"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56" t="n"/>
      <c r="T945" s="56" t="n"/>
      <c r="U945" s="56" t="n"/>
      <c r="V945" s="56" t="n"/>
      <c r="W945" s="56" t="n"/>
      <c r="X945" s="56" t="n"/>
      <c r="Y945" s="56" t="n"/>
      <c r="Z945" s="56" t="n"/>
      <c r="AA945" s="56"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56" t="n"/>
      <c r="T946" s="56" t="n"/>
      <c r="U946" s="56" t="n"/>
      <c r="V946" s="56" t="n"/>
      <c r="W946" s="56" t="n"/>
      <c r="X946" s="56" t="n"/>
      <c r="Y946" s="56" t="n"/>
      <c r="Z946" s="56" t="n"/>
      <c r="AA946" s="56"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56" t="n"/>
      <c r="T947" s="56" t="n"/>
      <c r="U947" s="56" t="n"/>
      <c r="V947" s="56" t="n"/>
      <c r="W947" s="56" t="n"/>
      <c r="X947" s="56" t="n"/>
      <c r="Y947" s="56" t="n"/>
      <c r="Z947" s="56" t="n"/>
      <c r="AA947" s="56"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56" t="n"/>
      <c r="T948" s="56" t="n"/>
      <c r="U948" s="56" t="n"/>
      <c r="V948" s="56" t="n"/>
      <c r="W948" s="56" t="n"/>
      <c r="X948" s="56" t="n"/>
      <c r="Y948" s="56" t="n"/>
      <c r="Z948" s="56" t="n"/>
      <c r="AA948" s="56"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56" t="n"/>
      <c r="T949" s="56" t="n"/>
      <c r="U949" s="56" t="n"/>
      <c r="V949" s="56" t="n"/>
      <c r="W949" s="56" t="n"/>
      <c r="X949" s="56" t="n"/>
      <c r="Y949" s="56" t="n"/>
      <c r="Z949" s="56" t="n"/>
      <c r="AA949" s="56"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56" t="n"/>
      <c r="T950" s="56" t="n"/>
      <c r="U950" s="56" t="n"/>
      <c r="V950" s="56" t="n"/>
      <c r="W950" s="56" t="n"/>
      <c r="X950" s="56" t="n"/>
      <c r="Y950" s="56" t="n"/>
      <c r="Z950" s="56" t="n"/>
      <c r="AA950" s="56"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56" t="n"/>
      <c r="T951" s="56" t="n"/>
      <c r="U951" s="56" t="n"/>
      <c r="V951" s="56" t="n"/>
      <c r="W951" s="56" t="n"/>
      <c r="X951" s="56" t="n"/>
      <c r="Y951" s="56" t="n"/>
      <c r="Z951" s="56" t="n"/>
      <c r="AA951" s="56"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56" t="n"/>
      <c r="T952" s="56" t="n"/>
      <c r="U952" s="56" t="n"/>
      <c r="V952" s="56" t="n"/>
      <c r="W952" s="56" t="n"/>
      <c r="X952" s="56" t="n"/>
      <c r="Y952" s="56" t="n"/>
      <c r="Z952" s="56" t="n"/>
      <c r="AA952" s="56"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56" t="n"/>
      <c r="T953" s="56" t="n"/>
      <c r="U953" s="56" t="n"/>
      <c r="V953" s="56" t="n"/>
      <c r="W953" s="56" t="n"/>
      <c r="X953" s="56" t="n"/>
      <c r="Y953" s="56" t="n"/>
      <c r="Z953" s="56" t="n"/>
      <c r="AA953" s="56"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56" t="n"/>
      <c r="T954" s="56" t="n"/>
      <c r="U954" s="56" t="n"/>
      <c r="V954" s="56" t="n"/>
      <c r="W954" s="56" t="n"/>
      <c r="X954" s="56" t="n"/>
      <c r="Y954" s="56" t="n"/>
      <c r="Z954" s="56" t="n"/>
      <c r="AA954" s="56"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56" t="n"/>
      <c r="T955" s="56" t="n"/>
      <c r="U955" s="56" t="n"/>
      <c r="V955" s="56" t="n"/>
      <c r="W955" s="56" t="n"/>
      <c r="X955" s="56" t="n"/>
      <c r="Y955" s="56" t="n"/>
      <c r="Z955" s="56" t="n"/>
      <c r="AA955" s="56"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56" t="n"/>
      <c r="T956" s="56" t="n"/>
      <c r="U956" s="56" t="n"/>
      <c r="V956" s="56" t="n"/>
      <c r="W956" s="56" t="n"/>
      <c r="X956" s="56" t="n"/>
      <c r="Y956" s="56" t="n"/>
      <c r="Z956" s="56" t="n"/>
      <c r="AA956" s="56"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56" t="n"/>
      <c r="T957" s="56" t="n"/>
      <c r="U957" s="56" t="n"/>
      <c r="V957" s="56" t="n"/>
      <c r="W957" s="56" t="n"/>
      <c r="X957" s="56" t="n"/>
      <c r="Y957" s="56" t="n"/>
      <c r="Z957" s="56" t="n"/>
      <c r="AA957" s="56"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56" t="n"/>
      <c r="T958" s="56" t="n"/>
      <c r="U958" s="56" t="n"/>
      <c r="V958" s="56" t="n"/>
      <c r="W958" s="56" t="n"/>
      <c r="X958" s="56" t="n"/>
      <c r="Y958" s="56" t="n"/>
      <c r="Z958" s="56" t="n"/>
      <c r="AA958" s="56"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56" t="n"/>
      <c r="T959" s="56" t="n"/>
      <c r="U959" s="56" t="n"/>
      <c r="V959" s="56" t="n"/>
      <c r="W959" s="56" t="n"/>
      <c r="X959" s="56" t="n"/>
      <c r="Y959" s="56" t="n"/>
      <c r="Z959" s="56" t="n"/>
      <c r="AA959" s="56"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56" t="n"/>
      <c r="T960" s="56" t="n"/>
      <c r="U960" s="56" t="n"/>
      <c r="V960" s="56" t="n"/>
      <c r="W960" s="56" t="n"/>
      <c r="X960" s="56" t="n"/>
      <c r="Y960" s="56" t="n"/>
      <c r="Z960" s="56" t="n"/>
      <c r="AA960" s="56"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56" t="n"/>
      <c r="T961" s="56" t="n"/>
      <c r="U961" s="56" t="n"/>
      <c r="V961" s="56" t="n"/>
      <c r="W961" s="56" t="n"/>
      <c r="X961" s="56" t="n"/>
      <c r="Y961" s="56" t="n"/>
      <c r="Z961" s="56" t="n"/>
      <c r="AA961" s="56"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56" t="n"/>
      <c r="T962" s="56" t="n"/>
      <c r="U962" s="56" t="n"/>
      <c r="V962" s="56" t="n"/>
      <c r="W962" s="56" t="n"/>
      <c r="X962" s="56" t="n"/>
      <c r="Y962" s="56" t="n"/>
      <c r="Z962" s="56" t="n"/>
      <c r="AA962" s="56"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56" t="n"/>
      <c r="T963" s="56" t="n"/>
      <c r="U963" s="56" t="n"/>
      <c r="V963" s="56" t="n"/>
      <c r="W963" s="56" t="n"/>
      <c r="X963" s="56" t="n"/>
      <c r="Y963" s="56" t="n"/>
      <c r="Z963" s="56" t="n"/>
      <c r="AA963" s="56"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56" t="n"/>
      <c r="T964" s="56" t="n"/>
      <c r="U964" s="56" t="n"/>
      <c r="V964" s="56" t="n"/>
      <c r="W964" s="56" t="n"/>
      <c r="X964" s="56" t="n"/>
      <c r="Y964" s="56" t="n"/>
      <c r="Z964" s="56" t="n"/>
      <c r="AA964" s="56"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56" t="n"/>
      <c r="T965" s="56" t="n"/>
      <c r="U965" s="56" t="n"/>
      <c r="V965" s="56" t="n"/>
      <c r="W965" s="56" t="n"/>
      <c r="X965" s="56" t="n"/>
      <c r="Y965" s="56" t="n"/>
      <c r="Z965" s="56" t="n"/>
      <c r="AA965" s="56"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56" t="n"/>
      <c r="T966" s="56" t="n"/>
      <c r="U966" s="56" t="n"/>
      <c r="V966" s="56" t="n"/>
      <c r="W966" s="56" t="n"/>
      <c r="X966" s="56" t="n"/>
      <c r="Y966" s="56" t="n"/>
      <c r="Z966" s="56" t="n"/>
      <c r="AA966" s="56"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56" t="n"/>
      <c r="T967" s="56" t="n"/>
      <c r="U967" s="56" t="n"/>
      <c r="V967" s="56" t="n"/>
      <c r="W967" s="56" t="n"/>
      <c r="X967" s="56" t="n"/>
      <c r="Y967" s="56" t="n"/>
      <c r="Z967" s="56" t="n"/>
      <c r="AA967" s="56"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56" t="n"/>
      <c r="T968" s="56" t="n"/>
      <c r="U968" s="56" t="n"/>
      <c r="V968" s="56" t="n"/>
      <c r="W968" s="56" t="n"/>
      <c r="X968" s="56" t="n"/>
      <c r="Y968" s="56" t="n"/>
      <c r="Z968" s="56" t="n"/>
      <c r="AA968" s="56"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56" t="n"/>
      <c r="T969" s="56" t="n"/>
      <c r="U969" s="56" t="n"/>
      <c r="V969" s="56" t="n"/>
      <c r="W969" s="56" t="n"/>
      <c r="X969" s="56" t="n"/>
      <c r="Y969" s="56" t="n"/>
      <c r="Z969" s="56" t="n"/>
      <c r="AA969" s="56"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56" t="n"/>
      <c r="T970" s="56" t="n"/>
      <c r="U970" s="56" t="n"/>
      <c r="V970" s="56" t="n"/>
      <c r="W970" s="56" t="n"/>
      <c r="X970" s="56" t="n"/>
      <c r="Y970" s="56" t="n"/>
      <c r="Z970" s="56" t="n"/>
      <c r="AA970" s="56"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56" t="n"/>
      <c r="T971" s="56" t="n"/>
      <c r="U971" s="56" t="n"/>
      <c r="V971" s="56" t="n"/>
      <c r="W971" s="56" t="n"/>
      <c r="X971" s="56" t="n"/>
      <c r="Y971" s="56" t="n"/>
      <c r="Z971" s="56" t="n"/>
      <c r="AA971" s="56"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56" t="n"/>
      <c r="T972" s="56" t="n"/>
      <c r="U972" s="56" t="n"/>
      <c r="V972" s="56" t="n"/>
      <c r="W972" s="56" t="n"/>
      <c r="X972" s="56" t="n"/>
      <c r="Y972" s="56" t="n"/>
      <c r="Z972" s="56" t="n"/>
      <c r="AA972" s="56"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56" t="n"/>
      <c r="T973" s="56" t="n"/>
      <c r="U973" s="56" t="n"/>
      <c r="V973" s="56" t="n"/>
      <c r="W973" s="56" t="n"/>
      <c r="X973" s="56" t="n"/>
      <c r="Y973" s="56" t="n"/>
      <c r="Z973" s="56" t="n"/>
      <c r="AA973" s="56"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56" t="n"/>
      <c r="T974" s="56" t="n"/>
      <c r="U974" s="56" t="n"/>
      <c r="V974" s="56" t="n"/>
      <c r="W974" s="56" t="n"/>
      <c r="X974" s="56" t="n"/>
      <c r="Y974" s="56" t="n"/>
      <c r="Z974" s="56" t="n"/>
      <c r="AA974" s="56"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56" t="n"/>
      <c r="T975" s="56" t="n"/>
      <c r="U975" s="56" t="n"/>
      <c r="V975" s="56" t="n"/>
      <c r="W975" s="56" t="n"/>
      <c r="X975" s="56" t="n"/>
      <c r="Y975" s="56" t="n"/>
      <c r="Z975" s="56" t="n"/>
      <c r="AA975" s="56"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56" t="n"/>
      <c r="T976" s="56" t="n"/>
      <c r="U976" s="56" t="n"/>
      <c r="V976" s="56" t="n"/>
      <c r="W976" s="56" t="n"/>
      <c r="X976" s="56" t="n"/>
      <c r="Y976" s="56" t="n"/>
      <c r="Z976" s="56" t="n"/>
      <c r="AA976" s="56"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56" t="n"/>
      <c r="T977" s="56" t="n"/>
      <c r="U977" s="56" t="n"/>
      <c r="V977" s="56" t="n"/>
      <c r="W977" s="56" t="n"/>
      <c r="X977" s="56" t="n"/>
      <c r="Y977" s="56" t="n"/>
      <c r="Z977" s="56" t="n"/>
      <c r="AA977" s="56"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56" t="n"/>
      <c r="T978" s="56" t="n"/>
      <c r="U978" s="56" t="n"/>
      <c r="V978" s="56" t="n"/>
      <c r="W978" s="56" t="n"/>
      <c r="X978" s="56" t="n"/>
      <c r="Y978" s="56" t="n"/>
      <c r="Z978" s="56" t="n"/>
      <c r="AA978" s="56"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56" t="n"/>
      <c r="T979" s="56" t="n"/>
      <c r="U979" s="56" t="n"/>
      <c r="V979" s="56" t="n"/>
      <c r="W979" s="56" t="n"/>
      <c r="X979" s="56" t="n"/>
      <c r="Y979" s="56" t="n"/>
      <c r="Z979" s="56" t="n"/>
      <c r="AA979" s="56"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56" t="n"/>
      <c r="T980" s="56" t="n"/>
      <c r="U980" s="56" t="n"/>
      <c r="V980" s="56" t="n"/>
      <c r="W980" s="56" t="n"/>
      <c r="X980" s="56" t="n"/>
      <c r="Y980" s="56" t="n"/>
      <c r="Z980" s="56" t="n"/>
      <c r="AA980" s="56"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56" t="n"/>
      <c r="T981" s="56" t="n"/>
      <c r="U981" s="56" t="n"/>
      <c r="V981" s="56" t="n"/>
      <c r="W981" s="56" t="n"/>
      <c r="X981" s="56" t="n"/>
      <c r="Y981" s="56" t="n"/>
      <c r="Z981" s="56" t="n"/>
      <c r="AA981" s="56"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56" t="n"/>
      <c r="T982" s="56" t="n"/>
      <c r="U982" s="56" t="n"/>
      <c r="V982" s="56" t="n"/>
      <c r="W982" s="56" t="n"/>
      <c r="X982" s="56" t="n"/>
      <c r="Y982" s="56" t="n"/>
      <c r="Z982" s="56" t="n"/>
      <c r="AA982" s="56"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56" t="n"/>
      <c r="T983" s="56" t="n"/>
      <c r="U983" s="56" t="n"/>
      <c r="V983" s="56" t="n"/>
      <c r="W983" s="56" t="n"/>
      <c r="X983" s="56" t="n"/>
      <c r="Y983" s="56" t="n"/>
      <c r="Z983" s="56" t="n"/>
      <c r="AA983" s="56"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56" t="n"/>
      <c r="T984" s="56" t="n"/>
      <c r="U984" s="56" t="n"/>
      <c r="V984" s="56" t="n"/>
      <c r="W984" s="56" t="n"/>
      <c r="X984" s="56" t="n"/>
      <c r="Y984" s="56" t="n"/>
      <c r="Z984" s="56" t="n"/>
      <c r="AA984" s="56"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56" t="n"/>
      <c r="T985" s="56" t="n"/>
      <c r="U985" s="56" t="n"/>
      <c r="V985" s="56" t="n"/>
      <c r="W985" s="56" t="n"/>
      <c r="X985" s="56" t="n"/>
      <c r="Y985" s="56" t="n"/>
      <c r="Z985" s="56" t="n"/>
      <c r="AA985" s="56"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56" t="n"/>
      <c r="T986" s="56" t="n"/>
      <c r="U986" s="56" t="n"/>
      <c r="V986" s="56" t="n"/>
      <c r="W986" s="56" t="n"/>
      <c r="X986" s="56" t="n"/>
      <c r="Y986" s="56" t="n"/>
      <c r="Z986" s="56" t="n"/>
      <c r="AA986" s="56"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56" t="n"/>
      <c r="T987" s="56" t="n"/>
      <c r="U987" s="56" t="n"/>
      <c r="V987" s="56" t="n"/>
      <c r="W987" s="56" t="n"/>
      <c r="X987" s="56" t="n"/>
      <c r="Y987" s="56" t="n"/>
      <c r="Z987" s="56" t="n"/>
      <c r="AA987" s="56"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56" t="n"/>
      <c r="T988" s="56" t="n"/>
      <c r="U988" s="56" t="n"/>
      <c r="V988" s="56" t="n"/>
      <c r="W988" s="56" t="n"/>
      <c r="X988" s="56" t="n"/>
      <c r="Y988" s="56" t="n"/>
      <c r="Z988" s="56" t="n"/>
      <c r="AA988" s="56"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56" t="n"/>
      <c r="T989" s="56" t="n"/>
      <c r="U989" s="56" t="n"/>
      <c r="V989" s="56" t="n"/>
      <c r="W989" s="56" t="n"/>
      <c r="X989" s="56" t="n"/>
      <c r="Y989" s="56" t="n"/>
      <c r="Z989" s="56" t="n"/>
      <c r="AA989" s="56"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56" t="n"/>
      <c r="T990" s="56" t="n"/>
      <c r="U990" s="56" t="n"/>
      <c r="V990" s="56" t="n"/>
      <c r="W990" s="56" t="n"/>
      <c r="X990" s="56" t="n"/>
      <c r="Y990" s="56" t="n"/>
      <c r="Z990" s="56" t="n"/>
      <c r="AA990" s="56"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56" t="n"/>
      <c r="T991" s="56" t="n"/>
      <c r="U991" s="56" t="n"/>
      <c r="V991" s="56" t="n"/>
      <c r="W991" s="56" t="n"/>
      <c r="X991" s="56" t="n"/>
      <c r="Y991" s="56" t="n"/>
      <c r="Z991" s="56" t="n"/>
      <c r="AA991" s="56"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56" t="n"/>
      <c r="T992" s="56" t="n"/>
      <c r="U992" s="56" t="n"/>
      <c r="V992" s="56" t="n"/>
      <c r="W992" s="56" t="n"/>
      <c r="X992" s="56" t="n"/>
      <c r="Y992" s="56" t="n"/>
      <c r="Z992" s="56" t="n"/>
      <c r="AA992" s="56"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56" t="n"/>
      <c r="T993" s="56" t="n"/>
      <c r="U993" s="56" t="n"/>
      <c r="V993" s="56" t="n"/>
      <c r="W993" s="56" t="n"/>
      <c r="X993" s="56" t="n"/>
      <c r="Y993" s="56" t="n"/>
      <c r="Z993" s="56" t="n"/>
      <c r="AA993" s="56"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56" t="n"/>
      <c r="T994" s="56" t="n"/>
      <c r="U994" s="56" t="n"/>
      <c r="V994" s="56" t="n"/>
      <c r="W994" s="56" t="n"/>
      <c r="X994" s="56" t="n"/>
      <c r="Y994" s="56" t="n"/>
      <c r="Z994" s="56" t="n"/>
      <c r="AA994" s="56"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56" t="n"/>
      <c r="T995" s="56" t="n"/>
      <c r="U995" s="56" t="n"/>
      <c r="V995" s="56" t="n"/>
      <c r="W995" s="56" t="n"/>
      <c r="X995" s="56" t="n"/>
      <c r="Y995" s="56" t="n"/>
      <c r="Z995" s="56" t="n"/>
      <c r="AA995" s="56"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56" t="n"/>
      <c r="T996" s="56" t="n"/>
      <c r="U996" s="56" t="n"/>
      <c r="V996" s="56" t="n"/>
      <c r="W996" s="56" t="n"/>
      <c r="X996" s="56" t="n"/>
      <c r="Y996" s="56" t="n"/>
      <c r="Z996" s="56" t="n"/>
      <c r="AA996" s="56"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56" t="n"/>
      <c r="T997" s="56" t="n"/>
      <c r="U997" s="56" t="n"/>
      <c r="V997" s="56" t="n"/>
      <c r="W997" s="56" t="n"/>
      <c r="X997" s="56" t="n"/>
      <c r="Y997" s="56" t="n"/>
      <c r="Z997" s="56" t="n"/>
      <c r="AA997" s="56"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56" t="n"/>
      <c r="T998" s="56" t="n"/>
      <c r="U998" s="56" t="n"/>
      <c r="V998" s="56" t="n"/>
      <c r="W998" s="56" t="n"/>
      <c r="X998" s="56" t="n"/>
      <c r="Y998" s="56" t="n"/>
      <c r="Z998" s="56" t="n"/>
      <c r="AA998" s="56"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56" t="n"/>
      <c r="T999" s="56" t="n"/>
      <c r="U999" s="56" t="n"/>
      <c r="V999" s="56" t="n"/>
      <c r="W999" s="56" t="n"/>
      <c r="X999" s="56" t="n"/>
      <c r="Y999" s="56" t="n"/>
      <c r="Z999" s="56" t="n"/>
      <c r="AA999" s="56"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56" t="n"/>
      <c r="T1000" s="56" t="n"/>
      <c r="U1000" s="56" t="n"/>
      <c r="V1000" s="56" t="n"/>
      <c r="W1000" s="56" t="n"/>
      <c r="X1000" s="56" t="n"/>
      <c r="Y1000" s="56" t="n"/>
      <c r="Z1000" s="56" t="n"/>
      <c r="AA1000" s="56" t="n"/>
    </row>
  </sheetData>
  <autoFilter ref="A1:AA1000"/>
  <dataValidations count="2">
    <dataValidation sqref="U2:U70" showDropDown="0" showInputMessage="0" showErrorMessage="0" allowBlank="1" type="list">
      <formula1>"Idea,Design,Ready,Hold,Posted"</formula1>
    </dataValidation>
    <dataValidation sqref="S2:T70" showDropDown="0" showInputMessage="0" showErrorMessage="0" allowBlank="1" type="list">
      <formula1>"Yes,No"</formula1>
    </dataValidation>
  </dataValidations>
  <pageMargins left="0.75" right="0.75" top="1" bottom="1" header="0" footer="0"/>
  <pageSetup orientation="landscape"/>
</worksheet>
</file>

<file path=xl/worksheets/sheet4.xml><?xml version="1.0" encoding="utf-8"?>
<worksheet xmlns="http://schemas.openxmlformats.org/spreadsheetml/2006/main">
  <sheetPr>
    <tabColor rgb="00C9A85C"/>
    <outlinePr summaryBelow="1" summaryRight="1"/>
    <pageSetUpPr/>
  </sheetPr>
  <dimension ref="A1:Q80"/>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2" customWidth="1" style="42" min="1" max="1"/>
    <col width="6" customWidth="1" style="42" min="2" max="2"/>
    <col width="32" customWidth="1" style="42" min="3" max="3"/>
    <col width="17" customWidth="1" style="42" min="4" max="4"/>
    <col width="54" customWidth="1" style="42" min="5" max="5"/>
    <col width="7" customWidth="1" style="42" min="6" max="6"/>
    <col width="96" customWidth="1" style="42" min="7" max="7"/>
    <col width="8" customWidth="1" style="42" min="8" max="8"/>
    <col width="12" customWidth="1" style="42" min="9" max="9"/>
    <col width="26" customWidth="1" style="42" min="10" max="10"/>
    <col width="32" customWidth="1" style="42" min="11" max="11"/>
    <col width="13" customWidth="1" style="42" min="12" max="12"/>
    <col width="13" customWidth="1" style="42" min="13" max="13"/>
    <col width="14" customWidth="1" style="42" min="14" max="14"/>
    <col width="24" customWidth="1" style="42" min="15" max="15"/>
    <col width="10" customWidth="1" style="42" min="16" max="16"/>
    <col width="28" customWidth="1" style="42" min="17" max="17"/>
  </cols>
  <sheetData>
    <row r="1" ht="30" customHeight="1" s="42">
      <c r="A1" s="58" t="inlineStr">
        <is>
          <t>Date</t>
        </is>
      </c>
      <c r="B1" s="58" t="inlineStr">
        <is>
          <t>Day</t>
        </is>
      </c>
      <c r="C1" s="58" t="inlineStr">
        <is>
          <t>Source</t>
        </is>
      </c>
      <c r="D1" s="58" t="inlineStr">
        <is>
          <t>Pillar</t>
        </is>
      </c>
      <c r="E1" s="58" t="inlineStr">
        <is>
          <t>Post Text (short)</t>
        </is>
      </c>
      <c r="F1" s="58" t="inlineStr">
        <is>
          <t>Chars</t>
        </is>
      </c>
      <c r="G1" s="58" t="inlineStr">
        <is>
          <t>Description (long, SEO)</t>
        </is>
      </c>
      <c r="H1" s="58" t="inlineStr">
        <is>
          <t>Desc Chars</t>
        </is>
      </c>
      <c r="I1" s="58" t="inlineStr">
        <is>
          <t>CTA Button</t>
        </is>
      </c>
      <c r="J1" s="58" t="inlineStr">
        <is>
          <t>CTA Link</t>
        </is>
      </c>
      <c r="K1" s="58" t="inlineStr">
        <is>
          <t>Image File</t>
        </is>
      </c>
      <c r="L1" s="58" t="inlineStr">
        <is>
          <t>Open Folder</t>
        </is>
      </c>
      <c r="M1" s="58" t="inlineStr">
        <is>
          <t>Open Image</t>
        </is>
      </c>
      <c r="N1" s="58" t="inlineStr">
        <is>
          <t>Preview</t>
        </is>
      </c>
      <c r="O1" s="58" t="inlineStr">
        <is>
          <t>Photo Credit</t>
        </is>
      </c>
      <c r="P1" s="58" t="inlineStr">
        <is>
          <t>Status</t>
        </is>
      </c>
      <c r="Q1" s="58" t="inlineStr">
        <is>
          <t>Notes</t>
        </is>
      </c>
    </row>
    <row r="2" ht="132" customHeight="1" s="42">
      <c r="A2" s="44" t="n">
        <v>46251</v>
      </c>
      <c r="B2" s="45" t="inlineStr">
        <is>
          <t>Mon</t>
        </is>
      </c>
      <c r="C2" s="45" t="inlineStr">
        <is>
          <t>IG: 5 Botox Lies You Still Believe</t>
        </is>
      </c>
      <c r="D2" s="45" t="inlineStr">
        <is>
          <t>Education</t>
        </is>
      </c>
      <c r="E2" s="46" t="inlineStr">
        <is>
          <t>Five things about Botox that are not true: it freezes your face, it is addictive, you should wait until you have wrinkles, and cheap units are the same product. The honest version, from a nurse practitioner in Oakville. Full list on Instagram.</t>
        </is>
      </c>
      <c r="F2" s="45" t="n">
        <v>243</v>
      </c>
      <c r="G2" s="46" t="inlineStr">
        <is>
          <t>Five things about Botox that are not true, from a nurse practitioner who injects in Oakville every week.
It freezes your face. That is dosing, not the product. Placed properly you still frown, squint and smile.
It is addictive. What people get used to is looking rested, not the appointment.
Wait until you have wrinkles. The earlier conversation is usually the cheaper one, because a line that has not set into the skin takes less to soften.
Cheap units are the same product. The vial might be. The person holding it, the dose and the plan are not.
Serving Oakville, Burlington, Milton and Mississauga. Injections are done by a nurse practitioner and never delegated.</t>
        </is>
      </c>
      <c r="H2" s="45" t="n">
        <v>673</v>
      </c>
      <c r="I2" s="45" t="inlineStr">
        <is>
          <t>Learn more</t>
        </is>
      </c>
      <c r="J2" s="47" t="inlineStr">
        <is>
          <t>@luxury_beauty_aestheticz</t>
        </is>
      </c>
      <c r="K2" s="45" t="inlineStr"/>
      <c r="L2" s="45" t="inlineStr"/>
      <c r="M2" s="45" t="inlineStr"/>
      <c r="N2" s="45" t="inlineStr"/>
      <c r="O2" s="45" t="inlineStr"/>
      <c r="P2" s="45" t="inlineStr">
        <is>
          <t>Published</t>
        </is>
      </c>
      <c r="Q2" s="46" t="inlineStr">
        <is>
          <t>Posted. Added retroactively: this tab was started on Aug 19, so the first two days were never logged. No image link on purpose. Copy reconstructed from that day's Instagram post, so replace it if what you published to GBP differed.</t>
        </is>
      </c>
    </row>
    <row r="3" ht="132" customHeight="1" s="42">
      <c r="A3" s="44" t="n">
        <v>46252</v>
      </c>
      <c r="B3" s="45" t="inlineStr">
        <is>
          <t>Tue</t>
        </is>
      </c>
      <c r="C3" s="45" t="inlineStr">
        <is>
          <t>IG: Service Spotlight, Botox</t>
        </is>
      </c>
      <c r="D3" s="45" t="inlineStr">
        <is>
          <t>Education</t>
        </is>
      </c>
      <c r="E3" s="46" t="inlineStr">
        <is>
          <t>Botox, explained plainly. Small doses placed in the muscles that fold your skin, so lines soften while the expression stays yours. Softened lines, full expression, and nobody can tell why you look so rested. Consultations are free.</t>
        </is>
      </c>
      <c r="F3" s="45" t="n">
        <v>231</v>
      </c>
      <c r="G3" s="46" t="inlineStr">
        <is>
          <t>Botox, explained plainly, by a nurse practitioner in Oakville.
Small doses are placed into the muscles that fold your skin. The muscle relaxes, the fold softens, and the line has less to press into. Done well you keep your expression. You should still frown, squint and smile afterwards.
The dose is decided after watching your face move, not read off a price list, because muscle strength differs from one person to the next.
Most people see the change from day three, with the full effect around day fourteen. It lasts roughly three to four months, and the first round often fades a little sooner than the ones after it.
Serving Oakville, Burlington, Milton and Mississauga. Consultations are free.</t>
        </is>
      </c>
      <c r="H3" s="45" t="n">
        <v>704</v>
      </c>
      <c r="I3" s="45" t="inlineStr">
        <is>
          <t>Learn more</t>
        </is>
      </c>
      <c r="J3" s="47" t="inlineStr">
        <is>
          <t>@luxury_beauty_aestheticz</t>
        </is>
      </c>
      <c r="K3" s="45" t="inlineStr"/>
      <c r="L3" s="45" t="inlineStr"/>
      <c r="M3" s="45" t="inlineStr"/>
      <c r="N3" s="45" t="inlineStr"/>
      <c r="O3" s="45" t="inlineStr"/>
      <c r="P3" s="45" t="inlineStr">
        <is>
          <t>Published</t>
        </is>
      </c>
      <c r="Q3" s="46" t="inlineStr">
        <is>
          <t>Posted. Added retroactively: this tab was started on Aug 19, so the first two days were never logged. No image link on purpose. Copy reconstructed from that day's Instagram post, so replace it if what you published to GBP differed.</t>
        </is>
      </c>
    </row>
    <row r="4" ht="132" customHeight="1" s="42">
      <c r="A4" s="48" t="n">
        <v>46253</v>
      </c>
      <c r="B4" s="49" t="inlineStr">
        <is>
          <t>Wed</t>
        </is>
      </c>
      <c r="C4" s="49" t="inlineStr">
        <is>
          <t>GBP only</t>
        </is>
      </c>
      <c r="D4" s="49" t="inlineStr">
        <is>
          <t>Trust &amp; Proof</t>
        </is>
      </c>
      <c r="E4" s="50" t="inlineStr">
        <is>
          <t>One client in the room at a time, in a private Oakville studio. No busy waiting room, no rushing the person ahead of you, no rushing you. Injections are done by a nurse practitioner and never delegated. See the room and the work on Instagram.</t>
        </is>
      </c>
      <c r="F4" s="49" t="n">
        <v>242</v>
      </c>
      <c r="G4" s="50" t="inlineStr">
        <is>
          <t>One client in the room at a time, in a private Oakville studio. That is a scheduling choice, not a luxury one. When two people are booked over each other, someone gets rushed, and the person being rushed is usually the one asking the most questions.
Your appointment is injected by a nurse practitioner, never handed to whoever is free. You get the same face across visits, which matters more than people expect. Dose is built on what your muscles did last time, so the second appointment is always better informed than the first.
The studio is on Preserve Dr with free parking at the door, and people drive in from Burlington, Milton and Mississauga for Botox and filler. Come see the room and the work on Instagram.</t>
        </is>
      </c>
      <c r="H4" s="49" t="n">
        <v>719</v>
      </c>
      <c r="I4" s="49" t="inlineStr">
        <is>
          <t>Learn more</t>
        </is>
      </c>
      <c r="J4" s="51" t="inlineStr">
        <is>
          <t>@luxury_beauty_aestheticz</t>
        </is>
      </c>
      <c r="K4" s="49" t="inlineStr">
        <is>
          <t>2026-08-19-one-client-at-a-time.jpg</t>
        </is>
      </c>
      <c r="L4" s="51" t="inlineStr">
        <is>
          <t>Open folder</t>
        </is>
      </c>
      <c r="M4" s="51" t="inlineStr">
        <is>
          <t>Open image</t>
        </is>
      </c>
      <c r="N4" s="49">
        <f>IMAGE("https://raw.githubusercontent.com/RepoKing23/InstagramCarousel/claude/serene-curie-xunco2/content/gbp/2026-08-19-one-client-at-a-time.jpg")</f>
        <v/>
      </c>
      <c r="O4" s="51" t="inlineStr">
        <is>
          <t>Wco Global / Unsplash</t>
        </is>
      </c>
      <c r="P4" s="49" t="inlineStr">
        <is>
          <t>Published</t>
        </is>
      </c>
      <c r="Q4" s="59" t="inlineStr"/>
    </row>
    <row r="5" ht="132" customHeight="1" s="42">
      <c r="A5" s="44" t="n">
        <v>46254</v>
      </c>
      <c r="B5" s="45" t="inlineStr">
        <is>
          <t>Thu</t>
        </is>
      </c>
      <c r="C5" s="45" t="inlineStr">
        <is>
          <t>IG: 5 Red Flags at a Med Spa</t>
        </is>
      </c>
      <c r="D5" s="45" t="inlineStr">
        <is>
          <t>Trust &amp; Proof</t>
        </is>
      </c>
      <c r="E5" s="46" t="inlineStr">
        <is>
          <t>Five things to walk away from at a med spa: no consultation, bargain pricing, a provider who never says no, no named injector, and pressure to decide today. Your face is not the place to find out you picked wrong. The full list is on Instagram.</t>
        </is>
      </c>
      <c r="F5" s="45" t="n">
        <v>244</v>
      </c>
      <c r="G5" s="46" t="inlineStr">
        <is>
          <t>Five things to walk away from at a med spa: no consultation, bargain pricing, a provider who never says no, no named injector, and pressure to decide today.
The consultation is the one people skip. If nobody watched your face move before picking a dose, the dose is a guess. Bargain pricing is the second. Neuromodulator has a real per unit cost, so a price well under the going rate in Oakville usually means the product is overdiluted or the units are short.
The hardest one to spot is a provider who agrees with everything. Some faces should not get what they came in asking for, and you want the person holding the needle to say so.
Ask who is injecting you, what their credentials are, and what happens if you are unhappy. The full list is on Instagram.</t>
        </is>
      </c>
      <c r="H5" s="45" t="n">
        <v>761</v>
      </c>
      <c r="I5" s="45" t="inlineStr">
        <is>
          <t>Learn more</t>
        </is>
      </c>
      <c r="J5" s="47" t="inlineStr">
        <is>
          <t>@luxury_beauty_aestheticz</t>
        </is>
      </c>
      <c r="K5" s="45" t="inlineStr">
        <is>
          <t>2026-08-20-5-red-flags.jpg</t>
        </is>
      </c>
      <c r="L5" s="47" t="inlineStr">
        <is>
          <t>Open folder</t>
        </is>
      </c>
      <c r="M5" s="47" t="inlineStr">
        <is>
          <t>Open image</t>
        </is>
      </c>
      <c r="N5" s="45">
        <f>IMAGE("https://raw.githubusercontent.com/RepoKing23/InstagramCarousel/claude/serene-curie-xunco2/content/gbp/2026-08-20-5-red-flags.jpg")</f>
        <v/>
      </c>
      <c r="O5" s="47" t="inlineStr">
        <is>
          <t>Look Studio / Unsplash</t>
        </is>
      </c>
      <c r="P5" s="45" t="inlineStr">
        <is>
          <t>Published</t>
        </is>
      </c>
      <c r="Q5" s="59" t="inlineStr"/>
    </row>
    <row r="6" ht="132" customHeight="1" s="42">
      <c r="A6" s="44" t="n">
        <v>46255</v>
      </c>
      <c r="B6" s="45" t="inlineStr">
        <is>
          <t>Fri</t>
        </is>
      </c>
      <c r="C6" s="45" t="inlineStr">
        <is>
          <t>IG: Behind the Scenes, The Prep</t>
        </is>
      </c>
      <c r="D6" s="45" t="inlineStr">
        <is>
          <t>Personality &amp; BTS</t>
        </is>
      </c>
      <c r="E6" s="46" t="inlineStr">
        <is>
          <t>Every appointment starts the same way. A new tray, product opened sealed in front of you, and your face mapped while it moves, not while it sits still. The prep is the part nobody photographs. We photographed it, on Instagram.</t>
        </is>
      </c>
      <c r="F6" s="45" t="n">
        <v>226</v>
      </c>
      <c r="G6" s="46" t="inlineStr">
        <is>
          <t>Every appointment here starts the same way. A new tray, product opened sealed in front of you, and your face mapped while it moves.
Mapping in motion is the part that changes the result. A forehead at rest tells you almost nothing. I need to see you frown, lift, squint and smile, because that is where the muscle is actually pulling and where the product needs to sit. Two people with identical lines often get very different plans.
Prep is the unglamorous part nobody photographs, and it is most of what separates good Botox from the kind people notice. We photographed it anyway. On Instagram.</t>
        </is>
      </c>
      <c r="H6" s="45" t="n">
        <v>598</v>
      </c>
      <c r="I6" s="45" t="inlineStr">
        <is>
          <t>Learn more</t>
        </is>
      </c>
      <c r="J6" s="47" t="inlineStr">
        <is>
          <t>@luxury_beauty_aestheticz</t>
        </is>
      </c>
      <c r="K6" s="45" t="inlineStr">
        <is>
          <t>2026-08-21-before-the-needle.jpg</t>
        </is>
      </c>
      <c r="L6" s="47" t="inlineStr">
        <is>
          <t>Open folder</t>
        </is>
      </c>
      <c r="M6" s="47" t="inlineStr">
        <is>
          <t>Open image</t>
        </is>
      </c>
      <c r="N6" s="45">
        <f>IMAGE("https://raw.githubusercontent.com/RepoKing23/InstagramCarousel/claude/serene-curie-xunco2/content/gbp/2026-08-21-before-the-needle.jpg")</f>
        <v/>
      </c>
      <c r="O6" s="47" t="inlineStr">
        <is>
          <t>Masum Rahimi / Unsplash</t>
        </is>
      </c>
      <c r="P6" s="45" t="inlineStr">
        <is>
          <t>Published</t>
        </is>
      </c>
      <c r="Q6" s="59" t="inlineStr"/>
    </row>
    <row r="7" ht="132" customHeight="1" s="42">
      <c r="A7" s="44" t="n">
        <v>46256</v>
      </c>
      <c r="B7" s="45" t="inlineStr">
        <is>
          <t>Sat</t>
        </is>
      </c>
      <c r="C7" s="45" t="inlineStr">
        <is>
          <t>IG: Great Work Is Invisible</t>
        </is>
      </c>
      <c r="D7" s="45" t="inlineStr">
        <is>
          <t>Trust &amp; Proof</t>
        </is>
      </c>
      <c r="E7" s="46" t="inlineStr">
        <is>
          <t>One syringe of lip filler, with her own lip shape kept exactly where it was. If it reads as good skin and a good night of sleep rather than work, that was the goal. Shared with client consent, individual results vary. More on Instagram.</t>
        </is>
      </c>
      <c r="F7" s="45" t="n">
        <v>236</v>
      </c>
      <c r="G7" s="46" t="inlineStr">
        <is>
          <t>One syringe of lip filler, with her own lip shape kept exactly where it was.
This is the standard I work to. Filler should follow the border you already have rather than invent a new one. That means respecting the ratio between top and bottom lip, keeping the cupid's bow, and stopping while it still looks like a good day rather than a decision.
One syringe goes further than most people think when it is placed well. The difference between natural and obvious is rarely the volume. It is where it sits and whether the injector was willing to stop.
Shared with client consent. Individual results vary, and lips in particular differ with anatomy and swelling. More natural lip filler work from our Oakville studio on Instagram.</t>
        </is>
      </c>
      <c r="H7" s="45" t="n">
        <v>730</v>
      </c>
      <c r="I7" s="45" t="inlineStr">
        <is>
          <t>Learn more</t>
        </is>
      </c>
      <c r="J7" s="47" t="inlineStr">
        <is>
          <t>@luxury_beauty_aestheticz</t>
        </is>
      </c>
      <c r="K7" s="45" t="inlineStr">
        <is>
          <t>2026-08-22-great-work-is-invisible.jpg</t>
        </is>
      </c>
      <c r="L7" s="47" t="inlineStr">
        <is>
          <t>Open folder</t>
        </is>
      </c>
      <c r="M7" s="47" t="inlineStr">
        <is>
          <t>Open image</t>
        </is>
      </c>
      <c r="N7" s="45">
        <f>IMAGE("https://raw.githubusercontent.com/RepoKing23/InstagramCarousel/claude/serene-curie-xunco2/content/gbp/2026-08-22-great-work-is-invisible.jpg")</f>
        <v/>
      </c>
      <c r="O7" s="47" t="inlineStr">
        <is>
          <t>Alef Morais / Unsplash</t>
        </is>
      </c>
      <c r="P7" s="45" t="inlineStr">
        <is>
          <t>Ready</t>
        </is>
      </c>
      <c r="Q7" s="59" t="inlineStr"/>
    </row>
    <row r="8" ht="132" customHeight="1" s="42">
      <c r="A8" s="48" t="n">
        <v>46257</v>
      </c>
      <c r="B8" s="49" t="inlineStr">
        <is>
          <t>Sun</t>
        </is>
      </c>
      <c r="C8" s="49" t="inlineStr">
        <is>
          <t>GBP only</t>
        </is>
      </c>
      <c r="D8" s="49" t="inlineStr">
        <is>
          <t>Education</t>
        </is>
      </c>
      <c r="E8" s="50" t="inlineStr">
        <is>
          <t>A first visit runs about 45 minutes and most of that is talking. Consultation, mapping your face in motion, and agreeing a plan and a price before anything is opened. The injecting itself takes roughly ten minutes. Questions welcome on Instagram.</t>
        </is>
      </c>
      <c r="F8" s="49" t="n">
        <v>246</v>
      </c>
      <c r="G8" s="50" t="inlineStr">
        <is>
          <t>A first visit runs about 45 minutes, and most of that is talking.
Here is the breakdown. Fifteen to twenty minutes on what is actually bothering you and what you want your face to do. Then mapping, where I watch your expressions and mark where the muscle pulls. Then a plan and a price, agreed and written down before anything is opened.
The injecting itself is closer to ten minutes. People are usually surprised by how short that part is, and how long the rest takes. That ratio is deliberate.
You can book a Botox consultation in Oakville and leave without treatment. Plenty do, and it is a completely normal outcome. Ask anything on Instagram.</t>
        </is>
      </c>
      <c r="H8" s="49" t="n">
        <v>650</v>
      </c>
      <c r="I8" s="49" t="inlineStr">
        <is>
          <t>Learn more</t>
        </is>
      </c>
      <c r="J8" s="51" t="inlineStr">
        <is>
          <t>@luxury_beauty_aestheticz</t>
        </is>
      </c>
      <c r="K8" s="49" t="inlineStr">
        <is>
          <t>2026-08-23-how-long-does-it-take.jpg</t>
        </is>
      </c>
      <c r="L8" s="51" t="inlineStr">
        <is>
          <t>Open folder</t>
        </is>
      </c>
      <c r="M8" s="51" t="inlineStr">
        <is>
          <t>Open image</t>
        </is>
      </c>
      <c r="N8" s="49">
        <f>IMAGE("https://raw.githubusercontent.com/RepoKing23/InstagramCarousel/claude/serene-curie-xunco2/content/gbp/2026-08-23-how-long-does-it-take.jpg")</f>
        <v/>
      </c>
      <c r="O8" s="51" t="inlineStr">
        <is>
          <t>Ionela Mat / Unsplash</t>
        </is>
      </c>
      <c r="P8" s="49" t="inlineStr">
        <is>
          <t>Ready</t>
        </is>
      </c>
      <c r="Q8" s="59" t="inlineStr"/>
    </row>
    <row r="9" ht="132" customHeight="1" s="42">
      <c r="A9" s="44" t="n">
        <v>46258</v>
      </c>
      <c r="B9" s="45" t="inlineStr">
        <is>
          <t>Mon</t>
        </is>
      </c>
      <c r="C9" s="45" t="inlineStr">
        <is>
          <t>IG: Your First Visit, Step by Step</t>
        </is>
      </c>
      <c r="D9" s="45" t="inlineStr">
        <is>
          <t>Education</t>
        </is>
      </c>
      <c r="E9" s="46" t="inlineStr">
        <is>
          <t>Nervous about a first appointment? Here is the whole thing. A real consultation, your face mapped in motion, a written plan and price agreed before anything is opened, then about ten minutes of treatment. Step by step on Instagram.</t>
        </is>
      </c>
      <c r="F9" s="45" t="n">
        <v>231</v>
      </c>
      <c r="G9" s="46" t="inlineStr">
        <is>
          <t>Nervous about a first appointment? Here is the whole thing, start to finish.
You arrive and we talk before anything else. I want to know what you notice in photos, what you have been told elsewhere, and what you are worried about. Then I map your face in motion. Then you get a written plan and a written price, and nothing is opened until you have agreed to both.
Treatment takes about ten minutes. You go straight back to your day, with the aftercare rules on a card: stay upright four hours, skip the gym, leave the area alone.
At two weeks you come back so we can look properly and adjust if anything needs it. That visit is included in the price of your Botox. Step by step on Instagram.</t>
        </is>
      </c>
      <c r="H9" s="45" t="n">
        <v>695</v>
      </c>
      <c r="I9" s="45" t="inlineStr">
        <is>
          <t>Learn more</t>
        </is>
      </c>
      <c r="J9" s="47" t="inlineStr">
        <is>
          <t>@luxury_beauty_aestheticz</t>
        </is>
      </c>
      <c r="K9" s="45" t="inlineStr">
        <is>
          <t>2026-08-24-what-actually-happens.jpg</t>
        </is>
      </c>
      <c r="L9" s="47" t="inlineStr">
        <is>
          <t>Open folder</t>
        </is>
      </c>
      <c r="M9" s="47" t="inlineStr">
        <is>
          <t>Open image</t>
        </is>
      </c>
      <c r="N9" s="45">
        <f>IMAGE("https://raw.githubusercontent.com/RepoKing23/InstagramCarousel/claude/serene-curie-xunco2/content/gbp/2026-08-24-what-actually-happens.jpg")</f>
        <v/>
      </c>
      <c r="O9" s="47" t="inlineStr">
        <is>
          <t>karelys Ruiz / Unsplash</t>
        </is>
      </c>
      <c r="P9" s="45" t="inlineStr">
        <is>
          <t>Published</t>
        </is>
      </c>
      <c r="Q9" s="59" t="inlineStr"/>
    </row>
    <row r="10" ht="132" customHeight="1" s="42">
      <c r="A10" s="44" t="n">
        <v>46259</v>
      </c>
      <c r="B10" s="45" t="inlineStr">
        <is>
          <t>Tue</t>
        </is>
      </c>
      <c r="C10" s="45" t="inlineStr">
        <is>
          <t>IG: Why I Do Not Post Prices</t>
        </is>
      </c>
      <c r="D10" s="45" t="inlineStr">
        <is>
          <t>Trust &amp; Proof</t>
        </is>
      </c>
      <c r="E10" s="46" t="inlineStr">
        <is>
          <t>Why there is no price list. Doses differ from face to face, so a single flat price either overcharges you or under treats you. You get a written number at your consultation, before anything is opened. The honest version is on Instagram.</t>
        </is>
      </c>
      <c r="F10" s="45" t="n">
        <v>236</v>
      </c>
      <c r="G10" s="46" t="inlineStr">
        <is>
          <t>Why there is no price list on this page. Doses differ from face to face, so one flat price either overcharges you or under treats you.
A strong forehead muscle needs more units than a light one. Someone treating a line for the first time needs a different amount than someone maintaining. Publishing a single number for an area means one of those people is paying for units they do not need and the other is being quietly short dosed to keep the number attractive.
What you get instead is a written number at your consultation, based on your face and the units it actually takes. No moving target once you are in the chair.
If you want a ballpark before booking, message me on Instagram and describe what is bothering you. I will give you an honest range for Botox or filler at our Oakville studio.</t>
        </is>
      </c>
      <c r="H10" s="45" t="n">
        <v>801</v>
      </c>
      <c r="I10" s="45" t="inlineStr">
        <is>
          <t>Learn more</t>
        </is>
      </c>
      <c r="J10" s="47" t="inlineStr">
        <is>
          <t>@luxury_beauty_aestheticz</t>
        </is>
      </c>
      <c r="K10" s="45" t="inlineStr">
        <is>
          <t>2026-08-25-why-no-prices.jpg</t>
        </is>
      </c>
      <c r="L10" s="47" t="inlineStr">
        <is>
          <t>Open folder</t>
        </is>
      </c>
      <c r="M10" s="47" t="inlineStr">
        <is>
          <t>Open image</t>
        </is>
      </c>
      <c r="N10" s="45">
        <f>IMAGE("https://raw.githubusercontent.com/RepoKing23/InstagramCarousel/claude/serene-curie-xunco2/content/gbp/2026-08-25-why-no-prices.jpg")</f>
        <v/>
      </c>
      <c r="O10" s="47" t="inlineStr">
        <is>
          <t>Vitaliy Shevchenko / Unsplash</t>
        </is>
      </c>
      <c r="P10" s="45" t="inlineStr">
        <is>
          <t>Published</t>
        </is>
      </c>
      <c r="Q10" s="59" t="inlineStr"/>
    </row>
    <row r="11" ht="132" customHeight="1" s="42">
      <c r="A11" s="48" t="n">
        <v>46260</v>
      </c>
      <c r="B11" s="49" t="inlineStr">
        <is>
          <t>Wed</t>
        </is>
      </c>
      <c r="C11" s="49" t="inlineStr">
        <is>
          <t>GBP only</t>
        </is>
      </c>
      <c r="D11" s="49" t="inlineStr">
        <is>
          <t>Trust &amp; Proof</t>
        </is>
      </c>
      <c r="E11" s="50" t="inlineStr">
        <is>
          <t>Ask any clinic who is actually holding the needle. Here it is a nurse practitioner, RN(EC), registered with the College of Nurses of Ontario. Every appointment is injected by Cleo, never delegated to someone you have not met. Meet her on Instagram.</t>
        </is>
      </c>
      <c r="F11" s="49" t="n">
        <v>248</v>
      </c>
      <c r="G11" s="50" t="inlineStr">
        <is>
          <t>Ask any clinic who is actually holding the needle. It is a fair question and a good clinic will not flinch at it.
Here it is a nurse practitioner, RN(EC), registered with the College of Nurses of Ontario. Every appointment is injected by Cleo. Nothing is delegated to someone you have not met, and nothing is handed off partway through.
That continuity is not just about credentials. Seeing the same face each visit means the plan builds. I know how your muscles responded last time, how long it lasted for you, and where we went lighter on purpose.
Credentials are public and worth checking, here or anywhere else you are considering for Botox in Oakville. Meet her on Instagram.</t>
        </is>
      </c>
      <c r="H11" s="49" t="n">
        <v>683</v>
      </c>
      <c r="I11" s="49" t="inlineStr">
        <is>
          <t>Learn more</t>
        </is>
      </c>
      <c r="J11" s="51" t="inlineStr">
        <is>
          <t>@luxury_beauty_aestheticz</t>
        </is>
      </c>
      <c r="K11" s="49" t="inlineStr">
        <is>
          <t>2026-08-26-who-injects-you.jpg</t>
        </is>
      </c>
      <c r="L11" s="51" t="inlineStr">
        <is>
          <t>Open folder</t>
        </is>
      </c>
      <c r="M11" s="51" t="inlineStr">
        <is>
          <t>Open image</t>
        </is>
      </c>
      <c r="N11" s="49">
        <f>IMAGE("https://raw.githubusercontent.com/RepoKing23/InstagramCarousel/claude/serene-curie-xunco2/content/gbp/2026-08-26-who-injects-you.jpg")</f>
        <v/>
      </c>
      <c r="O11" s="51" t="inlineStr">
        <is>
          <t>Anuruddha Lokuhapuarachchi / Unsplash</t>
        </is>
      </c>
      <c r="P11" s="49" t="inlineStr">
        <is>
          <t>Published</t>
        </is>
      </c>
      <c r="Q11" s="59" t="inlineStr"/>
    </row>
    <row r="12" ht="132" customHeight="1" s="42">
      <c r="A12" s="44" t="n">
        <v>46261</v>
      </c>
      <c r="B12" s="45" t="inlineStr">
        <is>
          <t>Thu</t>
        </is>
      </c>
      <c r="C12" s="45" t="inlineStr">
        <is>
          <t>IG: Meet NP Cleo</t>
        </is>
      </c>
      <c r="D12" s="45" t="inlineStr">
        <is>
          <t>Personality &amp; BTS</t>
        </is>
      </c>
      <c r="E12" s="46" t="inlineStr">
        <is>
          <t>Meet NP Cleo. Nurse practitioner and injector, and the person who will tell you no when the honest answer is no. Every appointment is injected by her, never delegated. The full introduction is on Instagram.</t>
        </is>
      </c>
      <c r="F12" s="45" t="n">
        <v>206</v>
      </c>
      <c r="G12" s="46" t="inlineStr">
        <is>
          <t>Meet NP Cleo. Nurse practitioner, injector, and the person who will tell you no when the honest answer is no.
That last part costs money and keeps the work good. Some requests do not suit the face in front of me. Sometimes the line someone wants softened is a volume issue and a neuromodulator will not touch it. Saying so loses the booking and saves the result.
Every appointment at this Oakville studio is injected by Cleo, never delegated. Clients come from Burlington, Milton and Mississauga, mostly on referral from someone whose work nobody could identify.
The full introduction, and the reasoning behind how she doses, is on Instagram.</t>
        </is>
      </c>
      <c r="H12" s="45" t="n">
        <v>645</v>
      </c>
      <c r="I12" s="45" t="inlineStr">
        <is>
          <t>Learn more</t>
        </is>
      </c>
      <c r="J12" s="47" t="inlineStr">
        <is>
          <t>@luxury_beauty_aestheticz</t>
        </is>
      </c>
      <c r="K12" s="45" t="inlineStr">
        <is>
          <t>2026-08-27-meet-np-cleo.jpg</t>
        </is>
      </c>
      <c r="L12" s="47" t="inlineStr">
        <is>
          <t>Open folder</t>
        </is>
      </c>
      <c r="M12" s="47" t="inlineStr">
        <is>
          <t>Open image</t>
        </is>
      </c>
      <c r="N12" s="45">
        <f>IMAGE("https://raw.githubusercontent.com/RepoKing23/InstagramCarousel/claude/serene-curie-xunco2/content/gbp/2026-08-27-meet-np-cleo.jpg")</f>
        <v/>
      </c>
      <c r="O12" s="47" t="inlineStr">
        <is>
          <t>Look Studio / Unsplash</t>
        </is>
      </c>
      <c r="P12" s="45" t="inlineStr">
        <is>
          <t>Published</t>
        </is>
      </c>
      <c r="Q12" s="59" t="inlineStr"/>
    </row>
    <row r="13" ht="132" customHeight="1" s="42">
      <c r="A13" s="44" t="n">
        <v>46262</v>
      </c>
      <c r="B13" s="45" t="inlineStr">
        <is>
          <t>Fri</t>
        </is>
      </c>
      <c r="C13" s="45" t="inlineStr">
        <is>
          <t>IG: Welcome to the Treatment Room</t>
        </is>
      </c>
      <c r="D13" s="45" t="inlineStr">
        <is>
          <t>Personality &amp; BTS</t>
        </is>
      </c>
      <c r="E13" s="46" t="inlineStr">
        <is>
          <t>One client in the treatment room at a time. Nobody rushes the person before you, so nobody rushes you. The door stays shut and the questions stay welcome, however small they feel. Come see the room on Instagram.</t>
        </is>
      </c>
      <c r="F13" s="45" t="n">
        <v>211</v>
      </c>
      <c r="G13" s="46" t="inlineStr">
        <is>
          <t>One client in the treatment room at a time. Nobody rushes the person before you, so nobody rushes you.
A private room changes what people are willing to ask. The questions that matter most are usually the ones people feel silly saying out loud in a waiting area, about cost, about looking overdone, about whether they will still look like themselves at a family event.
The door stays shut and those questions stay welcome, however small they feel. There is no upsell script here and no add on being pushed while you are already in the chair.
There is no upsell script here and no add on being pushed while you are already in the chair. Come see the Oakville treatment room on Instagram, and message if you want to know anything before you book Botox or filler.</t>
        </is>
      </c>
      <c r="H13" s="45" t="n">
        <v>763</v>
      </c>
      <c r="I13" s="45" t="inlineStr">
        <is>
          <t>Learn more</t>
        </is>
      </c>
      <c r="J13" s="47" t="inlineStr">
        <is>
          <t>@luxury_beauty_aestheticz</t>
        </is>
      </c>
      <c r="K13" s="45" t="inlineStr">
        <is>
          <t>2026-08-28-where-calm-meets-careful.jpg</t>
        </is>
      </c>
      <c r="L13" s="47" t="inlineStr">
        <is>
          <t>Open folder</t>
        </is>
      </c>
      <c r="M13" s="47" t="inlineStr">
        <is>
          <t>Open image</t>
        </is>
      </c>
      <c r="N13" s="45">
        <f>IMAGE("https://raw.githubusercontent.com/RepoKing23/InstagramCarousel/claude/serene-curie-xunco2/content/gbp/2026-08-28-where-calm-meets-careful.jpg")</f>
        <v/>
      </c>
      <c r="O13" s="47" t="inlineStr">
        <is>
          <t>Masum Rahimi / Unsplash</t>
        </is>
      </c>
      <c r="P13" s="45" t="inlineStr">
        <is>
          <t>Published</t>
        </is>
      </c>
      <c r="Q13" s="59" t="inlineStr"/>
    </row>
    <row r="14" ht="132" customHeight="1" s="42">
      <c r="A14" s="44" t="n">
        <v>46263</v>
      </c>
      <c r="B14" s="45" t="inlineStr">
        <is>
          <t>Sat</t>
        </is>
      </c>
      <c r="C14" s="45" t="inlineStr">
        <is>
          <t>IG: This or That, Rested vs Frozen</t>
        </is>
      </c>
      <c r="D14" s="45" t="inlineStr">
        <is>
          <t>Trust &amp; Proof</t>
        </is>
      </c>
      <c r="E14" s="46" t="inlineStr">
        <is>
          <t>Rested, not frozen. You should still frown, squint and smile afterwards. If people ask what you had done instead of whether you slept well, the dose was wrong. See the difference side by side on Instagram.</t>
        </is>
      </c>
      <c r="F14" s="45" t="n">
        <v>205</v>
      </c>
      <c r="G14" s="46" t="inlineStr">
        <is>
          <t>Rested, not frozen. You should still frown, squint and smile after treatment.
Movement is not a side effect you tolerate, it is the goal. A face that cannot move reads as work done. A face that moves with softer lines reads as sleep, water and a good few weeks. The second one is what people are actually paying for.
Getting there is a dosing decision, not a product one. It means treating the muscle that is pulling hardest and leaving the ones doing useful work alone. It often means using fewer units than someone expects and asking them back at two weeks rather than chasing it all in one sitting.
If people ask what you had done instead of whether you slept well, the Botox dose was wrong. See the difference side by side on Instagram.</t>
        </is>
      </c>
      <c r="H14" s="45" t="n">
        <v>743</v>
      </c>
      <c r="I14" s="45" t="inlineStr">
        <is>
          <t>Learn more</t>
        </is>
      </c>
      <c r="J14" s="47" t="inlineStr">
        <is>
          <t>@luxury_beauty_aestheticz</t>
        </is>
      </c>
      <c r="K14" s="45" t="inlineStr">
        <is>
          <t>2026-08-29-rested-or-frozen.jpg</t>
        </is>
      </c>
      <c r="L14" s="47" t="inlineStr">
        <is>
          <t>Open folder</t>
        </is>
      </c>
      <c r="M14" s="47" t="inlineStr">
        <is>
          <t>Open image</t>
        </is>
      </c>
      <c r="N14" s="45">
        <f>IMAGE("https://raw.githubusercontent.com/RepoKing23/InstagramCarousel/claude/serene-curie-xunco2/content/gbp/2026-08-29-rested-or-frozen.jpg")</f>
        <v/>
      </c>
      <c r="O14" s="47" t="inlineStr">
        <is>
          <t>engin akyurt / Unsplash</t>
        </is>
      </c>
      <c r="P14" s="45" t="inlineStr">
        <is>
          <t>Ready</t>
        </is>
      </c>
      <c r="Q14" s="59" t="inlineStr"/>
    </row>
    <row r="15" ht="132" customHeight="1" s="42">
      <c r="A15" s="48" t="n">
        <v>46264</v>
      </c>
      <c r="B15" s="49" t="inlineStr">
        <is>
          <t>Sun</t>
        </is>
      </c>
      <c r="C15" s="49" t="inlineStr">
        <is>
          <t>GBP only</t>
        </is>
      </c>
      <c r="D15" s="49" t="inlineStr">
        <is>
          <t>Education</t>
        </is>
      </c>
      <c r="E15" s="50" t="inlineStr">
        <is>
          <t>A consultation is not a sales appointment. We go through your goals, map your face in motion, and talk about what will work, what will not, and what it costs, in writing. You can leave without booking anything. More on Instagram.</t>
        </is>
      </c>
      <c r="F15" s="49" t="n">
        <v>229</v>
      </c>
      <c r="G15" s="50" t="inlineStr">
        <is>
          <t>A consultation is not a sales appointment. You can leave without booking anything and that is a completely normal outcome.
What it actually includes: your goals in your own words, your face mapped while it moves, and a straight answer about what will work and what will not. If the thing bothering you is not a neuromodulator problem, I will tell you that rather than sell you the closest thing I offer.
You leave with a written plan and a written price. No deposit to hear it, no pressure to decide in the room, and no follow up chasing you.
Booking a consultation at our Oakville studio is a message on Instagram. Tell me what you are considering and we will start there.</t>
        </is>
      </c>
      <c r="H15" s="49" t="n">
        <v>676</v>
      </c>
      <c r="I15" s="49" t="inlineStr">
        <is>
          <t>Learn more</t>
        </is>
      </c>
      <c r="J15" s="51" t="inlineStr">
        <is>
          <t>@luxury_beauty_aestheticz</t>
        </is>
      </c>
      <c r="K15" s="49" t="inlineStr">
        <is>
          <t>2026-08-30-what-a-consult-includes.jpg</t>
        </is>
      </c>
      <c r="L15" s="51" t="inlineStr">
        <is>
          <t>Open folder</t>
        </is>
      </c>
      <c r="M15" s="51" t="inlineStr">
        <is>
          <t>Open image</t>
        </is>
      </c>
      <c r="N15" s="49">
        <f>IMAGE("https://raw.githubusercontent.com/RepoKing23/InstagramCarousel/claude/serene-curie-xunco2/content/gbp/2026-08-30-what-a-consult-includes.jpg")</f>
        <v/>
      </c>
      <c r="O15" s="51" t="inlineStr">
        <is>
          <t>Elist Nguyen / Unsplash</t>
        </is>
      </c>
      <c r="P15" s="49" t="inlineStr">
        <is>
          <t>Ready</t>
        </is>
      </c>
      <c r="Q15" s="59" t="inlineStr"/>
    </row>
    <row r="16" ht="132" customHeight="1" s="42">
      <c r="A16" s="44" t="n">
        <v>46265</v>
      </c>
      <c r="B16" s="45" t="inlineStr">
        <is>
          <t>Mon</t>
        </is>
      </c>
      <c r="C16" s="45" t="inlineStr">
        <is>
          <t>IG: Preventative Botox, When to Start</t>
        </is>
      </c>
      <c r="D16" s="45" t="inlineStr">
        <is>
          <t>Education</t>
        </is>
      </c>
      <c r="E16" s="46" t="inlineStr">
        <is>
          <t>When should you actually start preventative Botox? It is not about your age. Make your strongest expression, relax your face, and see if the line stays behind. That is the one setting in. The full explanation is on Instagram.</t>
        </is>
      </c>
      <c r="F16" s="45" t="n">
        <v>225</v>
      </c>
      <c r="G16" s="46" t="inlineStr">
        <is>
          <t>When should you actually start preventative Botox? It is not about your age, and the birthday number people quote is meaningless.
Here is the test. Make your strongest expression, hold it, then relax your face completely. If a line stays behind after everything has released, that one is setting into the skin. That is the line worth treating early, whether you are 26 or 41.
Starting before a line is etched means smaller doses, spaced further apart, and a softer result than chasing it later. Waiting until it is permanent does not make treatment impossible, it makes it slower and more expensive.
If you are not sure what you are looking at, take a photo mid expression and one relaxed and send both. Preventative Botox in Oakville, explained properly on Instagram.</t>
        </is>
      </c>
      <c r="H16" s="45" t="n">
        <v>771</v>
      </c>
      <c r="I16" s="45" t="inlineStr">
        <is>
          <t>Learn more</t>
        </is>
      </c>
      <c r="J16" s="47" t="inlineStr">
        <is>
          <t>@luxury_beauty_aestheticz</t>
        </is>
      </c>
      <c r="K16" s="45" t="inlineStr">
        <is>
          <t>2026-08-31-when-to-start.jpg</t>
        </is>
      </c>
      <c r="L16" s="47" t="inlineStr">
        <is>
          <t>Open folder</t>
        </is>
      </c>
      <c r="M16" s="47" t="inlineStr">
        <is>
          <t>Open image</t>
        </is>
      </c>
      <c r="N16" s="45">
        <f>IMAGE("https://raw.githubusercontent.com/RepoKing23/InstagramCarousel/claude/serene-curie-xunco2/content/gbp/2026-08-31-when-to-start.jpg")</f>
        <v/>
      </c>
      <c r="O16" s="47" t="inlineStr">
        <is>
          <t>Fleur Kaan / Unsplash</t>
        </is>
      </c>
      <c r="P16" s="45" t="inlineStr">
        <is>
          <t>Published</t>
        </is>
      </c>
      <c r="Q16" s="59" t="inlineStr"/>
    </row>
    <row r="17" ht="132" customHeight="1" s="42">
      <c r="A17" s="44" t="n">
        <v>46266</v>
      </c>
      <c r="B17" s="45" t="inlineStr">
        <is>
          <t>Tue</t>
        </is>
      </c>
      <c r="C17" s="45" t="inlineStr">
        <is>
          <t>IG: Service Spotlight, Preventative Botox</t>
        </is>
      </c>
      <c r="D17" s="45" t="inlineStr">
        <is>
          <t>Education</t>
        </is>
      </c>
      <c r="E17" s="46" t="inlineStr">
        <is>
          <t>Preventative Botox, explained plainly. Small doses started before a line sets in, so it never becomes permanent. It is easier to stop a line than to erase one. Dosed to your muscle, never to a template. More on Instagram.</t>
        </is>
      </c>
      <c r="F17" s="45" t="n">
        <v>221</v>
      </c>
      <c r="G17" s="46" t="inlineStr">
        <is>
          <t>Preventative Botox, explained plainly. Small doses started before a line sets in, so it never becomes permanent.
The muscle folds the skin the same way thousands of times. Early on the skin springs back. Over years it stops, and the crease stays after the expression has gone. Treating before that point keeps the fold from becoming a fixture.
It is dosed lighter than corrective work. The aim is to soften how hard the muscle pulls while leaving you full expression, not to shut movement down. Most people start with fewer units than they expect and come back at two weeks.
Not every face needs it yet, and I will say so. Book a consultation at our Oakville studio, or ask on Instagram first.</t>
        </is>
      </c>
      <c r="H17" s="45" t="n">
        <v>696</v>
      </c>
      <c r="I17" s="45" t="inlineStr">
        <is>
          <t>Learn more</t>
        </is>
      </c>
      <c r="J17" s="47" t="inlineStr">
        <is>
          <t>@luxury_beauty_aestheticz</t>
        </is>
      </c>
      <c r="K17" s="45" t="inlineStr">
        <is>
          <t>2026-09-01-spotlight-preventative.jpg</t>
        </is>
      </c>
      <c r="L17" s="47" t="inlineStr">
        <is>
          <t>Open folder</t>
        </is>
      </c>
      <c r="M17" s="47" t="inlineStr">
        <is>
          <t>Open image</t>
        </is>
      </c>
      <c r="N17" s="45">
        <f>IMAGE("https://raw.githubusercontent.com/RepoKing23/InstagramCarousel/claude/serene-curie-xunco2/content/gbp/2026-09-01-spotlight-preventative.jpg")</f>
        <v/>
      </c>
      <c r="O17" s="47" t="inlineStr">
        <is>
          <t>Fleur Kaan / Unsplash</t>
        </is>
      </c>
      <c r="P17" s="45" t="inlineStr">
        <is>
          <t>Published</t>
        </is>
      </c>
      <c r="Q17" s="59" t="inlineStr"/>
    </row>
    <row r="18" ht="132" customHeight="1" s="42">
      <c r="A18" s="48" t="n">
        <v>46267</v>
      </c>
      <c r="B18" s="49" t="inlineStr">
        <is>
          <t>Wed</t>
        </is>
      </c>
      <c r="C18" s="49" t="inlineStr">
        <is>
          <t>GBP only</t>
        </is>
      </c>
      <c r="D18" s="49" t="inlineStr">
        <is>
          <t>Trust &amp; Proof</t>
        </is>
      </c>
      <c r="E18" s="50" t="inlineStr">
        <is>
          <t>The question people are too polite to ask. Product is Health Canada approved, opened sealed in front of you, and injected by a nurse practitioner registered with the College of Nurses of Ontario. Ask me anything on Instagram.</t>
        </is>
      </c>
      <c r="F18" s="49" t="n">
        <v>225</v>
      </c>
      <c r="G18" s="50" t="inlineStr">
        <is>
          <t>The question people are too polite to ask out loud. Is it safe.
Product is Health Canada approved and opened sealed in front of you, so you can see what is going in. It is injected by a nurse practitioner registered with the College of Nurses of Ontario, in a private room with single use needles and a new tray for every appointment.
Side effects are usually small and short: a pinprick mark, occasional bruising, sometimes a mild headache the first day. The rarer issues, like a heavy lid, almost always come from product placed where it should not have been. That is a technique problem, which is exactly why who injects you matters more than which brand is on the vial.
Who injects you matters more than which brand is on the vial. Ask me anything about Botox safety on Instagram. No question is too basic.</t>
        </is>
      </c>
      <c r="H18" s="49" t="n">
        <v>813</v>
      </c>
      <c r="I18" s="49" t="inlineStr">
        <is>
          <t>Learn more</t>
        </is>
      </c>
      <c r="J18" s="51" t="inlineStr">
        <is>
          <t>@luxury_beauty_aestheticz</t>
        </is>
      </c>
      <c r="K18" s="49" t="inlineStr">
        <is>
          <t>2026-09-02-is-it-safe.jpg</t>
        </is>
      </c>
      <c r="L18" s="51" t="inlineStr">
        <is>
          <t>Open folder</t>
        </is>
      </c>
      <c r="M18" s="51" t="inlineStr">
        <is>
          <t>Open image</t>
        </is>
      </c>
      <c r="N18" s="49">
        <f>IMAGE("https://raw.githubusercontent.com/RepoKing23/InstagramCarousel/claude/serene-curie-xunco2/content/gbp/2026-09-02-is-it-safe.jpg")</f>
        <v/>
      </c>
      <c r="O18" s="51" t="inlineStr">
        <is>
          <t>Look Studio / Unsplash</t>
        </is>
      </c>
      <c r="P18" s="49" t="inlineStr">
        <is>
          <t>Published</t>
        </is>
      </c>
      <c r="Q18" s="59" t="inlineStr"/>
    </row>
    <row r="19" ht="132" customHeight="1" s="42">
      <c r="A19" s="44" t="n">
        <v>46268</v>
      </c>
      <c r="B19" s="45" t="inlineStr">
        <is>
          <t>Thu</t>
        </is>
      </c>
      <c r="C19" s="45" t="inlineStr">
        <is>
          <t>IG: What 20 Units Actually Looks Like</t>
        </is>
      </c>
      <c r="D19" s="45" t="inlineStr">
        <is>
          <t>Education</t>
        </is>
      </c>
      <c r="E19" s="46" t="inlineStr">
        <is>
          <t>Unit math, finally explained. Units measure dose, not strength, and the number you need depends on how strong your muscle is, not on a price menu. That is why a flat per-area price rarely tells the truth. Breakdown on Instagram.</t>
        </is>
      </c>
      <c r="F19" s="45" t="n">
        <v>228</v>
      </c>
      <c r="G19" s="46" t="inlineStr">
        <is>
          <t>Unit math, finally explained. Units measure dose, not strength, and the number you need depends on how hard your muscle pulls.
Twenty units in a strong frown muscle and twenty in a light one give completely different results. This is why a flat per area price rarely tells the truth. Two people book the same treatment, one gets enough product and the other quietly gets short dosed to keep the price attractive.
It is also why comparing your number to a friend's is a dead end. Hers might be right for her face and wrong for yours in either direction.
What you should get is a unit count in writing before anything is opened, and an explanation of why that number. That is how Botox is priced here in Oakville. The full breakdown is on Instagram.</t>
        </is>
      </c>
      <c r="H19" s="45" t="n">
        <v>750</v>
      </c>
      <c r="I19" s="45" t="inlineStr">
        <is>
          <t>Learn more</t>
        </is>
      </c>
      <c r="J19" s="47" t="inlineStr">
        <is>
          <t>@luxury_beauty_aestheticz</t>
        </is>
      </c>
      <c r="K19" s="45" t="inlineStr">
        <is>
          <t>2026-09-03-20-units.jpg</t>
        </is>
      </c>
      <c r="L19" s="47" t="inlineStr">
        <is>
          <t>Open folder</t>
        </is>
      </c>
      <c r="M19" s="47" t="inlineStr">
        <is>
          <t>Open image</t>
        </is>
      </c>
      <c r="N19" s="45">
        <f>IMAGE("https://raw.githubusercontent.com/RepoKing23/InstagramCarousel/claude/serene-curie-xunco2/content/gbp/2026-09-03-20-units.jpg")</f>
        <v/>
      </c>
      <c r="O19" s="47" t="inlineStr">
        <is>
          <t>Soheil Kmp / Unsplash</t>
        </is>
      </c>
      <c r="P19" s="45" t="inlineStr">
        <is>
          <t>Published</t>
        </is>
      </c>
      <c r="Q19" s="59" t="inlineStr"/>
    </row>
    <row r="20" ht="132" customHeight="1" s="42">
      <c r="A20" s="44" t="n">
        <v>46269</v>
      </c>
      <c r="B20" s="45" t="inlineStr">
        <is>
          <t>Fri</t>
        </is>
      </c>
      <c r="C20" s="45" t="inlineStr">
        <is>
          <t>IG: Meet Your Injector</t>
        </is>
      </c>
      <c r="D20" s="45" t="inlineStr">
        <is>
          <t>Personality &amp; BTS</t>
        </is>
      </c>
      <c r="E20" s="46" t="inlineStr">
        <is>
          <t>Your injector is a nurse practitioner, RN(EC), registered with the College of Nurses of Ontario. Also the person who will talk you out of a treatment when it is not right for your face. Get to know her on Instagram.</t>
        </is>
      </c>
      <c r="F20" s="45" t="n">
        <v>215</v>
      </c>
      <c r="G20" s="46" t="inlineStr">
        <is>
          <t>Your injector is a nurse practitioner, RN(EC), registered with the College of Nurses of Ontario.
An NP scope means assessing you properly, not just administering. That covers your medical history, what medications you are on, previous work someone else did, and whether treatment is right for you at all. It also means being able to say no with a reason attached.
The honest part is what people remember. If your concern is skin quality or lost volume, a neuromodulator is not the answer and you will hear that instead of a booking. It is the least profitable sentence in this business and the one that keeps clients for years.
Look mine up, and look up anyone else you are considering for Botox in Oakville. It takes two minutes and it is the single most useful thing you can do before booking. Get to know her on Instagram.</t>
        </is>
      </c>
      <c r="H20" s="45" t="n">
        <v>828</v>
      </c>
      <c r="I20" s="45" t="inlineStr">
        <is>
          <t>Learn more</t>
        </is>
      </c>
      <c r="J20" s="47" t="inlineStr">
        <is>
          <t>@luxury_beauty_aestheticz</t>
        </is>
      </c>
      <c r="K20" s="45" t="inlineStr">
        <is>
          <t>2026-09-04-meet-your-injector.jpg</t>
        </is>
      </c>
      <c r="L20" s="47" t="inlineStr">
        <is>
          <t>Open folder</t>
        </is>
      </c>
      <c r="M20" s="47" t="inlineStr">
        <is>
          <t>Open image</t>
        </is>
      </c>
      <c r="N20" s="45">
        <f>IMAGE("https://raw.githubusercontent.com/RepoKing23/InstagramCarousel/claude/serene-curie-xunco2/content/gbp/2026-09-04-meet-your-injector.jpg")</f>
        <v/>
      </c>
      <c r="O20" s="47" t="inlineStr">
        <is>
          <t>Masum Rahimi / Unsplash</t>
        </is>
      </c>
      <c r="P20" s="45" t="inlineStr">
        <is>
          <t>Published</t>
        </is>
      </c>
      <c r="Q20" s="59" t="inlineStr"/>
    </row>
    <row r="21" ht="132" customHeight="1" s="42">
      <c r="A21" s="44" t="n">
        <v>46270</v>
      </c>
      <c r="B21" s="45" t="inlineStr">
        <is>
          <t>Sat</t>
        </is>
      </c>
      <c r="C21" s="45" t="inlineStr">
        <is>
          <t>IG: Prevention Beats Erasing</t>
        </is>
      </c>
      <c r="D21" s="45" t="inlineStr">
        <is>
          <t>Education</t>
        </is>
      </c>
      <c r="E21" s="46" t="inlineStr">
        <is>
          <t>Prevention beats erasing. Ask the friend who never seems to age. Softening a line before it sets into the skin takes less product, less money and less time than chasing it years later. More on Instagram.</t>
        </is>
      </c>
      <c r="F21" s="45" t="n">
        <v>203</v>
      </c>
      <c r="G21" s="46" t="inlineStr">
        <is>
          <t>Prevention beats erasing. Ask the friend who never seems to age and started early.
A line has two stages. First it appears only when you move. Later it stays when your face is still, because the skin has been folded the same way for years and stopped springing back. Treating in the first stage takes less product, less often, and holds better.
By the second stage a neuromodulator still helps, but it is softening something already set rather than stopping it forming. That usually means pairing it with something else and a longer timeline.
This is not an argument for treating everyone early. It is an argument for looking at your own face honestly and knowing which stage you are in. More on preventative treatment in Oakville, on Instagram.</t>
        </is>
      </c>
      <c r="H21" s="45" t="n">
        <v>748</v>
      </c>
      <c r="I21" s="45" t="inlineStr">
        <is>
          <t>Learn more</t>
        </is>
      </c>
      <c r="J21" s="47" t="inlineStr">
        <is>
          <t>@luxury_beauty_aestheticz</t>
        </is>
      </c>
      <c r="K21" s="45" t="inlineStr">
        <is>
          <t>2026-09-05-prevention-beats-erasing.jpg</t>
        </is>
      </c>
      <c r="L21" s="47" t="inlineStr">
        <is>
          <t>Open folder</t>
        </is>
      </c>
      <c r="M21" s="47" t="inlineStr">
        <is>
          <t>Open image</t>
        </is>
      </c>
      <c r="N21" s="45">
        <f>IMAGE("https://raw.githubusercontent.com/RepoKing23/InstagramCarousel/claude/serene-curie-xunco2/content/gbp/2026-09-05-prevention-beats-erasing.jpg")</f>
        <v/>
      </c>
      <c r="O21" s="47" t="inlineStr">
        <is>
          <t>Elist Nguyen / Unsplash</t>
        </is>
      </c>
      <c r="P21" s="45" t="inlineStr">
        <is>
          <t>Ready</t>
        </is>
      </c>
      <c r="Q21" s="59" t="inlineStr"/>
    </row>
    <row r="22" ht="132" customHeight="1" s="42">
      <c r="A22" s="48" t="n">
        <v>46271</v>
      </c>
      <c r="B22" s="49" t="inlineStr">
        <is>
          <t>Sun</t>
        </is>
      </c>
      <c r="C22" s="49" t="inlineStr">
        <is>
          <t>GBP only</t>
        </is>
      </c>
      <c r="D22" s="49" t="inlineStr">
        <is>
          <t>Trust &amp; Proof</t>
        </is>
      </c>
      <c r="E22" s="50" t="inlineStr">
        <is>
          <t>Never had injectables before? Most first appointments start with a question the person thinks sounds silly. Bring all of them. You can book a consultation, ask everything, and leave without treatment. No pressure, ever. DM on Instagram.</t>
        </is>
      </c>
      <c r="F22" s="49" t="n">
        <v>236</v>
      </c>
      <c r="G22" s="50" t="inlineStr">
        <is>
          <t>Never had injectables before? Most first appointments open with a question the person thinks sounds silly.
They are not. The ones I hear most: will I look done, will people notice, what happens if I hate it, and can I still raise my eyebrows at my kids. All reasonable, all worth asking before anything is opened.
You can book a consultation, ask every one of them, and leave with treatment nothing more than an option. No deposit to have the conversation. No follow up chasing you afterwards.
If booking a room still feels like too much, message first. I answer my own DMs on Instagram and you will get a straight answer rather than a booking link. First timers welcome, in Oakville and from Burlington, Milton and Mississauga.</t>
        </is>
      </c>
      <c r="H22" s="49" t="n">
        <v>731</v>
      </c>
      <c r="I22" s="49" t="inlineStr">
        <is>
          <t>Learn more</t>
        </is>
      </c>
      <c r="J22" s="51" t="inlineStr">
        <is>
          <t>@luxury_beauty_aestheticz</t>
        </is>
      </c>
      <c r="K22" s="49" t="inlineStr">
        <is>
          <t>2026-09-06-first-timer.jpg</t>
        </is>
      </c>
      <c r="L22" s="51" t="inlineStr">
        <is>
          <t>Open folder</t>
        </is>
      </c>
      <c r="M22" s="51" t="inlineStr">
        <is>
          <t>Open image</t>
        </is>
      </c>
      <c r="N22" s="49">
        <f>IMAGE("https://raw.githubusercontent.com/RepoKing23/InstagramCarousel/claude/serene-curie-xunco2/content/gbp/2026-09-06-first-timer.jpg")</f>
        <v/>
      </c>
      <c r="O22" s="51" t="inlineStr">
        <is>
          <t>Ionela Mat / Unsplash</t>
        </is>
      </c>
      <c r="P22" s="49" t="inlineStr">
        <is>
          <t>Ready</t>
        </is>
      </c>
      <c r="Q22" s="59" t="inlineStr"/>
    </row>
    <row r="23" ht="132" customHeight="1" s="42">
      <c r="A23" s="44" t="n">
        <v>46272</v>
      </c>
      <c r="B23" s="45" t="inlineStr">
        <is>
          <t>Mon</t>
        </is>
      </c>
      <c r="C23" s="45" t="inlineStr">
        <is>
          <t>IG: Botox vs Dysport</t>
        </is>
      </c>
      <c r="D23" s="45" t="inlineStr">
        <is>
          <t>Education</t>
        </is>
      </c>
      <c r="E23" s="46" t="inlineStr">
        <is>
          <t>Botox or Dysport? Same family, different personalities. One spreads slightly more, one tends to kick in faster. Which suits you depends on the area and your muscle, not on which name you have heard of. Full comparison on Instagram.</t>
        </is>
      </c>
      <c r="F23" s="45" t="n">
        <v>231</v>
      </c>
      <c r="G23" s="46" t="inlineStr">
        <is>
          <t>Botox or Dysport? Same family, different personalities, and the choice matters less than most comparison articles suggest.
Dysport tends to spread a little more from the injection point and often kicks in a day or two sooner. Botox tends to stay put more precisely, which is useful in small areas where you want a tight boundary. Both relax the muscle the same way.
Which suits you depends on the area being treated and how your muscle behaves, not on which name you recognise. A broad forehead and a small crow's foot are not the same problem.
If you have had one and it wore off faster than expected, mention it at your consultation. Sometimes the answer is the other product, more often it is the dose. Full comparison, from an Oakville injector, on Instagram.</t>
        </is>
      </c>
      <c r="H23" s="45" t="n">
        <v>766</v>
      </c>
      <c r="I23" s="45" t="inlineStr">
        <is>
          <t>Learn more</t>
        </is>
      </c>
      <c r="J23" s="47" t="inlineStr">
        <is>
          <t>@luxury_beauty_aestheticz</t>
        </is>
      </c>
      <c r="K23" s="45" t="inlineStr">
        <is>
          <t>2026-09-07-botox-vs-dysport.jpg</t>
        </is>
      </c>
      <c r="L23" s="47" t="inlineStr">
        <is>
          <t>Open folder</t>
        </is>
      </c>
      <c r="M23" s="47" t="inlineStr">
        <is>
          <t>Open image</t>
        </is>
      </c>
      <c r="N23" s="45">
        <f>IMAGE("https://raw.githubusercontent.com/RepoKing23/InstagramCarousel/claude/serene-curie-xunco2/content/gbp/2026-09-07-botox-vs-dysport.jpg")</f>
        <v/>
      </c>
      <c r="O23" s="47" t="inlineStr">
        <is>
          <t>Neda Vidakovic / Unsplash</t>
        </is>
      </c>
      <c r="P23" s="45" t="inlineStr">
        <is>
          <t>Published</t>
        </is>
      </c>
      <c r="Q23" s="59" t="inlineStr"/>
    </row>
    <row r="24" ht="132" customHeight="1" s="42">
      <c r="A24" s="44" t="n">
        <v>46273</v>
      </c>
      <c r="B24" s="45" t="inlineStr">
        <is>
          <t>Tue</t>
        </is>
      </c>
      <c r="C24" s="45" t="inlineStr">
        <is>
          <t>IG: Botox vs Dysport at a Glance</t>
        </is>
      </c>
      <c r="D24" s="45" t="inlineStr">
        <is>
          <t>Education</t>
        </is>
      </c>
      <c r="E24" s="46" t="inlineStr">
        <is>
          <t>Onset, spread and how long each one lasts, side by side. Not so you can pick for yourself, but so you can ask a sharper question at your consultation. The comparison card is on Instagram.</t>
        </is>
      </c>
      <c r="F24" s="45" t="n">
        <v>187</v>
      </c>
      <c r="G24" s="46" t="inlineStr">
        <is>
          <t>Onset, spread and duration side by side, so you can ask a sharper question at your consultation.
Onset: Dysport often shows in two to three days, Botox around three to five. Both fully settle at two weeks, which is when we judge the result, not before. Spread: Dysport diffuses a little wider from each point, Botox stays tighter. Duration: three to four months for most people with either one.
That is the honest extent of the difference. Anyone telling you one is dramatically better than the other is selling something.
The more useful conversation is about your muscle, your area and your dose. Bring the comparison to a consultation in Oakville and we will work from there. The card is on Instagram.</t>
        </is>
      </c>
      <c r="H24" s="45" t="n">
        <v>707</v>
      </c>
      <c r="I24" s="45" t="inlineStr">
        <is>
          <t>Learn more</t>
        </is>
      </c>
      <c r="J24" s="47" t="inlineStr">
        <is>
          <t>@luxury_beauty_aestheticz</t>
        </is>
      </c>
      <c r="K24" s="45" t="inlineStr">
        <is>
          <t>2026-09-08-at-a-glance.jpg</t>
        </is>
      </c>
      <c r="L24" s="47" t="inlineStr">
        <is>
          <t>Open folder</t>
        </is>
      </c>
      <c r="M24" s="47" t="inlineStr">
        <is>
          <t>Open image</t>
        </is>
      </c>
      <c r="N24" s="45">
        <f>IMAGE("https://raw.githubusercontent.com/RepoKing23/InstagramCarousel/claude/serene-curie-xunco2/content/gbp/2026-09-08-at-a-glance.jpg")</f>
        <v/>
      </c>
      <c r="O24" s="47" t="inlineStr">
        <is>
          <t>Vitaliy Shevchenko / Unsplash</t>
        </is>
      </c>
      <c r="P24" s="45" t="inlineStr">
        <is>
          <t>Ready</t>
        </is>
      </c>
      <c r="Q24" s="59" t="inlineStr"/>
    </row>
    <row r="25" ht="132" customHeight="1" s="42">
      <c r="A25" s="48" t="n">
        <v>46274</v>
      </c>
      <c r="B25" s="49" t="inlineStr">
        <is>
          <t>Wed</t>
        </is>
      </c>
      <c r="C25" s="49" t="inlineStr">
        <is>
          <t>GBP only</t>
        </is>
      </c>
      <c r="D25" s="49" t="inlineStr">
        <is>
          <t>Education</t>
        </is>
      </c>
      <c r="E25" s="50" t="inlineStr">
        <is>
          <t>Aftercare, the short version. Stay upright for four hours, skip the gym for the rest of the day, and leave the treated area alone. Three rules that matter more than everything else you will read online. Full guide on Instagram.</t>
        </is>
      </c>
      <c r="F25" s="49" t="n">
        <v>227</v>
      </c>
      <c r="G25" s="50" t="inlineStr">
        <is>
          <t>Aftercare, the short version. Stay upright for four hours, skip the gym for the rest of the day, and leave the treated area alone.
The reasoning is the same for all three. Product needs to stay where it was placed while it binds. Lying flat, raising your heart rate hard, or rubbing the area can move it a few millimetres, and a few millimetres is the difference between a good result and a heavy brow.
Things that are fine: normal walking, work, makeup after a few hours, a glass of wine. Things worth avoiding for 24 hours: hot yoga, saunas, facials and face down massage.
A small raised bump at each point is normal and settles within an hour. The full Botox aftercare guide is on Instagram, worth saving before your appointment rather than after.</t>
        </is>
      </c>
      <c r="H25" s="49" t="n">
        <v>753</v>
      </c>
      <c r="I25" s="49" t="inlineStr">
        <is>
          <t>Learn more</t>
        </is>
      </c>
      <c r="J25" s="51" t="inlineStr">
        <is>
          <t>@luxury_beauty_aestheticz</t>
        </is>
      </c>
      <c r="K25" s="49" t="inlineStr">
        <is>
          <t>2026-09-09-aftercare-rules.jpg</t>
        </is>
      </c>
      <c r="L25" s="51" t="inlineStr">
        <is>
          <t>Open folder</t>
        </is>
      </c>
      <c r="M25" s="51" t="inlineStr">
        <is>
          <t>Open image</t>
        </is>
      </c>
      <c r="N25" s="49">
        <f>IMAGE("https://raw.githubusercontent.com/RepoKing23/InstagramCarousel/claude/serene-curie-xunco2/content/gbp/2026-09-09-aftercare-rules.jpg")</f>
        <v/>
      </c>
      <c r="O25" s="51" t="inlineStr">
        <is>
          <t>Soheil Kmp / Unsplash</t>
        </is>
      </c>
      <c r="P25" s="49" t="inlineStr">
        <is>
          <t>Published</t>
        </is>
      </c>
      <c r="Q25" s="59" t="inlineStr"/>
    </row>
    <row r="26" ht="132" customHeight="1" s="42">
      <c r="A26" s="44" t="n">
        <v>46275</v>
      </c>
      <c r="B26" s="45" t="inlineStr">
        <is>
          <t>Thu</t>
        </is>
      </c>
      <c r="C26" s="45" t="inlineStr">
        <is>
          <t>IG: Botox Aftercare, The First 48 Hours</t>
        </is>
      </c>
      <c r="D26" s="45" t="inlineStr">
        <is>
          <t>Education</t>
        </is>
      </c>
      <c r="E26" s="46" t="inlineStr">
        <is>
          <t>You got Botox. Now what? What to do, what to skip, and which small things are completely normal in the first 48 hours. Save it before your appointment, not after. The full guide is on Instagram.</t>
        </is>
      </c>
      <c r="F26" s="45" t="n">
        <v>194</v>
      </c>
      <c r="G26" s="46" t="inlineStr">
        <is>
          <t>You got Botox. Now what? Here is what the first 48 hours actually look like.
First four hours: stay upright and leave the area alone. First day: no gym, no sauna, no face down massage. Small raised bumps at each injection point settle within the hour, and a pinprick mark or light bruise is common and covers with makeup after a few hours.
Day two to three is when most people notice movement starting to ease. It is gradual, and it is uneven at first, which is normal and not a sign something went wrong.
Do not judge anything until two weeks. That is when Botox has fully settled and when we look properly at your follow up, included with every appointment in Oakville. Save the full guide from Instagram.</t>
        </is>
      </c>
      <c r="H26" s="45" t="n">
        <v>710</v>
      </c>
      <c r="I26" s="45" t="inlineStr">
        <is>
          <t>Learn more</t>
        </is>
      </c>
      <c r="J26" s="47" t="inlineStr">
        <is>
          <t>@luxury_beauty_aestheticz</t>
        </is>
      </c>
      <c r="K26" s="45" t="inlineStr">
        <is>
          <t>2026-09-10-first-48-hours.jpg</t>
        </is>
      </c>
      <c r="L26" s="47" t="inlineStr">
        <is>
          <t>Open folder</t>
        </is>
      </c>
      <c r="M26" s="47" t="inlineStr">
        <is>
          <t>Open image</t>
        </is>
      </c>
      <c r="N26" s="45">
        <f>IMAGE("https://raw.githubusercontent.com/RepoKing23/InstagramCarousel/claude/serene-curie-xunco2/content/gbp/2026-09-10-first-48-hours.jpg")</f>
        <v/>
      </c>
      <c r="O26" s="47" t="inlineStr">
        <is>
          <t>Masum Rahimi / Unsplash</t>
        </is>
      </c>
      <c r="P26" s="45" t="inlineStr">
        <is>
          <t>Published</t>
        </is>
      </c>
      <c r="Q26" s="59" t="inlineStr"/>
    </row>
    <row r="27" ht="132" customHeight="1" s="42">
      <c r="A27" s="44" t="n">
        <v>46276</v>
      </c>
      <c r="B27" s="45" t="inlineStr">
        <is>
          <t>Fri</t>
        </is>
      </c>
      <c r="C27" s="45" t="inlineStr">
        <is>
          <t>IG: The Face Map</t>
        </is>
      </c>
      <c r="D27" s="45" t="inlineStr">
        <is>
          <t>Trust &amp; Proof</t>
        </is>
      </c>
      <c r="E27" s="46" t="inlineStr">
        <is>
          <t>Every face gets its own map. Yours is drawn while it moves, because a muscle sitting still tells you almost nothing about where the product should go. That map is why two people never get the same dose. On Instagram.</t>
        </is>
      </c>
      <c r="F27" s="45" t="n">
        <v>216</v>
      </c>
      <c r="G27" s="46" t="inlineStr">
        <is>
          <t>Every face gets its own map, and yours is drawn while it moves.
A muscle sitting still tells you almost nothing. I need to see the frown, the lift, the squint and the smile, because that is where the pull actually is. People are rarely symmetrical. One brow usually works harder, and treating both sides identically is how you end up with a lift on one side and not the other.
The map is why two people with the same concern get different unit counts and different placements. It is also why I keep yours between visits. The second appointment starts from what your face did with the first one, rather than from scratch.
That is the difference between a plan and a menu, and it is why no two Botox appointments here use the same numbers. See how the mapping works on Instagram.</t>
        </is>
      </c>
      <c r="H27" s="45" t="n">
        <v>780</v>
      </c>
      <c r="I27" s="45" t="inlineStr">
        <is>
          <t>Learn more</t>
        </is>
      </c>
      <c r="J27" s="47" t="inlineStr">
        <is>
          <t>@luxury_beauty_aestheticz</t>
        </is>
      </c>
      <c r="K27" s="45" t="inlineStr">
        <is>
          <t>2026-09-11-the-face-map.jpg</t>
        </is>
      </c>
      <c r="L27" s="47" t="inlineStr">
        <is>
          <t>Open folder</t>
        </is>
      </c>
      <c r="M27" s="47" t="inlineStr">
        <is>
          <t>Open image</t>
        </is>
      </c>
      <c r="N27" s="45">
        <f>IMAGE("https://raw.githubusercontent.com/RepoKing23/InstagramCarousel/claude/serene-curie-xunco2/content/gbp/2026-09-11-the-face-map.jpg")</f>
        <v/>
      </c>
      <c r="O27" s="47" t="inlineStr">
        <is>
          <t>JEaLiFe Pictures / Unsplash</t>
        </is>
      </c>
      <c r="P27" s="45" t="inlineStr">
        <is>
          <t>Ready</t>
        </is>
      </c>
      <c r="Q27" s="59" t="inlineStr"/>
    </row>
    <row r="28" ht="132" customHeight="1" s="42">
      <c r="A28" s="44" t="n">
        <v>46277</v>
      </c>
      <c r="B28" s="45" t="inlineStr">
        <is>
          <t>Sat</t>
        </is>
      </c>
      <c r="C28" s="45" t="inlineStr">
        <is>
          <t>IG: FAQ, Does Botox Hurt?</t>
        </is>
      </c>
      <c r="D28" s="45" t="inlineStr">
        <is>
          <t>Education</t>
        </is>
      </c>
      <c r="E28" s="46" t="inlineStr">
        <is>
          <t>Does it hurt? Honest answer, a quick pinch and a few seconds per area. The needle is very fine and most people say it was easier than the version they had built up in their head. No fluff, on Instagram.</t>
        </is>
      </c>
      <c r="F28" s="45" t="n">
        <v>202</v>
      </c>
      <c r="G28" s="46" t="inlineStr">
        <is>
          <t>Does it hurt? Honest answer: a quick pinch, a few seconds per area.
The needle is very fine, finer than the one used for bloodwork, and each injection point takes about a second. A forehead is usually four to six points. Most people describe it as a sharp scratch that is over before they have finished bracing for it.
Some spots are more sensitive than others. Between the brows is the one people feel most. The area around the eyes is usually the easiest. No numbing cream is needed for a neuromodulator, though it is an option for filler.
Most people say it was easier than the version they had built up in their head, and the second appointment is always easier than the first. Ask me anything about Botox in Oakville on Instagram.</t>
        </is>
      </c>
      <c r="H28" s="45" t="n">
        <v>738</v>
      </c>
      <c r="I28" s="45" t="inlineStr">
        <is>
          <t>Learn more</t>
        </is>
      </c>
      <c r="J28" s="47" t="inlineStr">
        <is>
          <t>@luxury_beauty_aestheticz</t>
        </is>
      </c>
      <c r="K28" s="45" t="inlineStr">
        <is>
          <t>2026-09-12-does-it-hurt.jpg</t>
        </is>
      </c>
      <c r="L28" s="47" t="inlineStr">
        <is>
          <t>Open folder</t>
        </is>
      </c>
      <c r="M28" s="47" t="inlineStr">
        <is>
          <t>Open image</t>
        </is>
      </c>
      <c r="N28" s="45">
        <f>IMAGE("https://raw.githubusercontent.com/RepoKing23/InstagramCarousel/claude/serene-curie-xunco2/content/gbp/2026-09-12-does-it-hurt.jpg")</f>
        <v/>
      </c>
      <c r="O28" s="47" t="inlineStr">
        <is>
          <t>Victor Meza / Unsplash</t>
        </is>
      </c>
      <c r="P28" s="45" t="inlineStr">
        <is>
          <t>Ready</t>
        </is>
      </c>
      <c r="Q28" s="59" t="inlineStr"/>
    </row>
    <row r="29" ht="132" customHeight="1" s="42">
      <c r="A29" s="48" t="n">
        <v>46278</v>
      </c>
      <c r="B29" s="49" t="inlineStr">
        <is>
          <t>Sun</t>
        </is>
      </c>
      <c r="C29" s="49" t="inlineStr">
        <is>
          <t>GBP only</t>
        </is>
      </c>
      <c r="D29" s="49" t="inlineStr">
        <is>
          <t>Trust &amp; Proof</t>
        </is>
      </c>
      <c r="E29" s="50" t="inlineStr">
        <is>
          <t>The goal is never a new face. It is your face on a better week, with nobody able to say quite why. If the result announces itself, something went wrong. See what that looks like on Instagram.</t>
        </is>
      </c>
      <c r="F29" s="49" t="n">
        <v>191</v>
      </c>
      <c r="G29" s="50" t="inlineStr">
        <is>
          <t>The goal is never a new face. It is your face on a better week, with nobody able to say quite why.
That sounds modest until you see the alternative. Overdone work announces itself: a forehead that will not move, brows sitting in a place they have never sat, lips that arrive in a room first. Once a face crosses that line, everyone reads it as work, including people who cannot name what changed.
Staying on the right side of it is mostly about restraint. Fewer units than the maximum. Stopping while it still looks understated. Being willing to leave asymmetry that is actually just your face.
If a result announces itself, something went wrong. That standard is why people drive to this Oakville studio from Burlington and Milton for Botox. See the alternative on Instagram.</t>
        </is>
      </c>
      <c r="H29" s="49" t="n">
        <v>779</v>
      </c>
      <c r="I29" s="49" t="inlineStr">
        <is>
          <t>Learn more</t>
        </is>
      </c>
      <c r="J29" s="51" t="inlineStr">
        <is>
          <t>@luxury_beauty_aestheticz</t>
        </is>
      </c>
      <c r="K29" s="49" t="inlineStr">
        <is>
          <t>2026-09-13-still-look-like-you.jpg</t>
        </is>
      </c>
      <c r="L29" s="51" t="inlineStr">
        <is>
          <t>Open folder</t>
        </is>
      </c>
      <c r="M29" s="51" t="inlineStr">
        <is>
          <t>Open image</t>
        </is>
      </c>
      <c r="N29" s="49">
        <f>IMAGE("https://raw.githubusercontent.com/RepoKing23/InstagramCarousel/claude/serene-curie-xunco2/content/gbp/2026-09-13-still-look-like-you.jpg")</f>
        <v/>
      </c>
      <c r="O29" s="51" t="inlineStr">
        <is>
          <t>Zac Taheriyan / Unsplash</t>
        </is>
      </c>
      <c r="P29" s="49" t="inlineStr">
        <is>
          <t>Ready</t>
        </is>
      </c>
      <c r="Q29" s="59" t="inlineStr"/>
    </row>
    <row r="30" ht="132" customHeight="1" s="42">
      <c r="A30" s="44" t="n">
        <v>46279</v>
      </c>
      <c r="B30" s="45" t="inlineStr">
        <is>
          <t>Mon</t>
        </is>
      </c>
      <c r="C30" s="45" t="inlineStr">
        <is>
          <t>IG: 5 Things Botox Can't Do</t>
        </is>
      </c>
      <c r="D30" s="45" t="inlineStr">
        <is>
          <t>Trust &amp; Proof</t>
        </is>
      </c>
      <c r="E30" s="46" t="inlineStr">
        <is>
          <t>Five things Botox cannot do. It softens lines made by movement. It will not lift heavy skin, replace lost volume, or undo sun damage. Knowing the limits is how you avoid paying for the wrong treatment. Full list on Instagram.</t>
        </is>
      </c>
      <c r="F30" s="45" t="n">
        <v>225</v>
      </c>
      <c r="G30" s="46" t="inlineStr">
        <is>
          <t>Five things Botox cannot do, so you do not pay for the wrong treatment.
It will not lift heavy skin. That is a laxity issue and needs energy based treatment or surgery. It will not replace lost volume, which is what filler is for. It will not undo sun damage or fix pigment and texture, which is a skin health question. It will not shrink pores. And it will not remove a line that is fully etched at rest, though it will soften it and stop it deepening.
What it does do, well, is relax the muscle making a movement line so the skin above it stops folding.
If your concern is on this list, say so at your consultation and we will talk about what actually addresses it, whether that is filler, a skin plan, or nothing at all. Full list on Instagram.</t>
        </is>
      </c>
      <c r="H30" s="45" t="n">
        <v>750</v>
      </c>
      <c r="I30" s="45" t="inlineStr">
        <is>
          <t>Learn more</t>
        </is>
      </c>
      <c r="J30" s="47" t="inlineStr">
        <is>
          <t>@luxury_beauty_aestheticz</t>
        </is>
      </c>
      <c r="K30" s="45" t="inlineStr">
        <is>
          <t>2026-09-14-5-things-botox-cannot-do.jpg</t>
        </is>
      </c>
      <c r="L30" s="47" t="inlineStr">
        <is>
          <t>Open folder</t>
        </is>
      </c>
      <c r="M30" s="47" t="inlineStr">
        <is>
          <t>Open image</t>
        </is>
      </c>
      <c r="N30" s="45">
        <f>IMAGE("https://raw.githubusercontent.com/RepoKing23/InstagramCarousel/claude/serene-curie-xunco2/content/gbp/2026-09-14-5-things-botox-cannot-do.jpg")</f>
        <v/>
      </c>
      <c r="O30" s="47" t="inlineStr">
        <is>
          <t>Fleur Kaan / Unsplash</t>
        </is>
      </c>
      <c r="P30" s="45" t="inlineStr">
        <is>
          <t>Published</t>
        </is>
      </c>
      <c r="Q30" s="59" t="inlineStr"/>
    </row>
    <row r="31" ht="132" customHeight="1" s="42">
      <c r="A31" s="44" t="n">
        <v>46280</v>
      </c>
      <c r="B31" s="45" t="inlineStr">
        <is>
          <t>Tue</t>
        </is>
      </c>
      <c r="C31" s="45" t="inlineStr">
        <is>
          <t>IG: What Botox Can't Fix</t>
        </is>
      </c>
      <c r="D31" s="45" t="inlineStr">
        <is>
          <t>Education</t>
        </is>
      </c>
      <c r="E31" s="46" t="inlineStr">
        <is>
          <t>If a line is still there when your face is completely still, Botox is not the answer for it. That is a volume or a skin quality question, and it needs a different plan. Honest expectations, always. More on Instagram.</t>
        </is>
      </c>
      <c r="F31" s="45" t="n">
        <v>216</v>
      </c>
      <c r="G31" s="46" t="inlineStr">
        <is>
          <t>If a line is still there when your face is completely still, a neuromodulator is not the answer for it.
That is the simplest test I can give you. Relax everything, look straight ahead, and see what remains. A line that only shows when you move is a muscle problem, which is what Botox treats. A line sitting there at rest is either volume loss or skin quality, and both need a different plan.
Plenty of faces have both at once. The nasolabial folds are the usual example, where people book a neuromodulator and are disappointed because the fold was never about movement.
Honest expectations save money, and they are the reason people keep coming back to this Oakville studio. Send a relaxed photo and a moving one if you want a straight answer before booking. More on Instagram.</t>
        </is>
      </c>
      <c r="H31" s="45" t="n">
        <v>781</v>
      </c>
      <c r="I31" s="45" t="inlineStr">
        <is>
          <t>Learn more</t>
        </is>
      </c>
      <c r="J31" s="47" t="inlineStr">
        <is>
          <t>@luxury_beauty_aestheticz</t>
        </is>
      </c>
      <c r="K31" s="45" t="inlineStr">
        <is>
          <t>2026-09-15-what-it-cannot-fix.jpg</t>
        </is>
      </c>
      <c r="L31" s="47" t="inlineStr">
        <is>
          <t>Open folder</t>
        </is>
      </c>
      <c r="M31" s="47" t="inlineStr">
        <is>
          <t>Open image</t>
        </is>
      </c>
      <c r="N31" s="45">
        <f>IMAGE("https://raw.githubusercontent.com/RepoKing23/InstagramCarousel/claude/serene-curie-xunco2/content/gbp/2026-09-15-what-it-cannot-fix.jpg")</f>
        <v/>
      </c>
      <c r="O31" s="47" t="inlineStr">
        <is>
          <t>Fleur Kaan / Unsplash</t>
        </is>
      </c>
      <c r="P31" s="45" t="inlineStr">
        <is>
          <t>Published</t>
        </is>
      </c>
      <c r="Q31" s="59" t="inlineStr"/>
    </row>
    <row r="32" ht="132" customHeight="1" s="42">
      <c r="A32" s="48" t="n">
        <v>46281</v>
      </c>
      <c r="B32" s="49" t="inlineStr">
        <is>
          <t>Wed</t>
        </is>
      </c>
      <c r="C32" s="49" t="inlineStr">
        <is>
          <t>GBP only</t>
        </is>
      </c>
      <c r="D32" s="49" t="inlineStr">
        <is>
          <t>Trust &amp; Proof</t>
        </is>
      </c>
      <c r="E32" s="50" t="inlineStr">
        <is>
          <t>Booking is a message, not a phone tree. Send a DM on Instagram and it is answered by Cleo herself, usually the same day. Tell me what is bothering you and I will tell you honestly whether I can help. We are at 3060 Preserve Dr, Oakville.</t>
        </is>
      </c>
      <c r="F32" s="49" t="n">
        <v>237</v>
      </c>
      <c r="G32" s="50" t="inlineStr">
        <is>
          <t>Booking is a message, not a phone tree. Send a DM on Instagram and it is answered by Cleo, usually the same day.
Tell me what is bothering you, in whatever words you have. You do not need to know the treatment name or the area. Plenty of people open with a photo and a sentence about hating one particular line, and that is enough to start.
I will tell you honestly whether I can help, roughly what it would take, and what it costs. If the answer is that you do not need anything yet, you will get that too.
We are at 3060 Preserve Dr in Oakville, with free parking at the door, seeing Botox and filler clients from Burlington, Milton and Mississauga. One appointment in the room at a time.</t>
        </is>
      </c>
      <c r="H32" s="49" t="n">
        <v>693</v>
      </c>
      <c r="I32" s="49" t="inlineStr">
        <is>
          <t>Learn more</t>
        </is>
      </c>
      <c r="J32" s="51" t="inlineStr">
        <is>
          <t>@luxury_beauty_aestheticz</t>
        </is>
      </c>
      <c r="K32" s="49" t="inlineStr">
        <is>
          <t>2026-09-16-how-to-book.jpg</t>
        </is>
      </c>
      <c r="L32" s="51" t="inlineStr">
        <is>
          <t>Open folder</t>
        </is>
      </c>
      <c r="M32" s="51" t="inlineStr">
        <is>
          <t>Open image</t>
        </is>
      </c>
      <c r="N32" s="49">
        <f>IMAGE("https://raw.githubusercontent.com/RepoKing23/InstagramCarousel/claude/serene-curie-xunco2/content/gbp/2026-09-16-how-to-book.jpg")</f>
        <v/>
      </c>
      <c r="O32" s="51" t="inlineStr">
        <is>
          <t>Wco Global / Unsplash</t>
        </is>
      </c>
      <c r="P32" s="49" t="inlineStr">
        <is>
          <t>Ready</t>
        </is>
      </c>
      <c r="Q32" s="59" t="inlineStr"/>
    </row>
    <row r="33" ht="132" customHeight="1" s="42">
      <c r="A33" s="44" t="n">
        <v>46282</v>
      </c>
      <c r="B33" s="45" t="inlineStr">
        <is>
          <t>Thu</t>
        </is>
      </c>
      <c r="C33" s="45" t="inlineStr">
        <is>
          <t>IG: Still You, Just Refreshed</t>
        </is>
      </c>
      <c r="D33" s="45" t="inlineStr">
        <is>
          <t>Trust &amp; Proof</t>
        </is>
      </c>
      <c r="E33" s="46" t="inlineStr">
        <is>
          <t>You will not look done. You will look like you slept properly for a week. That is the whole standard here, and it is why the dose is built around your face instead of a template. See it on Instagram.</t>
        </is>
      </c>
      <c r="F33" s="45" t="n">
        <v>199</v>
      </c>
      <c r="G33" s="46" t="inlineStr">
        <is>
          <t>You will not look done. You will look like you slept properly for a week.
That is the whole standard, and it drives every dosing decision here. The dose is built around your face rather than a template, which usually means fewer units than a chart would suggest and a follow up at two weeks to fine tune rather than one heavy session.
It also means leaving movement alone where movement is doing useful work. A completely still forehead is easy to achieve and almost always reads as work. Softer lines with full expression takes more judgement and is what people actually want when they describe looking refreshed.
Still you, just less tired. That is what good Botox looks like in Oakville, and you can see it on Instagram.</t>
        </is>
      </c>
      <c r="H33" s="45" t="n">
        <v>726</v>
      </c>
      <c r="I33" s="45" t="inlineStr">
        <is>
          <t>Learn more</t>
        </is>
      </c>
      <c r="J33" s="47" t="inlineStr">
        <is>
          <t>@luxury_beauty_aestheticz</t>
        </is>
      </c>
      <c r="K33" s="45" t="inlineStr">
        <is>
          <t>2026-09-17-still-you-just-refreshed.jpg</t>
        </is>
      </c>
      <c r="L33" s="47" t="inlineStr">
        <is>
          <t>Open folder</t>
        </is>
      </c>
      <c r="M33" s="47" t="inlineStr">
        <is>
          <t>Open image</t>
        </is>
      </c>
      <c r="N33" s="45">
        <f>IMAGE("https://raw.githubusercontent.com/RepoKing23/InstagramCarousel/claude/serene-curie-xunco2/content/gbp/2026-09-17-still-you-just-refreshed.jpg")</f>
        <v/>
      </c>
      <c r="O33" s="47" t="inlineStr">
        <is>
          <t>Zulfugar Karimov / Unsplash</t>
        </is>
      </c>
      <c r="P33" s="45" t="inlineStr">
        <is>
          <t>Ready</t>
        </is>
      </c>
      <c r="Q33" s="59" t="inlineStr"/>
    </row>
    <row r="34" ht="132" customHeight="1" s="42">
      <c r="A34" s="44" t="n">
        <v>46283</v>
      </c>
      <c r="B34" s="45" t="inlineStr">
        <is>
          <t>Fri</t>
        </is>
      </c>
      <c r="C34" s="45" t="inlineStr">
        <is>
          <t>IG: Myth vs Truth, The Frozen Face</t>
        </is>
      </c>
      <c r="D34" s="45" t="inlineStr">
        <is>
          <t>Education</t>
        </is>
      </c>
      <c r="E34" s="46" t="inlineStr">
        <is>
          <t>The frozen face is a dosing mistake, not what the treatment does. Done properly you keep your expressions and lose the deep etched lines. The classic fear, debunked on Instagram.</t>
        </is>
      </c>
      <c r="F34" s="45" t="n">
        <v>178</v>
      </c>
      <c r="G34" s="46" t="inlineStr">
        <is>
          <t>The frozen face is a dosing mistake, not what the treatment does.
It happens when too much product goes into too many muscles at once, usually because someone treated a whole area by default rather than the specific muscle that was pulling. The result is a face that cannot express, which is the outcome everyone is afraid of and the reason plenty of people never book.
Done properly you keep your expressions and lose the deep etched lines. You should still be able to frown, lift your brows and squint. The difference shows in photos, where you look like yourself rather than smoothed over.
If frozen is what has put you off Botox, say that at your consultation. It changes how I dose. The classic fear, debunked on Instagram.</t>
        </is>
      </c>
      <c r="H34" s="45" t="n">
        <v>731</v>
      </c>
      <c r="I34" s="45" t="inlineStr">
        <is>
          <t>Learn more</t>
        </is>
      </c>
      <c r="J34" s="47" t="inlineStr">
        <is>
          <t>@luxury_beauty_aestheticz</t>
        </is>
      </c>
      <c r="K34" s="45" t="inlineStr">
        <is>
          <t>2026-09-18-frozen-face-myth.jpg</t>
        </is>
      </c>
      <c r="L34" s="47" t="inlineStr">
        <is>
          <t>Open folder</t>
        </is>
      </c>
      <c r="M34" s="47" t="inlineStr">
        <is>
          <t>Open image</t>
        </is>
      </c>
      <c r="N34" s="45">
        <f>IMAGE("https://raw.githubusercontent.com/RepoKing23/InstagramCarousel/claude/serene-curie-xunco2/content/gbp/2026-09-18-frozen-face-myth.jpg")</f>
        <v/>
      </c>
      <c r="O34" s="47" t="inlineStr">
        <is>
          <t>Neda Vidakovic / Unsplash</t>
        </is>
      </c>
      <c r="P34" s="45" t="inlineStr">
        <is>
          <t>Ready</t>
        </is>
      </c>
      <c r="Q34" s="59" t="inlineStr"/>
    </row>
    <row r="35" ht="132" customHeight="1" s="42">
      <c r="A35" s="44" t="n">
        <v>46284</v>
      </c>
      <c r="B35" s="45" t="inlineStr">
        <is>
          <t>Sat</t>
        </is>
      </c>
      <c r="C35" s="45" t="inlineStr">
        <is>
          <t>IG: Client Words, Natural Results</t>
        </is>
      </c>
      <c r="D35" s="45" t="inlineStr">
        <is>
          <t>Trust &amp; Proof</t>
        </is>
      </c>
      <c r="E35" s="46" t="inlineStr">
        <is>
          <t>Nobody guessed. That was the point. The compliment we are aiming for is whether you changed your skincare or got back from holiday, never what you had done. Client words on Instagram.</t>
        </is>
      </c>
      <c r="F35" s="45" t="n">
        <v>183</v>
      </c>
      <c r="G35" s="46" t="inlineStr">
        <is>
          <t>Nobody guessed. That was the point.
The compliments worth aiming for are the vague ones. Did you change your skincare. Have you been away. You look well rested. Nobody in that list is identifying a treatment, which means the work sat inside the range where it reads as you on a good week.
Getting there is unglamorous. It is conservative dosing, a two week follow up rather than one heavy session, and being willing to leave a small asymmetry that is just how your face is built.
The clients who come to this Oakville studio from Burlington, Milton and Mississauga mostly arrive on referral from someone whose Botox nobody could place. That is the referral I want. Client words on Instagram.</t>
        </is>
      </c>
      <c r="H35" s="45" t="n">
        <v>694</v>
      </c>
      <c r="I35" s="45" t="inlineStr">
        <is>
          <t>Learn more</t>
        </is>
      </c>
      <c r="J35" s="47" t="inlineStr">
        <is>
          <t>@luxury_beauty_aestheticz</t>
        </is>
      </c>
      <c r="K35" s="45" t="inlineStr">
        <is>
          <t>2026-09-19-nobody-guessed.jpg</t>
        </is>
      </c>
      <c r="L35" s="47" t="inlineStr">
        <is>
          <t>Open folder</t>
        </is>
      </c>
      <c r="M35" s="47" t="inlineStr">
        <is>
          <t>Open image</t>
        </is>
      </c>
      <c r="N35" s="45">
        <f>IMAGE("https://raw.githubusercontent.com/RepoKing23/InstagramCarousel/claude/serene-curie-xunco2/content/gbp/2026-09-19-nobody-guessed.jpg")</f>
        <v/>
      </c>
      <c r="O35" s="47" t="inlineStr">
        <is>
          <t>Vitaliy Shevchenko / Unsplash</t>
        </is>
      </c>
      <c r="P35" s="45" t="inlineStr">
        <is>
          <t>Ready</t>
        </is>
      </c>
      <c r="Q35" s="59" t="inlineStr"/>
    </row>
    <row r="36" ht="132" customHeight="1" s="42">
      <c r="A36" s="48" t="n">
        <v>46285</v>
      </c>
      <c r="B36" s="49" t="inlineStr">
        <is>
          <t>Sun</t>
        </is>
      </c>
      <c r="C36" s="49" t="inlineStr">
        <is>
          <t>GBP only</t>
        </is>
      </c>
      <c r="D36" s="49" t="inlineStr">
        <is>
          <t>Trust &amp; Proof</t>
        </is>
      </c>
      <c r="E36" s="50" t="inlineStr">
        <is>
          <t>Based at 3060 Preserve Dr in Oakville, with clients coming from Burlington, Milton and Mississauga. Private studio, free parking at the door, one appointment in the room at a time. Say hello on Instagram.</t>
        </is>
      </c>
      <c r="F36" s="49" t="n">
        <v>204</v>
      </c>
      <c r="G36" s="50" t="inlineStr">
        <is>
          <t>Based at 3060 Preserve Dr in Oakville, seeing clients from Burlington, Milton and Mississauga.
It is a private studio rather than a clinic floor, with free parking at the door and one appointment in the room at a time. Most people are in and out inside an hour for a first visit, closer to twenty minutes once they are established.
People travel here for a specific reason and it is usually not location. It is that the same nurse practitioner injects every appointment, the dose is explained before anything is opened, and the answer is sometimes no.
If you are anywhere in Halton or west Mississauga and weighing up where to go for Botox or filler, message me on Instagram and ask whatever you need to before booking.</t>
        </is>
      </c>
      <c r="H36" s="49" t="n">
        <v>722</v>
      </c>
      <c r="I36" s="49" t="inlineStr">
        <is>
          <t>Learn more</t>
        </is>
      </c>
      <c r="J36" s="51" t="inlineStr">
        <is>
          <t>@luxury_beauty_aestheticz</t>
        </is>
      </c>
      <c r="K36" s="49" t="inlineStr">
        <is>
          <t>2026-09-20-service-area.jpg</t>
        </is>
      </c>
      <c r="L36" s="51" t="inlineStr">
        <is>
          <t>Open folder</t>
        </is>
      </c>
      <c r="M36" s="51" t="inlineStr">
        <is>
          <t>Open image</t>
        </is>
      </c>
      <c r="N36" s="49">
        <f>IMAGE("https://raw.githubusercontent.com/RepoKing23/InstagramCarousel/claude/serene-curie-xunco2/content/gbp/2026-09-20-service-area.jpg")</f>
        <v/>
      </c>
      <c r="O36" s="51" t="inlineStr">
        <is>
          <t>Elist Nguyen / Unsplash</t>
        </is>
      </c>
      <c r="P36" s="49" t="inlineStr">
        <is>
          <t>Published</t>
        </is>
      </c>
      <c r="Q36" s="59" t="inlineStr"/>
    </row>
    <row r="37" ht="132" customHeight="1" s="42">
      <c r="A37" s="44" t="n">
        <v>46286</v>
      </c>
      <c r="B37" s="45" t="inlineStr">
        <is>
          <t>Mon</t>
        </is>
      </c>
      <c r="C37" s="45" t="inlineStr">
        <is>
          <t>IG: Botox or Filler?</t>
        </is>
      </c>
      <c r="D37" s="45" t="inlineStr">
        <is>
          <t>Education</t>
        </is>
      </c>
      <c r="E37" s="46" t="inlineStr">
        <is>
          <t>Botox or filler? You might be asking for the wrong one. Lines made by movement need a neuromodulator. Hollowness and lost volume need filler. Booking the wrong one is the most common and most expensive mistake. Explained on Instagram.</t>
        </is>
      </c>
      <c r="F37" s="45" t="n">
        <v>234</v>
      </c>
      <c r="G37" s="46" t="inlineStr">
        <is>
          <t>Botox or filler? You might be asking for the wrong one, and it is the most expensive mistake in this business.
Lines made by movement need a neuromodulator, which relaxes the muscle doing the folding. Hollowness, flatness and lost volume need filler, which replaces structure that is no longer there. They solve different problems and neither substitutes for the other.
The confusion is understandable because the complaint sounds the same. Someone points at their lower face and says it looks tired. That can be volume, skin quality, movement, or all three at once.
This is exactly what a consultation is for. Bring the concern, not the treatment name, and we will work out whether it is Botox or filler you actually need. Explained on Instagram, or book in Oakville.</t>
        </is>
      </c>
      <c r="H37" s="45" t="n">
        <v>771</v>
      </c>
      <c r="I37" s="45" t="inlineStr">
        <is>
          <t>Learn more</t>
        </is>
      </c>
      <c r="J37" s="47" t="inlineStr">
        <is>
          <t>@luxury_beauty_aestheticz</t>
        </is>
      </c>
      <c r="K37" s="45" t="inlineStr">
        <is>
          <t>2026-09-21-botox-or-filler.jpg</t>
        </is>
      </c>
      <c r="L37" s="47" t="inlineStr">
        <is>
          <t>Open folder</t>
        </is>
      </c>
      <c r="M37" s="47" t="inlineStr">
        <is>
          <t>Open image</t>
        </is>
      </c>
      <c r="N37" s="45">
        <f>IMAGE("https://raw.githubusercontent.com/RepoKing23/InstagramCarousel/claude/serene-curie-xunco2/content/gbp/2026-09-21-botox-or-filler.jpg")</f>
        <v/>
      </c>
      <c r="O37" s="47" t="inlineStr">
        <is>
          <t>Alef Morais / Unsplash</t>
        </is>
      </c>
      <c r="P37" s="45" t="inlineStr">
        <is>
          <t>Published</t>
        </is>
      </c>
      <c r="Q37" s="59" t="inlineStr"/>
    </row>
    <row r="38" ht="132" customHeight="1" s="42">
      <c r="A38" s="44" t="n">
        <v>46287</v>
      </c>
      <c r="B38" s="45" t="inlineStr">
        <is>
          <t>Tue</t>
        </is>
      </c>
      <c r="C38" s="45" t="inlineStr">
        <is>
          <t>IG: Lines vs Volume</t>
        </is>
      </c>
      <c r="D38" s="45" t="inlineStr">
        <is>
          <t>Education</t>
        </is>
      </c>
      <c r="E38" s="46" t="inlineStr">
        <is>
          <t>Here is the test. Gently pull the skin taut. If the line disappears it is a movement line. If it stays put, it is a volume question. Which one is your actual concern? More on Instagram.</t>
        </is>
      </c>
      <c r="F38" s="45" t="n">
        <v>185</v>
      </c>
      <c r="G38" s="46" t="inlineStr">
        <is>
          <t>Here is the test you can do at home. Gently pull the skin taut beside the line.
If it disappears, it is a movement line and a neuromodulator is the right tool. If it stays put, you are looking at volume loss or skin quality, and filler or a skin plan is the conversation instead.
Do it in decent light with your face completely relaxed. The result surprises people fairly often, usually because the line they have been trying to treat for years was never a muscle problem.
This is not a substitute for an assessment, and plenty of faces show both at once. But it will get you asking a much better question when you book Botox or filler in Oakville. More on Instagram.</t>
        </is>
      </c>
      <c r="H38" s="45" t="n">
        <v>670</v>
      </c>
      <c r="I38" s="45" t="inlineStr">
        <is>
          <t>Learn more</t>
        </is>
      </c>
      <c r="J38" s="47" t="inlineStr">
        <is>
          <t>@luxury_beauty_aestheticz</t>
        </is>
      </c>
      <c r="K38" s="45" t="inlineStr">
        <is>
          <t>2026-09-22-lines-vs-volume.jpg</t>
        </is>
      </c>
      <c r="L38" s="47" t="inlineStr">
        <is>
          <t>Open folder</t>
        </is>
      </c>
      <c r="M38" s="47" t="inlineStr">
        <is>
          <t>Open image</t>
        </is>
      </c>
      <c r="N38" s="45">
        <f>IMAGE("https://raw.githubusercontent.com/RepoKing23/InstagramCarousel/claude/serene-curie-xunco2/content/gbp/2026-09-22-lines-vs-volume.jpg")</f>
        <v/>
      </c>
      <c r="O38" s="47" t="inlineStr">
        <is>
          <t>Rosa Rafael / Unsplash</t>
        </is>
      </c>
      <c r="P38" s="45" t="inlineStr">
        <is>
          <t>Ready</t>
        </is>
      </c>
      <c r="Q38" s="59" t="inlineStr"/>
    </row>
    <row r="39" ht="132" customHeight="1" s="42">
      <c r="A39" s="48" t="n">
        <v>46288</v>
      </c>
      <c r="B39" s="49" t="inlineStr">
        <is>
          <t>Wed</t>
        </is>
      </c>
      <c r="C39" s="49" t="inlineStr">
        <is>
          <t>GBP only</t>
        </is>
      </c>
      <c r="D39" s="49" t="inlineStr">
        <is>
          <t>Education</t>
        </is>
      </c>
      <c r="E39" s="50" t="inlineStr">
        <is>
          <t>Five questions worth asking any clinic, including this one. Who is injecting me, what are your credentials, which product, what dose, and what happens if I am not happy. A good clinic answers all five without flinching. More on Instagram.</t>
        </is>
      </c>
      <c r="F39" s="49" t="n">
        <v>238</v>
      </c>
      <c r="G39" s="50" t="inlineStr">
        <is>
          <t>Five questions worth asking any clinic, including this one.
Who is injecting me, and will it be the same person next time. What are your credentials, and where can I verify them. Which product are you using and is it Health Canada approved. How many units, and why that number for my face. What happens if I am not happy at two weeks.
A good clinic answers all five without hesitating or getting defensive. Vague answers on any of them are worth walking out over, particularly the first two.
Ask them here too. Any injector worth booking, in Oakville or anywhere else, will answer all five about your Botox without hesitating. Answers on Instagram.</t>
        </is>
      </c>
      <c r="H39" s="49" t="n">
        <v>651</v>
      </c>
      <c r="I39" s="49" t="inlineStr">
        <is>
          <t>Learn more</t>
        </is>
      </c>
      <c r="J39" s="51" t="inlineStr">
        <is>
          <t>@luxury_beauty_aestheticz</t>
        </is>
      </c>
      <c r="K39" s="49" t="inlineStr">
        <is>
          <t>2026-09-23-what-to-ask.jpg</t>
        </is>
      </c>
      <c r="L39" s="51" t="inlineStr">
        <is>
          <t>Open folder</t>
        </is>
      </c>
      <c r="M39" s="51" t="inlineStr">
        <is>
          <t>Open image</t>
        </is>
      </c>
      <c r="N39" s="49">
        <f>IMAGE("https://raw.githubusercontent.com/RepoKing23/InstagramCarousel/claude/serene-curie-xunco2/content/gbp/2026-09-23-what-to-ask.jpg")</f>
        <v/>
      </c>
      <c r="O39" s="51" t="inlineStr">
        <is>
          <t>Soheil Kmp / Unsplash</t>
        </is>
      </c>
      <c r="P39" s="49" t="inlineStr">
        <is>
          <t>Ready</t>
        </is>
      </c>
      <c r="Q39" s="59" t="inlineStr"/>
    </row>
    <row r="40" ht="132" customHeight="1" s="42">
      <c r="A40" s="44" t="n">
        <v>46289</v>
      </c>
      <c r="B40" s="45" t="inlineStr">
        <is>
          <t>Thu</t>
        </is>
      </c>
      <c r="C40" s="45" t="inlineStr">
        <is>
          <t>IG: Ask NP Cleo</t>
        </is>
      </c>
      <c r="D40" s="45" t="inlineStr">
        <is>
          <t>Personality &amp; BTS</t>
        </is>
      </c>
      <c r="E40" s="46" t="inlineStr">
        <is>
          <t>You asked, so here are the honest answers. The questions that land in my DMs every week, answered without the marketing gloss, including the ones clinics usually dodge. Read them on Instagram.</t>
        </is>
      </c>
      <c r="F40" s="45" t="n">
        <v>192</v>
      </c>
      <c r="G40" s="46" t="inlineStr">
        <is>
          <t>You asked, so here are the honest answers, including the ones clinics usually dodge.
The questions that land in my DMs most weeks: what does it actually cost, will I need it forever, what if I stop, does it get worse when it wears off, and can you tell when someone has had it done.
Short version on the two that worry people most. Nothing gets worse when you stop. The muscle simply returns to what it was doing before, and any line that had softened goes back to where it would have been. And no, you cannot tell when it is dosed properly, which is the entire point.
No marketing gloss on any of them. Read the full set on Instagram, and send me the Botox question nobody has answered for you properly.</t>
        </is>
      </c>
      <c r="H40" s="45" t="n">
        <v>707</v>
      </c>
      <c r="I40" s="45" t="inlineStr">
        <is>
          <t>Learn more</t>
        </is>
      </c>
      <c r="J40" s="47" t="inlineStr">
        <is>
          <t>@luxury_beauty_aestheticz</t>
        </is>
      </c>
      <c r="K40" s="45" t="inlineStr">
        <is>
          <t>2026-09-24-ask-np-cleo.jpg</t>
        </is>
      </c>
      <c r="L40" s="47" t="inlineStr">
        <is>
          <t>Open folder</t>
        </is>
      </c>
      <c r="M40" s="47" t="inlineStr">
        <is>
          <t>Open image</t>
        </is>
      </c>
      <c r="N40" s="45">
        <f>IMAGE("https://raw.githubusercontent.com/RepoKing23/InstagramCarousel/claude/serene-curie-xunco2/content/gbp/2026-09-24-ask-np-cleo.jpg")</f>
        <v/>
      </c>
      <c r="O40" s="47" t="inlineStr">
        <is>
          <t>Look Studio / Unsplash</t>
        </is>
      </c>
      <c r="P40" s="45" t="inlineStr">
        <is>
          <t>Published</t>
        </is>
      </c>
      <c r="Q40" s="59" t="inlineStr"/>
    </row>
    <row r="41" ht="132" customHeight="1" s="42">
      <c r="A41" s="44" t="n">
        <v>46290</v>
      </c>
      <c r="B41" s="45" t="inlineStr">
        <is>
          <t>Fri</t>
        </is>
      </c>
      <c r="C41" s="45" t="inlineStr">
        <is>
          <t>IG: Your DMs, Answered</t>
        </is>
      </c>
      <c r="D41" s="45" t="inlineStr">
        <is>
          <t>Personality &amp; BTS</t>
        </is>
      </c>
      <c r="E41" s="46" t="inlineStr">
        <is>
          <t>The question people ask quietly, in private, almost every week. Here it is in public with a straight answer and nothing dressed up. Your questions are always welcome on Instagram.</t>
        </is>
      </c>
      <c r="F41" s="45" t="n">
        <v>179</v>
      </c>
      <c r="G41" s="46" t="inlineStr">
        <is>
          <t>The question people ask quietly, in private, almost every week.
It is usually some version of: am I too young for this, or am I too late. Both come with a bit of embarrassment attached, which is why they arrive as a DM at eleven at night rather than out loud in a room.
The answer to both is that age is not the measure. What matters is whether a line stays behind when your face is fully relaxed. That is a question about your skin and your muscle, not your birthday, and it is why two people the same age often need completely different plans.
Nothing you ask here is silly and nothing gets repeated. Whether it is Botox, filler or neither, your questions are always welcome on Instagram.</t>
        </is>
      </c>
      <c r="H41" s="45" t="n">
        <v>693</v>
      </c>
      <c r="I41" s="45" t="inlineStr">
        <is>
          <t>Learn more</t>
        </is>
      </c>
      <c r="J41" s="47" t="inlineStr">
        <is>
          <t>@luxury_beauty_aestheticz</t>
        </is>
      </c>
      <c r="K41" s="45" t="inlineStr">
        <is>
          <t>2026-09-25-your-dms-answered.jpg</t>
        </is>
      </c>
      <c r="L41" s="47" t="inlineStr">
        <is>
          <t>Open folder</t>
        </is>
      </c>
      <c r="M41" s="47" t="inlineStr">
        <is>
          <t>Open image</t>
        </is>
      </c>
      <c r="N41" s="45">
        <f>IMAGE("https://raw.githubusercontent.com/RepoKing23/InstagramCarousel/claude/serene-curie-xunco2/content/gbp/2026-09-25-your-dms-answered.jpg")</f>
        <v/>
      </c>
      <c r="O41" s="47" t="inlineStr">
        <is>
          <t>Masum Rahimi / Unsplash</t>
        </is>
      </c>
      <c r="P41" s="45" t="inlineStr">
        <is>
          <t>Ready</t>
        </is>
      </c>
      <c r="Q41" s="59" t="inlineStr"/>
    </row>
    <row r="42" ht="132" customHeight="1" s="42">
      <c r="A42" s="44" t="n">
        <v>46291</v>
      </c>
      <c r="B42" s="45" t="inlineStr">
        <is>
          <t>Sat</t>
        </is>
      </c>
      <c r="C42" s="45" t="inlineStr">
        <is>
          <t>IG: Poll, What Should NP Cleo Cover Next?</t>
        </is>
      </c>
      <c r="D42" s="45" t="inlineStr">
        <is>
          <t>Personality &amp; BTS</t>
        </is>
      </c>
      <c r="E42" s="46" t="inlineStr">
        <is>
          <t>You pick what I cover next. The topic with the most votes becomes the next post, whether that is pricing, a treatment breakdown, or something nobody wants to explain properly. Vote on Instagram.</t>
        </is>
      </c>
      <c r="F42" s="45" t="n">
        <v>194</v>
      </c>
      <c r="G42" s="46" t="inlineStr">
        <is>
          <t>You pick what I cover next. The topic with the most votes becomes the next post.
On the list so far: what treatments actually cost and why, how to tell a good injector from a confident one, what happens to your face if you stop, and a full breakdown of what filler can and cannot fix.
I would rather answer the thing people are actually wondering about than publish whatever is trending. The most useful posts here have all come from a question someone sent privately and assumed was too basic to ask.
Vote on Instagram, or send a topic that is not on the list. If enough people in Oakville are wondering the same thing about Botox or filler, it gets made.</t>
        </is>
      </c>
      <c r="H42" s="45" t="n">
        <v>659</v>
      </c>
      <c r="I42" s="45" t="inlineStr">
        <is>
          <t>Learn more</t>
        </is>
      </c>
      <c r="J42" s="47" t="inlineStr">
        <is>
          <t>@luxury_beauty_aestheticz</t>
        </is>
      </c>
      <c r="K42" s="45" t="inlineStr">
        <is>
          <t>2026-09-26-what-next.jpg</t>
        </is>
      </c>
      <c r="L42" s="47" t="inlineStr">
        <is>
          <t>Open folder</t>
        </is>
      </c>
      <c r="M42" s="47" t="inlineStr">
        <is>
          <t>Open image</t>
        </is>
      </c>
      <c r="N42" s="45">
        <f>IMAGE("https://raw.githubusercontent.com/RepoKing23/InstagramCarousel/claude/serene-curie-xunco2/content/gbp/2026-09-26-what-next.jpg")</f>
        <v/>
      </c>
      <c r="O42" s="47" t="inlineStr">
        <is>
          <t>Elist Nguyen / Unsplash</t>
        </is>
      </c>
      <c r="P42" s="45" t="inlineStr">
        <is>
          <t>Ready</t>
        </is>
      </c>
      <c r="Q42" s="59" t="inlineStr"/>
    </row>
    <row r="43" ht="132" customHeight="1" s="42">
      <c r="A43" s="48" t="n">
        <v>46292</v>
      </c>
      <c r="B43" s="49" t="inlineStr">
        <is>
          <t>Sun</t>
        </is>
      </c>
      <c r="C43" s="49" t="inlineStr">
        <is>
          <t>GBP only</t>
        </is>
      </c>
      <c r="D43" s="49" t="inlineStr">
        <is>
          <t>Trust &amp; Proof</t>
        </is>
      </c>
      <c r="E43" s="50" t="inlineStr">
        <is>
          <t>Your two week follow up is part of the treatment, not an extra. Botox takes about fourteen days to settle, so that is when we look properly and make small adjustments if anything needs it. No charge for that visit. More on Instagram.</t>
        </is>
      </c>
      <c r="F43" s="49" t="n">
        <v>233</v>
      </c>
      <c r="G43" s="50" t="inlineStr">
        <is>
          <t>Your two week follow up is part of the treatment, not an extra.
A neuromodulator takes about fourteen days to fully settle. Judging the result before that is how people end up chasing a dose, because at day five it looks uneven and at day fourteen it usually does not. So we look properly at two weeks, when what you see is what you have.
If something needs adjusting, a small top up in one spot, a touch more on the side that pulls harder, that happens at the follow up and there is no charge for it.
This is also why I dose conservatively the first time. It is easy to add a little at two weeks. There is nothing to be done about too much except wait it out. Book at our Oakville studio, or ask on Instagram.</t>
        </is>
      </c>
      <c r="H43" s="49" t="n">
        <v>713</v>
      </c>
      <c r="I43" s="49" t="inlineStr">
        <is>
          <t>Learn more</t>
        </is>
      </c>
      <c r="J43" s="51" t="inlineStr">
        <is>
          <t>@luxury_beauty_aestheticz</t>
        </is>
      </c>
      <c r="K43" s="49" t="inlineStr">
        <is>
          <t>2026-09-27-two-week-review.jpg</t>
        </is>
      </c>
      <c r="L43" s="51" t="inlineStr">
        <is>
          <t>Open folder</t>
        </is>
      </c>
      <c r="M43" s="51" t="inlineStr">
        <is>
          <t>Open image</t>
        </is>
      </c>
      <c r="N43" s="49">
        <f>IMAGE("https://raw.githubusercontent.com/RepoKing23/InstagramCarousel/claude/serene-curie-xunco2/content/gbp/2026-09-27-two-week-review.jpg")</f>
        <v/>
      </c>
      <c r="O43" s="51" t="inlineStr">
        <is>
          <t>Ionela Mat / Unsplash</t>
        </is>
      </c>
      <c r="P43" s="49" t="inlineStr">
        <is>
          <t>Ready</t>
        </is>
      </c>
      <c r="Q43" s="59" t="inlineStr"/>
    </row>
    <row r="44" ht="132" customHeight="1" s="42">
      <c r="A44" s="44" t="n">
        <v>46293</v>
      </c>
      <c r="B44" s="45" t="inlineStr">
        <is>
          <t>Mon</t>
        </is>
      </c>
      <c r="C44" s="45" t="inlineStr">
        <is>
          <t>IG: How Long Does Botox Really Last?</t>
        </is>
      </c>
      <c r="D44" s="45" t="inlineStr">
        <is>
          <t>Education</t>
        </is>
      </c>
      <c r="E44" s="46" t="inlineStr">
        <is>
          <t>Three to four months for most people, and the honest reasons it varies. Your metabolism, the dose, how strong the muscle is, and how long you have been treating it. The month by month timeline is on Instagram.</t>
        </is>
      </c>
      <c r="F44" s="45" t="n">
        <v>209</v>
      </c>
      <c r="G44" s="46" t="inlineStr">
        <is>
          <t>Three to four months for most people, and here are the honest reasons it varies.
Metabolism plays a part, and people who train hard often find it wears off sooner. Dose matters, since a light preventative dose fades before a fuller corrective one. Muscle strength matters, because a strong frown works through product faster than a light one. And history matters, as people who have treated consistently for years often stretch further between appointments.
What is not true is that it stops working. If your Botox seems to be fading faster than it used to, the usual answer is that the dose is no longer right rather than any resistance to the product. Month by month timeline on Instagram.</t>
        </is>
      </c>
      <c r="H44" s="45" t="n">
        <v>693</v>
      </c>
      <c r="I44" s="45" t="inlineStr">
        <is>
          <t>Learn more</t>
        </is>
      </c>
      <c r="J44" s="47" t="inlineStr">
        <is>
          <t>@luxury_beauty_aestheticz</t>
        </is>
      </c>
      <c r="K44" s="45" t="inlineStr">
        <is>
          <t>2026-09-28-how-long-does-it-last.jpg</t>
        </is>
      </c>
      <c r="L44" s="47" t="inlineStr">
        <is>
          <t>Open folder</t>
        </is>
      </c>
      <c r="M44" s="47" t="inlineStr">
        <is>
          <t>Open image</t>
        </is>
      </c>
      <c r="N44" s="45">
        <f>IMAGE("https://raw.githubusercontent.com/RepoKing23/InstagramCarousel/claude/serene-curie-xunco2/content/gbp/2026-09-28-how-long-does-it-last.jpg")</f>
        <v/>
      </c>
      <c r="O44" s="47" t="inlineStr">
        <is>
          <t>Zac Taheriyan / Unsplash</t>
        </is>
      </c>
      <c r="P44" s="45" t="inlineStr">
        <is>
          <t>Published</t>
        </is>
      </c>
      <c r="Q44" s="59" t="inlineStr"/>
    </row>
    <row r="45" ht="132" customHeight="1" s="42">
      <c r="A45" s="44" t="n">
        <v>46294</v>
      </c>
      <c r="B45" s="45" t="inlineStr">
        <is>
          <t>Tue</t>
        </is>
      </c>
      <c r="C45" s="45" t="inlineStr">
        <is>
          <t>IG: The 3-Month Botox Timeline</t>
        </is>
      </c>
      <c r="D45" s="45" t="inlineStr">
        <is>
          <t>Education</t>
        </is>
      </c>
      <c r="E45" s="46" t="inlineStr">
        <is>
          <t>Week by week, what to expect. Movement starts easing around day three, it fully settles at two weeks, softens through month three, and by month four you are due. Knowing the curve stops the day five panic. On Instagram.</t>
        </is>
      </c>
      <c r="F45" s="45" t="n">
        <v>219</v>
      </c>
      <c r="G45" s="46" t="inlineStr">
        <is>
          <t>Week by week, what to expect after treatment.
Day three is when most people first notice movement easing. It is gradual and it is uneven at the start, which is normal. Two weeks is when it has fully settled, and the only fair point to judge the result or adjust it. Month one to two is the plateau, where it looks its best and you stop thinking about it.
Month three is when movement starts creeping back, usually in the strongest muscle first. By month four most people are due, though plenty stretch further, particularly after a few consistent rounds.
Knowing the curve stops the day five panic, which is far and away the most common message I get after Botox. Save the timeline from Instagram, or book a follow up in Oakville.</t>
        </is>
      </c>
      <c r="H45" s="45" t="n">
        <v>733</v>
      </c>
      <c r="I45" s="45" t="inlineStr">
        <is>
          <t>Learn more</t>
        </is>
      </c>
      <c r="J45" s="47" t="inlineStr">
        <is>
          <t>@luxury_beauty_aestheticz</t>
        </is>
      </c>
      <c r="K45" s="45" t="inlineStr">
        <is>
          <t>2026-09-29-three-month-timeline.jpg</t>
        </is>
      </c>
      <c r="L45" s="47" t="inlineStr">
        <is>
          <t>Open folder</t>
        </is>
      </c>
      <c r="M45" s="47" t="inlineStr">
        <is>
          <t>Open image</t>
        </is>
      </c>
      <c r="N45" s="45">
        <f>IMAGE("https://raw.githubusercontent.com/RepoKing23/InstagramCarousel/claude/serene-curie-xunco2/content/gbp/2026-09-29-three-month-timeline.jpg")</f>
        <v/>
      </c>
      <c r="O45" s="47" t="inlineStr">
        <is>
          <t>Zulfugar Karimov / Unsplash</t>
        </is>
      </c>
      <c r="P45" s="45" t="inlineStr">
        <is>
          <t>Ready</t>
        </is>
      </c>
      <c r="Q45" s="59" t="inlineStr"/>
    </row>
    <row r="46" ht="132" customHeight="1" s="42">
      <c r="A46" s="48" t="n">
        <v>46295</v>
      </c>
      <c r="B46" s="49" t="inlineStr">
        <is>
          <t>Wed</t>
        </is>
      </c>
      <c r="C46" s="49" t="inlineStr">
        <is>
          <t>GBP only</t>
        </is>
      </c>
      <c r="D46" s="49" t="inlineStr">
        <is>
          <t>Education</t>
        </is>
      </c>
      <c r="E46" s="50" t="inlineStr">
        <is>
          <t>October is a month about lips. What one syringe actually does, the difference between natural and overdone, aftercare that matters, and real results shared with consent. Follow along on Instagram so you do not miss the start.</t>
        </is>
      </c>
      <c r="F46" s="49" t="n">
        <v>225</v>
      </c>
      <c r="G46" s="50" t="inlineStr">
        <is>
          <t>October is a month about lips, and it starts next week.
What is coming: what one syringe of filler actually does and how far it goes, the real difference between natural and overdone, aftercare that matters in the first 48 hours, and real results shared with client consent.
Lip filler in Oakville attracts more bad information than almost anything else I treat. Most of it comes from people who saw one obvious result and assumed that is what the treatment does. The work worth showing is the kind nobody identifies.
If lips are something you have thought about and talked yourself out of, this is the month to ask. Follow along on Instagram so you do not miss the start.</t>
        </is>
      </c>
      <c r="H46" s="49" t="n">
        <v>675</v>
      </c>
      <c r="I46" s="49" t="inlineStr">
        <is>
          <t>Learn more</t>
        </is>
      </c>
      <c r="J46" s="51" t="inlineStr">
        <is>
          <t>@luxury_beauty_aestheticz</t>
        </is>
      </c>
      <c r="K46" s="49" t="inlineStr">
        <is>
          <t>2026-09-30-october-preview.jpg</t>
        </is>
      </c>
      <c r="L46" s="51" t="inlineStr">
        <is>
          <t>Open folder</t>
        </is>
      </c>
      <c r="M46" s="51" t="inlineStr">
        <is>
          <t>Open image</t>
        </is>
      </c>
      <c r="N46" s="49">
        <f>IMAGE("https://raw.githubusercontent.com/RepoKing23/InstagramCarousel/claude/serene-curie-xunco2/content/gbp/2026-09-30-october-preview.jpg")</f>
        <v/>
      </c>
      <c r="O46" s="51" t="inlineStr">
        <is>
          <t>Christin Hume / Unsplash</t>
        </is>
      </c>
      <c r="P46" s="49" t="inlineStr">
        <is>
          <t>Ready</t>
        </is>
      </c>
      <c r="Q46" s="59" t="inlineStr"/>
    </row>
    <row r="47" ht="132" customHeight="1" s="42">
      <c r="A47" s="44" t="n">
        <v>46296</v>
      </c>
      <c r="B47" s="45" t="inlineStr">
        <is>
          <t>Thu</t>
        </is>
      </c>
      <c r="C47" s="45" t="inlineStr">
        <is>
          <t>IG: Botox in Oakville: Your First Appointment</t>
        </is>
      </c>
      <c r="D47" s="45" t="inlineStr">
        <is>
          <t>Education</t>
        </is>
      </c>
      <c r="E47" s="46" t="inlineStr">
        <is>
          <t>Your first Botox appointment in Oakville, step by step: a real consult, your face mapped while it moves, about ten minutes of treatment, and a two week check in. Nothing is a surprise. The full walkthrough is on Instagram.</t>
        </is>
      </c>
      <c r="F47" s="45" t="n">
        <v>222</v>
      </c>
      <c r="G47" s="46" t="inlineStr">
        <is>
          <t>Your first Botox treatment in Oakville, explained step by step so nothing is a surprise.
It starts with a consult. We talk about what bothers you, your health history and anything you have had done before, and you hear the plan and the price before any product is opened.
Then I watch your face move. Frowning, lifting and squinting show where each muscle pulls, and that decides where the units go. The treatment itself takes around ten minutes for most areas.
You will see the first change around day three to five, and the full result at two weeks, which is when we check in and adjust if needed. The studio is at 3060 Preserve Dr, and clients come in from Burlington, Milton and Mississauga. The full walkthrough is on Instagram.</t>
        </is>
      </c>
      <c r="H47" s="45" t="n">
        <v>736</v>
      </c>
      <c r="I47" s="45" t="inlineStr">
        <is>
          <t>Learn more</t>
        </is>
      </c>
      <c r="J47" s="47" t="inlineStr">
        <is>
          <t>@luxury_beauty_aestheticz</t>
        </is>
      </c>
      <c r="K47" s="45" t="inlineStr">
        <is>
          <t>2026-10-01-botox-in-oakville-first-appointment.jpg</t>
        </is>
      </c>
      <c r="L47" s="47" t="inlineStr">
        <is>
          <t>Open folder</t>
        </is>
      </c>
      <c r="M47" s="47" t="inlineStr">
        <is>
          <t>Open image</t>
        </is>
      </c>
      <c r="N47" s="45">
        <f>IMAGE("https://raw.githubusercontent.com/RepoKing23/InstagramCarousel/claude/serene-curie-xunco2/content/gbp/2026-10-01-botox-in-oakville-first-appointment.jpg")</f>
        <v/>
      </c>
      <c r="O47" s="45" t="inlineStr">
        <is>
          <t>Photo pending, run design/fetch-octnov-photos.py</t>
        </is>
      </c>
      <c r="P47" s="45" t="inlineStr">
        <is>
          <t>Ready</t>
        </is>
      </c>
      <c r="Q47" s="59" t="inlineStr"/>
    </row>
    <row r="48" ht="132" customHeight="1" s="42">
      <c r="A48" s="44" t="n">
        <v>46300</v>
      </c>
      <c r="B48" s="45" t="inlineStr">
        <is>
          <t>Mon</t>
        </is>
      </c>
      <c r="C48" s="45" t="inlineStr">
        <is>
          <t>IG: Dermal Fillers Won't Make You Look Fake. Bad Technique Does.</t>
        </is>
      </c>
      <c r="D48" s="45" t="inlineStr">
        <is>
          <t>Education</t>
        </is>
      </c>
      <c r="E48" s="46" t="inlineStr">
        <is>
          <t>Dermal fillers do not make you look fake. Too much in one sitting, chasing lines instead of shape, and ignoring proportion do. Here is how natural filler is planned at the Oakville studio. Full post on Instagram.</t>
        </is>
      </c>
      <c r="F48" s="45" t="n">
        <v>212</v>
      </c>
      <c r="G48" s="46" t="inlineStr">
        <is>
          <t>Dermal fillers do not make you look fake. Bad technique does, and it is worth knowing what that looks like before you book anywhere.
The most common cause is amount. Several syringes in one appointment is how faces end up overdone. Natural filler work is often half a syringe, reviewed at two weeks, and built slowly only if it is needed.
The second is chasing lines. Filling every crease flattens a face, while supporting the cheek or chin often softens the line better.
The third is ignoring proportion. Lips, cheeks and jaw have to agree with each other.
Every dermal filler plan at the Oakville studio starts with a consult and an honest read of your face, including the times the right answer is less. More on Instagram.</t>
        </is>
      </c>
      <c r="H48" s="45" t="n">
        <v>729</v>
      </c>
      <c r="I48" s="45" t="inlineStr">
        <is>
          <t>Learn more</t>
        </is>
      </c>
      <c r="J48" s="47" t="inlineStr">
        <is>
          <t>@luxury_beauty_aestheticz</t>
        </is>
      </c>
      <c r="K48" s="45" t="inlineStr">
        <is>
          <t>2026-10-05-dermal-fillers-wont-make-you-look-fake.jpg</t>
        </is>
      </c>
      <c r="L48" s="47" t="inlineStr">
        <is>
          <t>Open folder</t>
        </is>
      </c>
      <c r="M48" s="47" t="inlineStr">
        <is>
          <t>Open image</t>
        </is>
      </c>
      <c r="N48" s="45">
        <f>IMAGE("https://raw.githubusercontent.com/RepoKing23/InstagramCarousel/claude/serene-curie-xunco2/content/gbp/2026-10-05-dermal-fillers-wont-make-you-look-fake.jpg")</f>
        <v/>
      </c>
      <c r="O48" s="45" t="inlineStr">
        <is>
          <t>Photo pending, run design/fetch-octnov-photos.py</t>
        </is>
      </c>
      <c r="P48" s="45" t="inlineStr">
        <is>
          <t>Ready</t>
        </is>
      </c>
      <c r="Q48" s="59" t="inlineStr"/>
    </row>
    <row r="49" ht="132" customHeight="1" s="42">
      <c r="A49" s="44" t="n">
        <v>46301</v>
      </c>
      <c r="B49" s="45" t="inlineStr">
        <is>
          <t>Tue</t>
        </is>
      </c>
      <c r="C49" s="45" t="inlineStr">
        <is>
          <t>IG: What Is Electrolysis? Permanent Hair Removal, Explained</t>
        </is>
      </c>
      <c r="D49" s="45" t="inlineStr">
        <is>
          <t>Education</t>
        </is>
      </c>
      <c r="E49" s="46" t="inlineStr">
        <is>
          <t>Electrolysis in Oakville, explained. A fine probe and a small current treat each hair follicle so it stops growing back. It works on every hair colour and skin tone, including grey and blonde hair that laser misses. More on Instagram.</t>
        </is>
      </c>
      <c r="F49" s="45" t="n">
        <v>234</v>
      </c>
      <c r="G49" s="46" t="inlineStr">
        <is>
          <t>Electrolysis is hair removal that treats the follicle itself, one hair at a time, so the hair stops growing back.
A very fine probe slides into the natural opening of the follicle and a small current treats the growth centre at its base. There is no cutting and no needle into the skin, and each hair takes a moment.
Because it treats the follicle directly rather than targeting pigment, electrolysis works on every hair colour and every skin tone. That includes the grey, white, blonde and red hairs that laser cannot see, and darker skin where laser needs extra care.
It takes a series of sessions, because hair grows in cycles and not every follicle is active at once. Electrolysis appointments are at the Oakville studio on Preserve Dr. Questions are answered on Instagram.</t>
        </is>
      </c>
      <c r="H49" s="45" t="n">
        <v>780</v>
      </c>
      <c r="I49" s="45" t="inlineStr">
        <is>
          <t>Learn more</t>
        </is>
      </c>
      <c r="J49" s="47" t="inlineStr">
        <is>
          <t>@luxury_beauty_aestheticz</t>
        </is>
      </c>
      <c r="K49" s="45" t="inlineStr">
        <is>
          <t>2026-10-06-what-is-electrolysis.jpg</t>
        </is>
      </c>
      <c r="L49" s="47" t="inlineStr">
        <is>
          <t>Open folder</t>
        </is>
      </c>
      <c r="M49" s="47" t="inlineStr">
        <is>
          <t>Open image</t>
        </is>
      </c>
      <c r="N49" s="45">
        <f>IMAGE("https://raw.githubusercontent.com/RepoKing23/InstagramCarousel/claude/serene-curie-xunco2/content/gbp/2026-10-06-what-is-electrolysis.jpg")</f>
        <v/>
      </c>
      <c r="O49" s="45" t="inlineStr">
        <is>
          <t>Photo pending, run design/fetch-octnov-photos.py</t>
        </is>
      </c>
      <c r="P49" s="45" t="inlineStr">
        <is>
          <t>Ready</t>
        </is>
      </c>
      <c r="Q49" s="59" t="inlineStr"/>
    </row>
    <row r="50" ht="132" customHeight="1" s="42">
      <c r="A50" s="44" t="n">
        <v>46302</v>
      </c>
      <c r="B50" s="45" t="inlineStr">
        <is>
          <t>Wed</t>
        </is>
      </c>
      <c r="C50" s="45" t="inlineStr">
        <is>
          <t>IG: Meet Cleo: The Nurse Practitioner Behind Luxury Beauty in Oakville</t>
        </is>
      </c>
      <c r="D50" s="45" t="inlineStr">
        <is>
          <t>Personality &amp; BTS</t>
        </is>
      </c>
      <c r="E50" s="46" t="inlineStr">
        <is>
          <t>Meet Cleo, the nurse practitioner behind Luxury Beauty by Cleo R in Oakville. Every appointment is with Cleo herself, one client at a time, in a private studio on Preserve Dr. Say hello on Instagram.</t>
        </is>
      </c>
      <c r="F50" s="45" t="n">
        <v>199</v>
      </c>
      <c r="G50" s="46" t="inlineStr">
        <is>
          <t>Meet Cleo, the nurse practitioner behind Luxury Beauty by Cleo R in Oakville.
Every appointment at the studio is with Cleo. Nobody is handed off to whoever happens to be free, which means the person who assessed your face is the person who treats it and the person who sees you at your follow up.
The studio is private and books one client at a time, so there is no waiting room and no rushing. Consults come first, and the answer is sometimes less than you asked for, or not yet.
If you have searched for Cleo in Oakville, this is the place: 3060 Preserve Dr, with parking at the door, and clients from Burlington, Milton and Mississauga. Botox, dermal filler and electrolysis. Say hello on Instagram.</t>
        </is>
      </c>
      <c r="H50" s="45" t="n">
        <v>705</v>
      </c>
      <c r="I50" s="45" t="inlineStr">
        <is>
          <t>Learn more</t>
        </is>
      </c>
      <c r="J50" s="47" t="inlineStr">
        <is>
          <t>@luxury_beauty_aestheticz</t>
        </is>
      </c>
      <c r="K50" s="45" t="inlineStr">
        <is>
          <t>2026-10-07-meet-cleo-oakville.jpg</t>
        </is>
      </c>
      <c r="L50" s="47" t="inlineStr">
        <is>
          <t>Open folder</t>
        </is>
      </c>
      <c r="M50" s="47" t="inlineStr">
        <is>
          <t>Open image</t>
        </is>
      </c>
      <c r="N50" s="45">
        <f>IMAGE("https://raw.githubusercontent.com/RepoKing23/InstagramCarousel/claude/serene-curie-xunco2/content/gbp/2026-10-07-meet-cleo-oakville.jpg")</f>
        <v/>
      </c>
      <c r="O50" s="45" t="inlineStr">
        <is>
          <t>Photo pending, run design/fetch-octnov-photos.py</t>
        </is>
      </c>
      <c r="P50" s="45" t="inlineStr">
        <is>
          <t>Ready</t>
        </is>
      </c>
      <c r="Q50" s="59" t="inlineStr"/>
    </row>
    <row r="51" ht="132" customHeight="1" s="42">
      <c r="A51" s="44" t="n">
        <v>46303</v>
      </c>
      <c r="B51" s="45" t="inlineStr">
        <is>
          <t>Thu</t>
        </is>
      </c>
      <c r="C51" s="45" t="inlineStr">
        <is>
          <t>IG: Lip Filler in Oakville: Natural vs Overdone</t>
        </is>
      </c>
      <c r="D51" s="45" t="inlineStr">
        <is>
          <t>Trust &amp; Proof</t>
        </is>
      </c>
      <c r="E51" s="46" t="inlineStr">
        <is>
          <t>Natural versus overdone lips, side by side. The difference is ratio and shape, not the brand of filler. Respect the border, keep the lower fuller than the upper, and stop before it is obvious. Shared with client consent on Instagram.</t>
        </is>
      </c>
      <c r="F51" s="45" t="n">
        <v>233</v>
      </c>
      <c r="G51" s="46" t="inlineStr">
        <is>
          <t>Natural or overdone lip filler. The difference is ratio and shape, not the product.
A lip that reads as natural keeps its border, keeps the lower lip fuller than the upper, and keeps the height of the upper lip in proportion to the space above it. A lip that reads as done usually broke one of those three, most often by filling past the border or by adding volume the lip could not carry.
Amount matters less than people assume. A full syringe can look untouched and half of one can look obvious, and the variable both times is placement.
The dermal filler work worth showing is the kind nobody identifies as work. A real example from the Oakville studio, shared with client consent, is on Instagram.</t>
        </is>
      </c>
      <c r="H51" s="45" t="n">
        <v>704</v>
      </c>
      <c r="I51" s="45" t="inlineStr">
        <is>
          <t>Learn more</t>
        </is>
      </c>
      <c r="J51" s="47" t="inlineStr">
        <is>
          <t>@luxury_beauty_aestheticz</t>
        </is>
      </c>
      <c r="K51" s="45" t="inlineStr">
        <is>
          <t>2026-10-08-lip-filler-natural-vs-overdone.jpg</t>
        </is>
      </c>
      <c r="L51" s="47" t="inlineStr">
        <is>
          <t>Open folder</t>
        </is>
      </c>
      <c r="M51" s="47" t="inlineStr">
        <is>
          <t>Open image</t>
        </is>
      </c>
      <c r="N51" s="45">
        <f>IMAGE("https://raw.githubusercontent.com/RepoKing23/InstagramCarousel/claude/serene-curie-xunco2/content/gbp/2026-10-08-lip-filler-natural-vs-overdone.jpg")</f>
        <v/>
      </c>
      <c r="O51" s="45" t="inlineStr">
        <is>
          <t>Photo pending, run design/fetch-octnov-photos.py</t>
        </is>
      </c>
      <c r="P51" s="45" t="inlineStr">
        <is>
          <t>Ready</t>
        </is>
      </c>
      <c r="Q51" s="59" t="inlineStr"/>
    </row>
    <row r="52" ht="132" customHeight="1" s="42">
      <c r="A52" s="44" t="n">
        <v>46307</v>
      </c>
      <c r="B52" s="45" t="inlineStr">
        <is>
          <t>Mon</t>
        </is>
      </c>
      <c r="C52" s="45" t="inlineStr">
        <is>
          <t>IG: Botox Therapy Treatment: What It Treats and How It Works</t>
        </is>
      </c>
      <c r="D52" s="45" t="inlineStr">
        <is>
          <t>Education</t>
        </is>
      </c>
      <c r="E52" s="46" t="inlineStr">
        <is>
          <t>Botox treatment in Oakville, explained: it relaxes the muscle that folds the skin, so frown lines, forehead lines and crow's feet soften while your face still moves. What it treats well and what it cannot fix, on Instagram.</t>
        </is>
      </c>
      <c r="F52" s="45" t="n">
        <v>223</v>
      </c>
      <c r="G52" s="46" t="inlineStr">
        <is>
          <t>Botox treatment relaxes the specific muscle that folds the skin, so the line above it softens and stops deepening over time.
It works best on expression lines. Frown lines between the brows are the most requested area, because they make people look tired or cross when they are neither. Forehead lines are treated lightly so your brows still lift. Crow's feet are softened rather than erased, so your smile still reaches your eyes.
What Botox cannot do is add volume or lift skin. A line caused by lost volume needs a different treatment, and you will be told that at your consult rather than sold units that will not help.
Botox appointments at the Oakville studio are with a nurse practitioner, one client at a time. The full explainer is on Instagram.</t>
        </is>
      </c>
      <c r="H52" s="45" t="n">
        <v>757</v>
      </c>
      <c r="I52" s="45" t="inlineStr">
        <is>
          <t>Learn more</t>
        </is>
      </c>
      <c r="J52" s="47" t="inlineStr">
        <is>
          <t>@luxury_beauty_aestheticz</t>
        </is>
      </c>
      <c r="K52" s="45" t="inlineStr">
        <is>
          <t>2026-10-12-botox-treatment-step-by-step.jpg</t>
        </is>
      </c>
      <c r="L52" s="47" t="inlineStr">
        <is>
          <t>Open folder</t>
        </is>
      </c>
      <c r="M52" s="47" t="inlineStr">
        <is>
          <t>Open image</t>
        </is>
      </c>
      <c r="N52" s="45">
        <f>IMAGE("https://raw.githubusercontent.com/RepoKing23/InstagramCarousel/claude/serene-curie-xunco2/content/gbp/2026-10-12-botox-treatment-step-by-step.jpg")</f>
        <v/>
      </c>
      <c r="O52" s="45" t="inlineStr">
        <is>
          <t>Photo pending, run design/fetch-octnov-photos.py</t>
        </is>
      </c>
      <c r="P52" s="45" t="inlineStr">
        <is>
          <t>Ready</t>
        </is>
      </c>
      <c r="Q52" s="59" t="inlineStr"/>
    </row>
    <row r="53" ht="132" customHeight="1" s="42">
      <c r="A53" s="44" t="n">
        <v>46308</v>
      </c>
      <c r="B53" s="45" t="inlineStr">
        <is>
          <t>Tue</t>
        </is>
      </c>
      <c r="C53" s="45" t="inlineStr">
        <is>
          <t>IG: Facial Electrolysis for Chin and Upper Lip Hair</t>
        </is>
      </c>
      <c r="D53" s="45" t="inlineStr">
        <is>
          <t>Education</t>
        </is>
      </c>
      <c r="E53" s="46" t="inlineStr">
        <is>
          <t>Facial electrolysis in Oakville for chin and upper lip hair. Each hair is treated at the follicle so it stops growing back, and it works on fine, light and grey hairs that laser misses. Stop tweezing before your first visit. More on Instagram.</t>
        </is>
      </c>
      <c r="F53" s="45" t="n">
        <v>243</v>
      </c>
      <c r="G53" s="46" t="inlineStr">
        <is>
          <t>Facial electrolysis is the answer to the chin and upper lip hairs you have been tweezing for years.
Tweezing and waxing pull the hair out but leave the follicle working, so the same hairs come back. Electrolysis treats the follicle itself, one hair at a time, so the treated hair stops growing.
It suits the face especially well. Chin and lip hairs are often fine, light or grey, which laser cannot pick up, and electrolysis does not depend on hair colour at all.
One practical tip: stop tweezing a couple of weeks before your first session and trim instead if you need to. We treat the hair we can see, so a few days of growth helps. Facial electrolysis appointments are at the Oakville studio. More on Instagram.</t>
        </is>
      </c>
      <c r="H53" s="45" t="n">
        <v>717</v>
      </c>
      <c r="I53" s="45" t="inlineStr">
        <is>
          <t>Learn more</t>
        </is>
      </c>
      <c r="J53" s="47" t="inlineStr">
        <is>
          <t>@luxury_beauty_aestheticz</t>
        </is>
      </c>
      <c r="K53" s="45" t="inlineStr">
        <is>
          <t>2026-10-13-facial-electrolysis-chin-upper-lip.jpg</t>
        </is>
      </c>
      <c r="L53" s="47" t="inlineStr">
        <is>
          <t>Open folder</t>
        </is>
      </c>
      <c r="M53" s="47" t="inlineStr">
        <is>
          <t>Open image</t>
        </is>
      </c>
      <c r="N53" s="45">
        <f>IMAGE("https://raw.githubusercontent.com/RepoKing23/InstagramCarousel/claude/serene-curie-xunco2/content/gbp/2026-10-13-facial-electrolysis-chin-upper-lip.jpg")</f>
        <v/>
      </c>
      <c r="O53" s="45" t="inlineStr">
        <is>
          <t>Photo pending, run design/fetch-octnov-photos.py</t>
        </is>
      </c>
      <c r="P53" s="45" t="inlineStr">
        <is>
          <t>Ready</t>
        </is>
      </c>
      <c r="Q53" s="59" t="inlineStr"/>
    </row>
    <row r="54" ht="132" customHeight="1" s="42">
      <c r="A54" s="44" t="n">
        <v>46309</v>
      </c>
      <c r="B54" s="45" t="inlineStr">
        <is>
          <t>Wed</t>
        </is>
      </c>
      <c r="C54" s="45" t="inlineStr">
        <is>
          <t>IG: Subtle Is the New Dramatic</t>
        </is>
      </c>
      <c r="D54" s="45" t="inlineStr">
        <is>
          <t>Trust &amp; Proof</t>
        </is>
      </c>
      <c r="E54" s="46" t="inlineStr">
        <is>
          <t>Subtle is not a compromise, it is the goal. If the first thing anyone notices about your face is the filler, something in the plan was wrong. A real dermal filler result, shared with client consent, is on Instagram.</t>
        </is>
      </c>
      <c r="F54" s="45" t="n">
        <v>215</v>
      </c>
      <c r="G54" s="46" t="inlineStr">
        <is>
          <t>Subtle is not a compromise. It is the goal.
The dramatic result is easy. Anyone can add volume until a change is undeniable. The difficult version is the one where your face looks rested and balanced and nobody can name what changed, which takes restraint, an honest read of proportion, and a willingness to stop early.
If the first thing people notice about you is your filler, the plan was wrong before the needle came out.
This is the standard every dermal filler appointment at the Oakville studio is held to. Half a syringe placed properly beats a full one placed to be seen. A real result, shared with the client's consent, is on Instagram.</t>
        </is>
      </c>
      <c r="H54" s="45" t="n">
        <v>649</v>
      </c>
      <c r="I54" s="45" t="inlineStr">
        <is>
          <t>Learn more</t>
        </is>
      </c>
      <c r="J54" s="47" t="inlineStr">
        <is>
          <t>@luxury_beauty_aestheticz</t>
        </is>
      </c>
      <c r="K54" s="45" t="inlineStr">
        <is>
          <t>2026-10-14-subtle-is-the-new-dramatic.jpg</t>
        </is>
      </c>
      <c r="L54" s="47" t="inlineStr">
        <is>
          <t>Open folder</t>
        </is>
      </c>
      <c r="M54" s="47" t="inlineStr">
        <is>
          <t>Open image</t>
        </is>
      </c>
      <c r="N54" s="45">
        <f>IMAGE("https://raw.githubusercontent.com/RepoKing23/InstagramCarousel/claude/serene-curie-xunco2/content/gbp/2026-10-14-subtle-is-the-new-dramatic.jpg")</f>
        <v/>
      </c>
      <c r="O54" s="45" t="inlineStr">
        <is>
          <t>Photo pending, run design/fetch-octnov-photos.py</t>
        </is>
      </c>
      <c r="P54" s="45" t="inlineStr">
        <is>
          <t>Ready</t>
        </is>
      </c>
      <c r="Q54" s="59" t="inlineStr"/>
    </row>
    <row r="55" ht="132" customHeight="1" s="42">
      <c r="A55" s="44" t="n">
        <v>46310</v>
      </c>
      <c r="B55" s="45" t="inlineStr">
        <is>
          <t>Thu</t>
        </is>
      </c>
      <c r="C55" s="45" t="inlineStr">
        <is>
          <t>IG: Real Lips. Real Results.</t>
        </is>
      </c>
      <c r="D55" s="45" t="inlineStr">
        <is>
          <t>Trust &amp; Proof</t>
        </is>
      </c>
      <c r="E55" s="46" t="inlineStr">
        <is>
          <t>Real lip filler results from the Oakville studio, shared with written client consent. Same lighting, same angle, no filter, no smoothing. Some are half a syringe. This is what the work actually looks like. On Instagram.</t>
        </is>
      </c>
      <c r="F55" s="45" t="n">
        <v>219</v>
      </c>
      <c r="G55" s="46" t="inlineStr">
        <is>
          <t>Real lips, real results, shared with written client consent.
Every comparison is the same lighting, the same angle and the same distance, with no filter and no smoothing. That is a low bar and it should be standard, but it is not, which is why the change in some of these will look smaller than what you see elsewhere. Smaller is the point.
A few of these are half a syringe. One is a correction of somebody else's work, and that is labelled, because it is a different job with a different starting point.
If you want to know what lip filler in Oakville actually looks like on ordinary faces rather than on a screen, this is the honest version. The full set is on Instagram, and consultations are booked from there.</t>
        </is>
      </c>
      <c r="H55" s="45" t="n">
        <v>718</v>
      </c>
      <c r="I55" s="45" t="inlineStr">
        <is>
          <t>Learn more</t>
        </is>
      </c>
      <c r="J55" s="47" t="inlineStr">
        <is>
          <t>@luxury_beauty_aestheticz</t>
        </is>
      </c>
      <c r="K55" s="45" t="inlineStr">
        <is>
          <t>2026-10-15-real-lips-real-results.jpg</t>
        </is>
      </c>
      <c r="L55" s="47" t="inlineStr">
        <is>
          <t>Open folder</t>
        </is>
      </c>
      <c r="M55" s="47" t="inlineStr">
        <is>
          <t>Open image</t>
        </is>
      </c>
      <c r="N55" s="45">
        <f>IMAGE("https://raw.githubusercontent.com/RepoKing23/InstagramCarousel/claude/serene-curie-xunco2/content/gbp/2026-10-15-real-lips-real-results.jpg")</f>
        <v/>
      </c>
      <c r="O55" s="45" t="inlineStr">
        <is>
          <t>Photo pending, run design/fetch-octnov-photos.py</t>
        </is>
      </c>
      <c r="P55" s="45" t="inlineStr">
        <is>
          <t>Ready</t>
        </is>
      </c>
      <c r="Q55" s="59" t="inlineStr"/>
    </row>
    <row r="56" ht="132" customHeight="1" s="42">
      <c r="A56" s="44" t="n">
        <v>46314</v>
      </c>
      <c r="B56" s="45" t="inlineStr">
        <is>
          <t>Mon</t>
        </is>
      </c>
      <c r="C56" s="45" t="inlineStr">
        <is>
          <t>IG: Electrolysis vs Laser Hair Removal: Which One Is Permanent?</t>
        </is>
      </c>
      <c r="D56" s="45" t="inlineStr">
        <is>
          <t>Education</t>
        </is>
      </c>
      <c r="E56" s="46" t="inlineStr">
        <is>
          <t>Electrolysis or laser hair removal? Laser reduces hair and needs dark hair against lighter skin. Electrolysis treats each follicle, works on every hair colour and skin tone, and is recognised for permanent removal. On Instagram.</t>
        </is>
      </c>
      <c r="F56" s="45" t="n">
        <v>228</v>
      </c>
      <c r="G56" s="46" t="inlineStr">
        <is>
          <t>Electrolysis and laser hair removal are often treated as the same thing. They are not, and choosing the right one saves time and money.
Laser heats the pigment in the hair to damage the follicle. It is fast over large areas, but it needs dark hair to target, so grey, white, blonde and red hairs do not respond, and it works best with contrast between skin and hair.
Electrolysis treats each follicle directly with a fine probe and a small current. It does not depend on hair colour or skin tone, and it is recognised as permanent hair removal rather than reduction.
For the face, brows and the stray hairs laser left behind, electrolysis is usually the better tool. Electrolysis consults are at the Oakville studio. The full comparison is on Instagram.</t>
        </is>
      </c>
      <c r="H56" s="45" t="n">
        <v>756</v>
      </c>
      <c r="I56" s="45" t="inlineStr">
        <is>
          <t>Learn more</t>
        </is>
      </c>
      <c r="J56" s="47" t="inlineStr">
        <is>
          <t>@luxury_beauty_aestheticz</t>
        </is>
      </c>
      <c r="K56" s="45" t="inlineStr">
        <is>
          <t>2026-10-19-electrolysis-vs-laser-hair-removal.jpg</t>
        </is>
      </c>
      <c r="L56" s="47" t="inlineStr">
        <is>
          <t>Open folder</t>
        </is>
      </c>
      <c r="M56" s="47" t="inlineStr">
        <is>
          <t>Open image</t>
        </is>
      </c>
      <c r="N56" s="45">
        <f>IMAGE("https://raw.githubusercontent.com/RepoKing23/InstagramCarousel/claude/serene-curie-xunco2/content/gbp/2026-10-19-electrolysis-vs-laser-hair-removal.jpg")</f>
        <v/>
      </c>
      <c r="O56" s="45" t="inlineStr">
        <is>
          <t>Photo pending, run design/fetch-octnov-photos.py</t>
        </is>
      </c>
      <c r="P56" s="45" t="inlineStr">
        <is>
          <t>Ready</t>
        </is>
      </c>
      <c r="Q56" s="59" t="inlineStr"/>
    </row>
    <row r="57" ht="132" customHeight="1" s="42">
      <c r="A57" s="44" t="n">
        <v>46315</v>
      </c>
      <c r="B57" s="45" t="inlineStr">
        <is>
          <t>Tue</t>
        </is>
      </c>
      <c r="C57" s="45" t="inlineStr">
        <is>
          <t>IG: How Long Do Dermal Fillers Last?</t>
        </is>
      </c>
      <c r="D57" s="45" t="inlineStr">
        <is>
          <t>Education</t>
        </is>
      </c>
      <c r="E57" s="46" t="inlineStr">
        <is>
          <t>How long do dermal fillers last? Lips move all day and usually hold six to twelve months. Cheeks and chin often last a year or more. Your metabolism and the product matter too, so top ups should be planned, not automatic.</t>
        </is>
      </c>
      <c r="F57" s="45" t="n">
        <v>221</v>
      </c>
      <c r="G57" s="46" t="inlineStr">
        <is>
          <t>How long do dermal fillers last? The honest answer is that it depends on where they are placed.
Lips move all day, every day, talking and eating, and that movement breaks hyaluronic acid filler down faster. Most lip filler lasts roughly six to twelve months. Cheeks and chin move far less, and filler there often lasts a year or more.
The product matters, because firmer fillers made for structure tend to last longer than soft ones made for lips. Your own metabolism matters too, and very active people sometimes notice a shorter run.
What should not happen is a top up on a timer. At the Oakville studio a top up is booked when your face needs it, not because a date came round. More on Instagram.</t>
        </is>
      </c>
      <c r="H57" s="45" t="n">
        <v>702</v>
      </c>
      <c r="I57" s="45" t="inlineStr">
        <is>
          <t>Learn more</t>
        </is>
      </c>
      <c r="J57" s="47" t="inlineStr">
        <is>
          <t>@luxury_beauty_aestheticz</t>
        </is>
      </c>
      <c r="K57" s="45" t="inlineStr">
        <is>
          <t>2026-10-20-how-long-does-dermal-filler-last.jpg</t>
        </is>
      </c>
      <c r="L57" s="47" t="inlineStr">
        <is>
          <t>Open folder</t>
        </is>
      </c>
      <c r="M57" s="47" t="inlineStr">
        <is>
          <t>Open image</t>
        </is>
      </c>
      <c r="N57" s="45">
        <f>IMAGE("https://raw.githubusercontent.com/RepoKing23/InstagramCarousel/claude/serene-curie-xunco2/content/gbp/2026-10-20-how-long-does-dermal-filler-last.jpg")</f>
        <v/>
      </c>
      <c r="O57" s="45" t="inlineStr">
        <is>
          <t>Photo pending, run design/fetch-octnov-photos.py</t>
        </is>
      </c>
      <c r="P57" s="45" t="inlineStr">
        <is>
          <t>Ready</t>
        </is>
      </c>
      <c r="Q57" s="59" t="inlineStr"/>
    </row>
    <row r="58" ht="132" customHeight="1" s="42">
      <c r="A58" s="44" t="n">
        <v>46316</v>
      </c>
      <c r="B58" s="45" t="inlineStr">
        <is>
          <t>Wed</t>
        </is>
      </c>
      <c r="C58" s="45" t="inlineStr">
        <is>
          <t>IG: A Luxury Med Spa in Oakville, Without the Rush</t>
        </is>
      </c>
      <c r="D58" s="45" t="inlineStr">
        <is>
          <t>Trust &amp; Proof</t>
        </is>
      </c>
      <c r="E58" s="46" t="inlineStr">
        <is>
          <t>Luxury at an Oakville med spa is not marble or a chandelier. It is time: a private studio, one client at a time, a nurse practitioner who is never double booked, and nobody rushing you out. See the studio on Instagram.</t>
        </is>
      </c>
      <c r="F58" s="45" t="n">
        <v>218</v>
      </c>
      <c r="G58" s="46" t="inlineStr">
        <is>
          <t>What makes a luxury med spa in Oakville? It is not the chandelier. It is time.
At Luxury Beauty by Cleo R the studio books one client at a time. There is no shared waiting room, no rushing the person before you, and no rushing you. Your appointment is with a nurse practitioner who is never double booked, so questions get answered properly instead of on the way to the door.
The room is private and calm, the consult comes before any treatment, and the plan is written for your face rather than pulled from a menu.
If you have been looking for a luxury spa experience in Oakville for Botox, dermal filler or electrolysis, this is what it looks like. 3060 Preserve Dr, with parking at the door. See the studio on Instagram.</t>
        </is>
      </c>
      <c r="H58" s="45" t="n">
        <v>726</v>
      </c>
      <c r="I58" s="45" t="inlineStr">
        <is>
          <t>Learn more</t>
        </is>
      </c>
      <c r="J58" s="47" t="inlineStr">
        <is>
          <t>@luxury_beauty_aestheticz</t>
        </is>
      </c>
      <c r="K58" s="45" t="inlineStr">
        <is>
          <t>2026-10-21-luxury-med-spa-oakville.jpg</t>
        </is>
      </c>
      <c r="L58" s="47" t="inlineStr">
        <is>
          <t>Open folder</t>
        </is>
      </c>
      <c r="M58" s="47" t="inlineStr">
        <is>
          <t>Open image</t>
        </is>
      </c>
      <c r="N58" s="45">
        <f>IMAGE("https://raw.githubusercontent.com/RepoKing23/InstagramCarousel/claude/serene-curie-xunco2/content/gbp/2026-10-21-luxury-med-spa-oakville.jpg")</f>
        <v/>
      </c>
      <c r="O58" s="45" t="inlineStr">
        <is>
          <t>Photo pending, run design/fetch-octnov-photos.py</t>
        </is>
      </c>
      <c r="P58" s="45" t="inlineStr">
        <is>
          <t>Ready</t>
        </is>
      </c>
      <c r="Q58" s="59" t="inlineStr"/>
    </row>
    <row r="59" ht="132" customHeight="1" s="42">
      <c r="A59" s="44" t="n">
        <v>46317</v>
      </c>
      <c r="B59" s="45" t="inlineStr">
        <is>
          <t>Thu</t>
        </is>
      </c>
      <c r="C59" s="45" t="inlineStr">
        <is>
          <t>IG: Lip Filler Aftercare: Your First Week</t>
        </is>
      </c>
      <c r="D59" s="45" t="inlineStr">
        <is>
          <t>Education</t>
        </is>
      </c>
      <c r="E59" s="46" t="inlineStr">
        <is>
          <t>Lip filler aftercare for the first week. Ice on and off for the first day, sleep propped up, no gym, sauna or hot yoga for 48 hours, no pressing or massaging unless asked, and keep the water up. Save the post on Instagram.</t>
        </is>
      </c>
      <c r="F59" s="45" t="n">
        <v>222</v>
      </c>
      <c r="G59" s="46" t="inlineStr">
        <is>
          <t>Your first week after lip filler, in the order it matters.
First 48 hours: ice on and off, sleep propped up on an extra pillow, and skip the gym, sauna and hot yoga because heat and blood flow both make swelling worse. Do not press, pinch or massage the lips unless you were specifically told to. No dental work, and hold off on flying if you can.
Drink more water than usual. Hyaluronic acid draws water, and dehydrated lips feel tighter and look flatter.
After 48 hours you are essentially back to normal. Small lumps in the first week are common and usually resolve on their own, but message rather than sitting and worrying. Every dermal filler client at the Oakville studio leaves with this in writing. Save it from Instagram.</t>
        </is>
      </c>
      <c r="H59" s="45" t="n">
        <v>734</v>
      </c>
      <c r="I59" s="45" t="inlineStr">
        <is>
          <t>Learn more</t>
        </is>
      </c>
      <c r="J59" s="47" t="inlineStr">
        <is>
          <t>@luxury_beauty_aestheticz</t>
        </is>
      </c>
      <c r="K59" s="45" t="inlineStr">
        <is>
          <t>2026-10-22-lip-filler-aftercare-your-first-week.jpg</t>
        </is>
      </c>
      <c r="L59" s="47" t="inlineStr">
        <is>
          <t>Open folder</t>
        </is>
      </c>
      <c r="M59" s="47" t="inlineStr">
        <is>
          <t>Open image</t>
        </is>
      </c>
      <c r="N59" s="45">
        <f>IMAGE("https://raw.githubusercontent.com/RepoKing23/InstagramCarousel/claude/serene-curie-xunco2/content/gbp/2026-10-22-lip-filler-aftercare-your-first-week.jpg")</f>
        <v/>
      </c>
      <c r="O59" s="45" t="inlineStr">
        <is>
          <t>Photo pending, run design/fetch-octnov-photos.py</t>
        </is>
      </c>
      <c r="P59" s="45" t="inlineStr">
        <is>
          <t>Ready</t>
        </is>
      </c>
      <c r="Q59" s="59" t="inlineStr"/>
    </row>
    <row r="60" ht="132" customHeight="1" s="42">
      <c r="A60" s="44" t="n">
        <v>46321</v>
      </c>
      <c r="B60" s="45" t="inlineStr">
        <is>
          <t>Mon</t>
        </is>
      </c>
      <c r="C60" s="45" t="inlineStr">
        <is>
          <t>IG: Botox for Men in Oakville</t>
        </is>
      </c>
      <c r="D60" s="45" t="inlineStr">
        <is>
          <t>Education</t>
        </is>
      </c>
      <c r="E60" s="46" t="inlineStr">
        <is>
          <t>Botox for men in Oakville. Men usually need a different dose, the brows are kept low and masculine, and the goal is looking less tired, not treated. Ten minutes, no downtime, private studio. More on Instagram.</t>
        </is>
      </c>
      <c r="F60" s="45" t="n">
        <v>209</v>
      </c>
      <c r="G60" s="46" t="inlineStr">
        <is>
          <t>Botox for men is one of the most common appointments at the Oakville studio, and one of the least talked about.
Men usually need a different dose. Male facial muscles tend to be stronger, and a template dose is why some men walk away underwhelmed. The brows are kept low and flat on purpose, because arching a man's brows is the quickest way to make Botox obvious.
Most men are not chasing wrinkles. They want to stop looking stressed, tired or angry in photos, and softening the frown line does most of that.
The treatment takes about ten minutes with no downtime, and results build over two weeks, so there is no reveal day. Private appointments, one client at a time, with a nurse practitioner in Oakville. More on Instagram.</t>
        </is>
      </c>
      <c r="H60" s="45" t="n">
        <v>731</v>
      </c>
      <c r="I60" s="45" t="inlineStr">
        <is>
          <t>Learn more</t>
        </is>
      </c>
      <c r="J60" s="47" t="inlineStr">
        <is>
          <t>@luxury_beauty_aestheticz</t>
        </is>
      </c>
      <c r="K60" s="45" t="inlineStr">
        <is>
          <t>2026-10-26-botox-for-men-oakville.jpg</t>
        </is>
      </c>
      <c r="L60" s="47" t="inlineStr">
        <is>
          <t>Open folder</t>
        </is>
      </c>
      <c r="M60" s="47" t="inlineStr">
        <is>
          <t>Open image</t>
        </is>
      </c>
      <c r="N60" s="45">
        <f>IMAGE("https://raw.githubusercontent.com/RepoKing23/InstagramCarousel/claude/serene-curie-xunco2/content/gbp/2026-10-26-botox-for-men-oakville.jpg")</f>
        <v/>
      </c>
      <c r="O60" s="45" t="inlineStr">
        <is>
          <t>Photo pending, run design/fetch-octnov-photos.py</t>
        </is>
      </c>
      <c r="P60" s="45" t="inlineStr">
        <is>
          <t>Ready</t>
        </is>
      </c>
      <c r="Q60" s="59" t="inlineStr"/>
    </row>
    <row r="61" ht="132" customHeight="1" s="42">
      <c r="A61" s="44" t="n">
        <v>46322</v>
      </c>
      <c r="B61" s="45" t="inlineStr">
        <is>
          <t>Tue</t>
        </is>
      </c>
      <c r="C61" s="45" t="inlineStr">
        <is>
          <t>IG: How Many Electrolysis Sessions Will I Need?</t>
        </is>
      </c>
      <c r="D61" s="45" t="inlineStr">
        <is>
          <t>Education</t>
        </is>
      </c>
      <c r="E61" s="46" t="inlineStr">
        <is>
          <t>How many electrolysis sessions will you need? It is a course, not one visit, because hair grows in cycles and not every follicle is active at once. Area, density and hormones change the number. Ask about your area on Instagram.</t>
        </is>
      </c>
      <c r="F61" s="45" t="n">
        <v>227</v>
      </c>
      <c r="G61" s="46" t="inlineStr">
        <is>
          <t>How many electrolysis sessions will you need? The honest answer is a range, and it depends on you.
Hair grows in cycles, and at any moment only some of your follicles are actively growing a hair. Electrolysis treats the hairs that are visible, so the others are treated as they surface over the following weeks. That is why electrolysis is a course of sessions rather than a single visit.
The area matters, and so does how dense the hair is. Hormones matter too, and years of waxing or tweezing can make some hairs deeper and more stubborn. Sessions are usually short and get shorter as the course goes on.
At the Oakville studio you get an honest estimate for your area at your consult, not a package sold on day one. Ask on Instagram.</t>
        </is>
      </c>
      <c r="H61" s="45" t="n">
        <v>739</v>
      </c>
      <c r="I61" s="45" t="inlineStr">
        <is>
          <t>Learn more</t>
        </is>
      </c>
      <c r="J61" s="47" t="inlineStr">
        <is>
          <t>@luxury_beauty_aestheticz</t>
        </is>
      </c>
      <c r="K61" s="45" t="inlineStr">
        <is>
          <t>2026-10-27-how-many-electrolysis-sessions.jpg</t>
        </is>
      </c>
      <c r="L61" s="47" t="inlineStr">
        <is>
          <t>Open folder</t>
        </is>
      </c>
      <c r="M61" s="47" t="inlineStr">
        <is>
          <t>Open image</t>
        </is>
      </c>
      <c r="N61" s="45">
        <f>IMAGE("https://raw.githubusercontent.com/RepoKing23/InstagramCarousel/claude/serene-curie-xunco2/content/gbp/2026-10-27-how-many-electrolysis-sessions.jpg")</f>
        <v/>
      </c>
      <c r="O61" s="45" t="inlineStr">
        <is>
          <t>Photo pending, run design/fetch-octnov-photos.py</t>
        </is>
      </c>
      <c r="P61" s="45" t="inlineStr">
        <is>
          <t>Ready</t>
        </is>
      </c>
      <c r="Q61" s="59" t="inlineStr"/>
    </row>
    <row r="62" ht="132" customHeight="1" s="42">
      <c r="A62" s="44" t="n">
        <v>46323</v>
      </c>
      <c r="B62" s="45" t="inlineStr">
        <is>
          <t>Wed</t>
        </is>
      </c>
      <c r="C62" s="45" t="inlineStr">
        <is>
          <t>IG: Client Words: The Lip Glow-Up</t>
        </is>
      </c>
      <c r="D62" s="45" t="inlineStr">
        <is>
          <t>Trust &amp; Proof</t>
        </is>
      </c>
      <c r="E62" s="46" t="inlineStr">
        <is>
          <t>In her words, shared with consent: she wanted lips that looked like hers on a good day, and nobody at work has asked what she had done. That is the brief, met. Her result is on Instagram beside it.</t>
        </is>
      </c>
      <c r="F62" s="45" t="n">
        <v>197</v>
      </c>
      <c r="G62" s="46" t="inlineStr">
        <is>
          <t>Her words, shared with her written consent.
What she asked for was lips that looked like hers on a good day. Not bigger, not a shape saved from someone else. She had talked herself out of it twice, both times because of results she had seen on other people and did not want.
We used less than one syringe, in a single appointment, and reviewed at two weeks.
The line from her review worth repeating: nobody at work has asked what she had done, and two people have asked if she has been sleeping better. That is the brief, met exactly. Her result is posted beside her words on Instagram, with permission. Lip filler and dermal filler consultations in Oakville are booked from there.</t>
        </is>
      </c>
      <c r="H62" s="45" t="n">
        <v>684</v>
      </c>
      <c r="I62" s="45" t="inlineStr">
        <is>
          <t>Learn more</t>
        </is>
      </c>
      <c r="J62" s="47" t="inlineStr">
        <is>
          <t>@luxury_beauty_aestheticz</t>
        </is>
      </c>
      <c r="K62" s="45" t="inlineStr">
        <is>
          <t>2026-10-28-client-words-the-lip-glow-up.jpg</t>
        </is>
      </c>
      <c r="L62" s="47" t="inlineStr">
        <is>
          <t>Open folder</t>
        </is>
      </c>
      <c r="M62" s="47" t="inlineStr">
        <is>
          <t>Open image</t>
        </is>
      </c>
      <c r="N62" s="45">
        <f>IMAGE("https://raw.githubusercontent.com/RepoKing23/InstagramCarousel/claude/serene-curie-xunco2/content/gbp/2026-10-28-client-words-the-lip-glow-up.jpg")</f>
        <v/>
      </c>
      <c r="O62" s="45" t="inlineStr">
        <is>
          <t>Photo pending, run design/fetch-octnov-photos.py</t>
        </is>
      </c>
      <c r="P62" s="45" t="inlineStr">
        <is>
          <t>Ready</t>
        </is>
      </c>
      <c r="Q62" s="59" t="inlineStr"/>
    </row>
    <row r="63" ht="132" customHeight="1" s="42">
      <c r="A63" s="44" t="n">
        <v>46324</v>
      </c>
      <c r="B63" s="45" t="inlineStr">
        <is>
          <t>Thu</t>
        </is>
      </c>
      <c r="C63" s="45" t="inlineStr">
        <is>
          <t>IG: Facial Balancing with Dermal Fillers: Faces, Not Lines</t>
        </is>
      </c>
      <c r="D63" s="45" t="inlineStr">
        <is>
          <t>Trust &amp; Proof</t>
        </is>
      </c>
      <c r="E63" s="46" t="inlineStr">
        <is>
          <t>Facial balancing with dermal fillers treats the whole face, not one line at a time. Supporting the chin or cheeks often changes how the lips and mouth read. Less product, placed in the right two or three places. On Instagram.</t>
        </is>
      </c>
      <c r="F63" s="45" t="n">
        <v>225</v>
      </c>
      <c r="G63" s="46" t="inlineStr">
        <is>
          <t>Facial balancing uses dermal fillers to bring your features into proportion with each other, rather than filling one line at a time.
The features of a face are read together. A soft chin can make lips look too full or a nose look larger, so supporting the chin is sometimes the whole answer. A little cheek support can soften the lines around the mouth without putting filler into those lines at all.
It is rarely about lots of product. It is about the right amount in the two or three places that change how everything else reads, often staged across visits and reviewed at two weeks.
Facial balancing consults at the Oakville studio start with photographs and an honest conversation, and you leave with a plan either way. More on Instagram.</t>
        </is>
      </c>
      <c r="H63" s="45" t="n">
        <v>745</v>
      </c>
      <c r="I63" s="45" t="inlineStr">
        <is>
          <t>Learn more</t>
        </is>
      </c>
      <c r="J63" s="47" t="inlineStr">
        <is>
          <t>@luxury_beauty_aestheticz</t>
        </is>
      </c>
      <c r="K63" s="45" t="inlineStr">
        <is>
          <t>2026-10-29-facial-balancing-dermal-fillers.jpg</t>
        </is>
      </c>
      <c r="L63" s="47" t="inlineStr">
        <is>
          <t>Open folder</t>
        </is>
      </c>
      <c r="M63" s="47" t="inlineStr">
        <is>
          <t>Open image</t>
        </is>
      </c>
      <c r="N63" s="45">
        <f>IMAGE("https://raw.githubusercontent.com/RepoKing23/InstagramCarousel/claude/serene-curie-xunco2/content/gbp/2026-10-29-facial-balancing-dermal-fillers.jpg")</f>
        <v/>
      </c>
      <c r="O63" s="45" t="inlineStr">
        <is>
          <t>Photo pending, run design/fetch-octnov-photos.py</t>
        </is>
      </c>
      <c r="P63" s="45" t="inlineStr">
        <is>
          <t>Ready</t>
        </is>
      </c>
      <c r="Q63" s="59" t="inlineStr"/>
    </row>
    <row r="64" ht="132" customHeight="1" s="42">
      <c r="A64" s="44" t="n">
        <v>46328</v>
      </c>
      <c r="B64" s="45" t="inlineStr">
        <is>
          <t>Mon</t>
        </is>
      </c>
      <c r="C64" s="45" t="inlineStr">
        <is>
          <t>IG: Botox Before the Holidays: Your Oakville Booking Timeline</t>
        </is>
      </c>
      <c r="D64" s="45" t="inlineStr">
        <is>
          <t>Promo &amp; CTA</t>
        </is>
      </c>
      <c r="E64" s="46" t="inlineStr">
        <is>
          <t>Planning Botox before a holiday event in Oakville? Results settle at two weeks, and you want your review done before the party. Book three to four weeks ahead, and four to six if it is your first time. Dates on Instagram.</t>
        </is>
      </c>
      <c r="F64" s="45" t="n">
        <v>221</v>
      </c>
      <c r="G64" s="46" t="inlineStr">
        <is>
          <t>Planning Botox in Oakville before a holiday party? Work backwards from the date.
Botox starts to work around day three to five and settles fully at two weeks. That two week point is also when your review happens, which is when small adjustments are made. For both to land before your event, book three to four weeks ahead.
If it is your first time, give yourself four to six weeks so you know how your face responds before any photos. Dermal filler needs a little longer again, because swelling can take up to two weeks to settle.
Late November and early December are the busiest weeks of the year at the studio, and the calm appointment times go first. Send your event date on Instagram for the latest day to book.</t>
        </is>
      </c>
      <c r="H64" s="45" t="n">
        <v>718</v>
      </c>
      <c r="I64" s="45" t="inlineStr">
        <is>
          <t>Learn more</t>
        </is>
      </c>
      <c r="J64" s="47" t="inlineStr">
        <is>
          <t>@luxury_beauty_aestheticz</t>
        </is>
      </c>
      <c r="K64" s="45" t="inlineStr">
        <is>
          <t>2026-11-02-botox-before-the-holidays-timeline.jpg</t>
        </is>
      </c>
      <c r="L64" s="47" t="inlineStr">
        <is>
          <t>Open folder</t>
        </is>
      </c>
      <c r="M64" s="47" t="inlineStr">
        <is>
          <t>Open image</t>
        </is>
      </c>
      <c r="N64" s="45">
        <f>IMAGE("https://raw.githubusercontent.com/RepoKing23/InstagramCarousel/claude/serene-curie-xunco2/content/gbp/2026-11-02-botox-before-the-holidays-timeline.jpg")</f>
        <v/>
      </c>
      <c r="O64" s="45" t="inlineStr">
        <is>
          <t>Photo pending, run design/fetch-octnov-photos.py</t>
        </is>
      </c>
      <c r="P64" s="45" t="inlineStr">
        <is>
          <t>Ready</t>
        </is>
      </c>
      <c r="Q64" s="59" t="inlineStr"/>
    </row>
    <row r="65" ht="132" customHeight="1" s="42">
      <c r="A65" s="44" t="n">
        <v>46329</v>
      </c>
      <c r="B65" s="45" t="inlineStr">
        <is>
          <t>Tue</t>
        </is>
      </c>
      <c r="C65" s="45" t="inlineStr">
        <is>
          <t>IG: Electrolysis Aftercare: The First 48 Hours</t>
        </is>
      </c>
      <c r="D65" s="45" t="inlineStr">
        <is>
          <t>Education</t>
        </is>
      </c>
      <c r="E65" s="46" t="inlineStr">
        <is>
          <t>Electrolysis aftercare for the first 48 hours: redness or small bumps are normal, keep hands off, skip makeup on the area if you can, and avoid heat, sun and exfoliating. Between sessions, trim or shave, never tweeze. On Instagram.</t>
        </is>
      </c>
      <c r="F65" s="45" t="n">
        <v>231</v>
      </c>
      <c r="G65" s="46" t="inlineStr">
        <is>
          <t>Electrolysis aftercare is simple, and it makes a real difference to how your skin looks between sessions.
Some redness or small raised bumps for a few hours after facial electrolysis is normal. For the next 48 hours keep your hands off the area, skip makeup there if you can, and avoid saunas, hot workouts, direct sun and exfoliating products. Do not pick at anything that forms, and let it settle on its own.
Between sessions, trim or shave if you need to, but do not tweeze or wax. Pulling the hair out removes the very hair we need to see and treat, and can distort the follicle.
Every electrolysis client at the Oakville studio leaves with aftercare in writing. Save the post on Instagram for later.</t>
        </is>
      </c>
      <c r="H65" s="45" t="n">
        <v>707</v>
      </c>
      <c r="I65" s="45" t="inlineStr">
        <is>
          <t>Learn more</t>
        </is>
      </c>
      <c r="J65" s="47" t="inlineStr">
        <is>
          <t>@luxury_beauty_aestheticz</t>
        </is>
      </c>
      <c r="K65" s="45" t="inlineStr">
        <is>
          <t>2026-11-03-electrolysis-aftercare.jpg</t>
        </is>
      </c>
      <c r="L65" s="47" t="inlineStr">
        <is>
          <t>Open folder</t>
        </is>
      </c>
      <c r="M65" s="47" t="inlineStr">
        <is>
          <t>Open image</t>
        </is>
      </c>
      <c r="N65" s="45">
        <f>IMAGE("https://raw.githubusercontent.com/RepoKing23/InstagramCarousel/claude/serene-curie-xunco2/content/gbp/2026-11-03-electrolysis-aftercare.jpg")</f>
        <v/>
      </c>
      <c r="O65" s="45" t="inlineStr">
        <is>
          <t>Photo pending, run design/fetch-octnov-photos.py</t>
        </is>
      </c>
      <c r="P65" s="45" t="inlineStr">
        <is>
          <t>Ready</t>
        </is>
      </c>
      <c r="Q65" s="59" t="inlineStr"/>
    </row>
    <row r="66" ht="132" customHeight="1" s="42">
      <c r="A66" s="44" t="n">
        <v>46330</v>
      </c>
      <c r="B66" s="45" t="inlineStr">
        <is>
          <t>Wed</t>
        </is>
      </c>
      <c r="C66" s="45" t="inlineStr">
        <is>
          <t>IG: One Syringe. Balanced Lips.</t>
        </is>
      </c>
      <c r="D66" s="45" t="inlineStr">
        <is>
          <t>Trust &amp; Proof</t>
        </is>
      </c>
      <c r="E66" s="46" t="inlineStr">
        <is>
          <t>One syringe, one appointment, photographed two weeks apart in the same light. The upper lip was short against the lower, so the work was ratio rather than volume. Shared with client consent on Instagram.</t>
        </is>
      </c>
      <c r="F66" s="45" t="n">
        <v>203</v>
      </c>
      <c r="G66" s="46" t="inlineStr">
        <is>
          <t>One syringe, one appointment, and the photos are two weeks apart in the same light.
The brief was balance rather than size. Her upper lip sat short against the lower, which made the whole mouth read slightly downturned in photos. The work was ratio: height in the upper lip, support at the corners, nothing added for the sake of volume.
Same lighting, same angle, no filter and no smoothing on either frame.
If you look at these and think the change is subtle, that is the correct reaction and the reason she is happy with it. Shared with her written consent, on Instagram. Lip filler and dermal filler consultations in Oakville are booked from there, and half syringes are a real option.</t>
        </is>
      </c>
      <c r="H66" s="45" t="n">
        <v>691</v>
      </c>
      <c r="I66" s="45" t="inlineStr">
        <is>
          <t>Learn more</t>
        </is>
      </c>
      <c r="J66" s="47" t="inlineStr">
        <is>
          <t>@luxury_beauty_aestheticz</t>
        </is>
      </c>
      <c r="K66" s="45" t="inlineStr">
        <is>
          <t>2026-11-04-one-syringe-balanced-lips.jpg</t>
        </is>
      </c>
      <c r="L66" s="47" t="inlineStr">
        <is>
          <t>Open folder</t>
        </is>
      </c>
      <c r="M66" s="47" t="inlineStr">
        <is>
          <t>Open image</t>
        </is>
      </c>
      <c r="N66" s="45">
        <f>IMAGE("https://raw.githubusercontent.com/RepoKing23/InstagramCarousel/claude/serene-curie-xunco2/content/gbp/2026-11-04-one-syringe-balanced-lips.jpg")</f>
        <v/>
      </c>
      <c r="O66" s="45" t="inlineStr">
        <is>
          <t>Photo pending, run design/fetch-octnov-photos.py</t>
        </is>
      </c>
      <c r="P66" s="45" t="inlineStr">
        <is>
          <t>Ready</t>
        </is>
      </c>
      <c r="Q66" s="59" t="inlineStr"/>
    </row>
    <row r="67" ht="132" customHeight="1" s="42">
      <c r="A67" s="44" t="n">
        <v>46331</v>
      </c>
      <c r="B67" s="45" t="inlineStr">
        <is>
          <t>Thu</t>
        </is>
      </c>
      <c r="C67" s="45" t="inlineStr">
        <is>
          <t>IG: Party Season Prep: Botox, Filler and Electrolysis, Planned Backwards</t>
        </is>
      </c>
      <c r="D67" s="45" t="inlineStr">
        <is>
          <t>Promo &amp; CTA</t>
        </is>
      </c>
      <c r="E67" s="46" t="inlineStr">
        <is>
          <t>Party season prep at an Oakville med spa, planned backwards: electrolysis eight weeks out, dermal filler four to six weeks, Botox three to four weeks, and nothing new in the final week. The full plan is on Instagram.</t>
        </is>
      </c>
      <c r="F67" s="45" t="n">
        <v>216</v>
      </c>
      <c r="G67" s="46" t="inlineStr">
        <is>
          <t>Party season prep works best planned backwards from your first event.
Electrolysis goes first because it is a course of sessions, and starting around eight weeks out means fewer stray hairs by December rather than a red chin the night before. Dermal filler comes next, four to six weeks ahead, because swelling needs up to two weeks to settle and your review needs a slot after that.
Botox follows three to four weeks out. It settles at two weeks, with a check in straight after, which lands right before the first party. The final week is for nothing new at all.
The Oakville studio books one client at a time, and the calm slots go first in late November. Send your event date on Instagram for a plan.</t>
        </is>
      </c>
      <c r="H67" s="45" t="n">
        <v>706</v>
      </c>
      <c r="I67" s="45" t="inlineStr">
        <is>
          <t>Learn more</t>
        </is>
      </c>
      <c r="J67" s="47" t="inlineStr">
        <is>
          <t>@luxury_beauty_aestheticz</t>
        </is>
      </c>
      <c r="K67" s="45" t="inlineStr">
        <is>
          <t>2026-11-05-party-season-prep-plan.jpg</t>
        </is>
      </c>
      <c r="L67" s="47" t="inlineStr">
        <is>
          <t>Open folder</t>
        </is>
      </c>
      <c r="M67" s="47" t="inlineStr">
        <is>
          <t>Open image</t>
        </is>
      </c>
      <c r="N67" s="45">
        <f>IMAGE("https://raw.githubusercontent.com/RepoKing23/InstagramCarousel/claude/serene-curie-xunco2/content/gbp/2026-11-05-party-season-prep-plan.jpg")</f>
        <v/>
      </c>
      <c r="O67" s="45" t="inlineStr">
        <is>
          <t>Photo pending, run design/fetch-octnov-photos.py</t>
        </is>
      </c>
      <c r="P67" s="45" t="inlineStr">
        <is>
          <t>Ready</t>
        </is>
      </c>
      <c r="Q67" s="59" t="inlineStr"/>
    </row>
    <row r="68" ht="132" customHeight="1" s="42">
      <c r="A68" s="44" t="n">
        <v>46335</v>
      </c>
      <c r="B68" s="45" t="inlineStr">
        <is>
          <t>Mon</t>
        </is>
      </c>
      <c r="C68" s="45" t="inlineStr">
        <is>
          <t>IG: Under-Eye Filler: The Honest Truth</t>
        </is>
      </c>
      <c r="D68" s="45" t="inlineStr">
        <is>
          <t>Education</t>
        </is>
      </c>
      <c r="E68" s="46" t="inlineStr">
        <is>
          <t>Under eye filler, honestly: it softens hollows and shadows well, but it does not fix puffy bags, dark pigment or loose skin, and can make puffiness worse. How to tell which you have before booking dermal fillers. On Instagram.</t>
        </is>
      </c>
      <c r="F68" s="45" t="n">
        <v>226</v>
      </c>
      <c r="G68" s="46" t="inlineStr">
        <is>
          <t>Under eye filler is one of the most requested dermal filler treatments, and one of the most misunderstood.
It works well for hollows. If your tired look comes from a groove or shadow beneath the eye, a very small amount of filler placed deep and slowly can soften it beautifully.
It does not fix puffiness. Bags are often fat or fluid, and adding filler can make them look larger. It does not fix pigment either, because brown or purple darkness in the skin is colour, not missing volume. Sometimes supporting the mid cheek lifts the shadow without touching the under eye at all.
Under eye assessments at the Oakville studio are honest, including when the answer is no. More on Instagram.</t>
        </is>
      </c>
      <c r="H68" s="45" t="n">
        <v>691</v>
      </c>
      <c r="I68" s="45" t="inlineStr">
        <is>
          <t>Learn more</t>
        </is>
      </c>
      <c r="J68" s="47" t="inlineStr">
        <is>
          <t>@luxury_beauty_aestheticz</t>
        </is>
      </c>
      <c r="K68" s="45" t="inlineStr">
        <is>
          <t>2026-11-09-under-eye-filler-honest-truth.jpg</t>
        </is>
      </c>
      <c r="L68" s="47" t="inlineStr">
        <is>
          <t>Open folder</t>
        </is>
      </c>
      <c r="M68" s="47" t="inlineStr">
        <is>
          <t>Open image</t>
        </is>
      </c>
      <c r="N68" s="45">
        <f>IMAGE("https://raw.githubusercontent.com/RepoKing23/InstagramCarousel/claude/serene-curie-xunco2/content/gbp/2026-11-09-under-eye-filler-honest-truth.jpg")</f>
        <v/>
      </c>
      <c r="O68" s="45" t="inlineStr">
        <is>
          <t>Photo pending, run design/fetch-octnov-photos.py</t>
        </is>
      </c>
      <c r="P68" s="45" t="inlineStr">
        <is>
          <t>Ready</t>
        </is>
      </c>
      <c r="Q68" s="59" t="inlineStr"/>
    </row>
    <row r="69" ht="132" customHeight="1" s="42">
      <c r="A69" s="44" t="n">
        <v>46336</v>
      </c>
      <c r="B69" s="45" t="inlineStr">
        <is>
          <t>Tue</t>
        </is>
      </c>
      <c r="C69" s="45" t="inlineStr">
        <is>
          <t>IG: Gift Certificates at Our Oakville Med Spa</t>
        </is>
      </c>
      <c r="D69" s="45" t="inlineStr">
        <is>
          <t>Promo &amp; CTA</t>
        </is>
      </c>
      <c r="E69" s="46" t="inlineStr">
        <is>
          <t>Gift certificates are now available at Luxury Beauty by Cleo R, a luxury med spa in Oakville. Any amount, for Botox, dermal filler or electrolysis, always starting with a consult. The present nobody returns. Order on Instagram.</t>
        </is>
      </c>
      <c r="F69" s="45" t="n">
        <v>227</v>
      </c>
      <c r="G69" s="46" t="inlineStr">
        <is>
          <t>Gift certificates are now available at Luxury Beauty by Cleo R, a private luxury med spa in Oakville.
They come in any amount and can be used for any treatment at the studio, whether that is Botox, dermal filler or electrolysis. Every certificate starts with a consult, so the person receiving it gets a plan built for their face rather than a treatment picked by guesswork, and nobody is pushed into anything they did not want.
It is the rare present that feels generous without being another thing to find room for. Nobody returns it.
The studio is at 3060 Preserve Dr with parking at the door, a short drive from Burlington, Milton and Mississauga. Order a gift certificate through Instagram and it can be ready for pick up or sent by email.</t>
        </is>
      </c>
      <c r="H69" s="45" t="n">
        <v>747</v>
      </c>
      <c r="I69" s="45" t="inlineStr">
        <is>
          <t>Learn more</t>
        </is>
      </c>
      <c r="J69" s="47" t="inlineStr">
        <is>
          <t>@luxury_beauty_aestheticz</t>
        </is>
      </c>
      <c r="K69" s="45" t="inlineStr">
        <is>
          <t>2026-11-10-gift-certificates-oakville-med-spa.jpg</t>
        </is>
      </c>
      <c r="L69" s="47" t="inlineStr">
        <is>
          <t>Open folder</t>
        </is>
      </c>
      <c r="M69" s="47" t="inlineStr">
        <is>
          <t>Open image</t>
        </is>
      </c>
      <c r="N69" s="45">
        <f>IMAGE("https://raw.githubusercontent.com/RepoKing23/InstagramCarousel/claude/serene-curie-xunco2/content/gbp/2026-11-10-gift-certificates-oakville-med-spa.jpg")</f>
        <v/>
      </c>
      <c r="O69" s="45" t="inlineStr">
        <is>
          <t>Photo pending, run design/fetch-octnov-photos.py</t>
        </is>
      </c>
      <c r="P69" s="45" t="inlineStr">
        <is>
          <t>Ready</t>
        </is>
      </c>
      <c r="Q69" s="59" t="inlineStr"/>
    </row>
    <row r="70" ht="132" customHeight="1" s="42">
      <c r="A70" s="44" t="n">
        <v>46337</v>
      </c>
      <c r="B70" s="45" t="inlineStr">
        <is>
          <t>Wed</t>
        </is>
      </c>
      <c r="C70" s="45" t="inlineStr">
        <is>
          <t>IG: Why Cleo Says No</t>
        </is>
      </c>
      <c r="D70" s="45" t="inlineStr">
        <is>
          <t>Trust &amp; Proof</t>
        </is>
      </c>
      <c r="E70" s="46" t="inlineStr">
        <is>
          <t>Cleo, the nurse practitioner at Luxury Beauty by Cleo R in Oakville, says no more often than people expect: not yet, not this, or not with me. It is the part of the job that protects your face most. More on Instagram.</t>
        </is>
      </c>
      <c r="F70" s="45" t="n">
        <v>217</v>
      </c>
      <c r="G70" s="46" t="inlineStr">
        <is>
          <t>Cleo, the nurse practitioner behind Luxury Beauty by Cleo R in Oakville, says no more often than people expect.
Sometimes it is not yet, because a line is better left for a year. Sometimes it is not this, because the treatment someone asked for will not fix what is bothering them, and another will. Occasionally it is not with me, because a request is outside what is safe or natural.
A provider who agrees with everything is selling, not assessing. Hearing no at a consult is annoying for about a day, and then it is the reason you trust the yes.
If you are looking for an injector in Oakville who will tell you the truth about Botox, dermal filler or electrolysis, book a consult at the Preserve Dr studio. More on Instagram.</t>
        </is>
      </c>
      <c r="H70" s="45" t="n">
        <v>731</v>
      </c>
      <c r="I70" s="45" t="inlineStr">
        <is>
          <t>Learn more</t>
        </is>
      </c>
      <c r="J70" s="47" t="inlineStr">
        <is>
          <t>@luxury_beauty_aestheticz</t>
        </is>
      </c>
      <c r="K70" s="45" t="inlineStr">
        <is>
          <t>2026-11-11-why-cleo-says-no.jpg</t>
        </is>
      </c>
      <c r="L70" s="47" t="inlineStr">
        <is>
          <t>Open folder</t>
        </is>
      </c>
      <c r="M70" s="47" t="inlineStr">
        <is>
          <t>Open image</t>
        </is>
      </c>
      <c r="N70" s="45">
        <f>IMAGE("https://raw.githubusercontent.com/RepoKing23/InstagramCarousel/claude/serene-curie-xunco2/content/gbp/2026-11-11-why-cleo-says-no.jpg")</f>
        <v/>
      </c>
      <c r="O70" s="45" t="inlineStr">
        <is>
          <t>Photo pending, run design/fetch-octnov-photos.py</t>
        </is>
      </c>
      <c r="P70" s="45" t="inlineStr">
        <is>
          <t>Ready</t>
        </is>
      </c>
      <c r="Q70" s="59" t="inlineStr"/>
    </row>
    <row r="71" ht="132" customHeight="1" s="42">
      <c r="A71" s="44" t="n">
        <v>46338</v>
      </c>
      <c r="B71" s="45" t="inlineStr">
        <is>
          <t>Thu</t>
        </is>
      </c>
      <c r="C71" s="45" t="inlineStr">
        <is>
          <t>IG: One Result, Every Angle</t>
        </is>
      </c>
      <c r="D71" s="45" t="inlineStr">
        <is>
          <t>Trust &amp; Proof</t>
        </is>
      </c>
      <c r="E71" s="46" t="inlineStr">
        <is>
          <t>One healed lip filler result, shown from every angle: front, three quarter, profile, smiling and at rest. If filler only looks good from one side, it is not a good result. Shared with client consent on Instagram.</t>
        </is>
      </c>
      <c r="F71" s="45" t="n">
        <v>212</v>
      </c>
      <c r="G71" s="46" t="inlineStr">
        <is>
          <t>One healed lip filler result, shown from every angle rather than the most flattering one.
Front, three quarter, profile, smiling and at rest, in the same light. It is an easy test to fail. Filler that looks lovely straight on can project oddly in profile or flatten when someone smiles, and a single carefully chosen photo will never show you that.
This result was healed at the time of photographing, well past the two week mark, so what you see is what she lives with, not day one swelling.
It is the standard every dermal filler plan at the Oakville studio is held to: it should look like you from every side. Shared with the client's written consent on Instagram, where lip filler consults are booked.</t>
        </is>
      </c>
      <c r="H71" s="45" t="n">
        <v>708</v>
      </c>
      <c r="I71" s="45" t="inlineStr">
        <is>
          <t>Learn more</t>
        </is>
      </c>
      <c r="J71" s="47" t="inlineStr">
        <is>
          <t>@luxury_beauty_aestheticz</t>
        </is>
      </c>
      <c r="K71" s="45" t="inlineStr">
        <is>
          <t>2026-11-12-one-result-every-angle.jpg</t>
        </is>
      </c>
      <c r="L71" s="47" t="inlineStr">
        <is>
          <t>Open folder</t>
        </is>
      </c>
      <c r="M71" s="47" t="inlineStr">
        <is>
          <t>Open image</t>
        </is>
      </c>
      <c r="N71" s="45">
        <f>IMAGE("https://raw.githubusercontent.com/RepoKing23/InstagramCarousel/claude/serene-curie-xunco2/content/gbp/2026-11-12-one-result-every-angle.jpg")</f>
        <v/>
      </c>
      <c r="O71" s="45" t="inlineStr">
        <is>
          <t>Photo pending, run design/fetch-octnov-photos.py</t>
        </is>
      </c>
      <c r="P71" s="45" t="inlineStr">
        <is>
          <t>Ready</t>
        </is>
      </c>
      <c r="Q71" s="59" t="inlineStr"/>
    </row>
    <row r="72" ht="132" customHeight="1" s="42">
      <c r="A72" s="44" t="n">
        <v>46342</v>
      </c>
      <c r="B72" s="45" t="inlineStr">
        <is>
          <t>Mon</t>
        </is>
      </c>
      <c r="C72" s="45" t="inlineStr">
        <is>
          <t>IG: Electrolysis for PCOS and Hormonal Facial Hair</t>
        </is>
      </c>
      <c r="D72" s="45" t="inlineStr">
        <is>
          <t>Education</t>
        </is>
      </c>
      <c r="E72" s="46" t="inlineStr">
        <is>
          <t>Hormonal facial hair, including with PCOS, is common and treatable. Facial electrolysis treats coarse chin and jaw hairs and the fine light ones laser misses, best alongside your doctor's care. Private appointments in Oakville.</t>
        </is>
      </c>
      <c r="F72" s="45" t="n">
        <v>227</v>
      </c>
      <c r="G72" s="46" t="inlineStr">
        <is>
          <t>Hormonal facial hair, including hair linked to PCOS, is far more common than anyone admits, and facial electrolysis is one of the best tools for it.
Electrolysis treats each follicle directly, so it works on the dark, coarse hairs on the chin, jaw and neck and on the fine, light and grey hairs that laser cannot see.
It helps to be honest about hormones. Treated follicles stop producing hair, but hormones can activate new follicles over time, so electrolysis works best alongside care from your doctor for the hormones themselves.
If you tweeze, stop and trim instead until your first session. Appointments at the Oakville studio are private, one client at a time, and nobody will be surprised by anything. More on Instagram.</t>
        </is>
      </c>
      <c r="H72" s="45" t="n">
        <v>731</v>
      </c>
      <c r="I72" s="45" t="inlineStr">
        <is>
          <t>Learn more</t>
        </is>
      </c>
      <c r="J72" s="47" t="inlineStr">
        <is>
          <t>@luxury_beauty_aestheticz</t>
        </is>
      </c>
      <c r="K72" s="45" t="inlineStr">
        <is>
          <t>2026-11-16-electrolysis-for-hormonal-facial-hair.jpg</t>
        </is>
      </c>
      <c r="L72" s="47" t="inlineStr">
        <is>
          <t>Open folder</t>
        </is>
      </c>
      <c r="M72" s="47" t="inlineStr">
        <is>
          <t>Open image</t>
        </is>
      </c>
      <c r="N72" s="45">
        <f>IMAGE("https://raw.githubusercontent.com/RepoKing23/InstagramCarousel/claude/serene-curie-xunco2/content/gbp/2026-11-16-electrolysis-for-hormonal-facial-hair.jpg")</f>
        <v/>
      </c>
      <c r="O72" s="45" t="inlineStr">
        <is>
          <t>Photo pending, run design/fetch-octnov-photos.py</t>
        </is>
      </c>
      <c r="P72" s="45" t="inlineStr">
        <is>
          <t>Ready</t>
        </is>
      </c>
      <c r="Q72" s="59" t="inlineStr"/>
    </row>
    <row r="73" ht="132" customHeight="1" s="42">
      <c r="A73" s="44" t="n">
        <v>46343</v>
      </c>
      <c r="B73" s="45" t="inlineStr">
        <is>
          <t>Tue</t>
        </is>
      </c>
      <c r="C73" s="45" t="inlineStr">
        <is>
          <t>IG: Frown Lines, Forehead Lines, Crow's Feet: Where Botox Works</t>
        </is>
      </c>
      <c r="D73" s="45" t="inlineStr">
        <is>
          <t>Education</t>
        </is>
      </c>
      <c r="E73" s="46" t="inlineStr">
        <is>
          <t>The three classic Botox areas, explained: frown lines are usually first, forehead lines are treated lightly so brows still lift, and crow's feet are softened so your smile still reaches your eyes. Botox in Oakville, on Instagram.</t>
        </is>
      </c>
      <c r="F73" s="45" t="n">
        <v>229</v>
      </c>
      <c r="G73" s="46" t="inlineStr">
        <is>
          <t>Frown lines, forehead lines and crow's feet are the three classic Botox treatment areas, and each needs its own plan.
Frown lines, the vertical lines between the brows, are where most people start, because they make a face look tired or cross. Forehead lines are treated lightly, and usually together with the frown, so the brows keep their lift instead of feeling heavy.
Crow's feet are softened rather than erased. A smile that does not reach the eyes is the fastest way to make Botox look obvious, so the goal is fewer creases, not a still eye.
Every Botox plan at the Oakville studio starts with watching your face move, because two people with the same lines often need different doses. More on Instagram.</t>
        </is>
      </c>
      <c r="H73" s="45" t="n">
        <v>713</v>
      </c>
      <c r="I73" s="45" t="inlineStr">
        <is>
          <t>Learn more</t>
        </is>
      </c>
      <c r="J73" s="47" t="inlineStr">
        <is>
          <t>@luxury_beauty_aestheticz</t>
        </is>
      </c>
      <c r="K73" s="45" t="inlineStr">
        <is>
          <t>2026-11-17-frown-lines-forehead-crows-feet.jpg</t>
        </is>
      </c>
      <c r="L73" s="47" t="inlineStr">
        <is>
          <t>Open folder</t>
        </is>
      </c>
      <c r="M73" s="47" t="inlineStr">
        <is>
          <t>Open image</t>
        </is>
      </c>
      <c r="N73" s="45">
        <f>IMAGE("https://raw.githubusercontent.com/RepoKing23/InstagramCarousel/claude/serene-curie-xunco2/content/gbp/2026-11-17-frown-lines-forehead-crows-feet.jpg")</f>
        <v/>
      </c>
      <c r="O73" s="45" t="inlineStr">
        <is>
          <t>Photo pending, run design/fetch-octnov-photos.py</t>
        </is>
      </c>
      <c r="P73" s="45" t="inlineStr">
        <is>
          <t>Ready</t>
        </is>
      </c>
      <c r="Q73" s="59" t="inlineStr"/>
    </row>
    <row r="74" ht="132" customHeight="1" s="42">
      <c r="A74" s="44" t="n">
        <v>46344</v>
      </c>
      <c r="B74" s="45" t="inlineStr">
        <is>
          <t>Wed</t>
        </is>
      </c>
      <c r="C74" s="45" t="inlineStr">
        <is>
          <t>IG: Lip Filler vs Lip Flip: Which One Fits You?</t>
        </is>
      </c>
      <c r="D74" s="45" t="inlineStr">
        <is>
          <t>Education</t>
        </is>
      </c>
      <c r="E74" s="46" t="inlineStr">
        <is>
          <t>Lip filler or lip flip? Dermal filler adds volume and shape. A lip flip uses a few units of Botox to relax the muscle so more upper lip shows when you smile. Different problems, different tools. On Instagram.</t>
        </is>
      </c>
      <c r="F74" s="45" t="n">
        <v>208</v>
      </c>
      <c r="G74" s="46" t="inlineStr">
        <is>
          <t>Lip filler and a lip flip are often confused, but they do different jobs.
Lip filler uses a dermal filler to add volume, shape or definition, and it can correct balance between the upper and lower lip. Results are visible right away, with swelling settling over about two weeks, and typically last several months.
A lip flip uses a few units of Botox to relax the muscle around the mouth, so the upper lip rolls out slightly and shows a little more, especially when you smile. It adds no volume, and it lasts a shorter time than filler.
If your lips disappear when you smile, a flip may be enough. If you want more shape or fullness, filler is the tool. Consults at the Oakville studio will tell you which. More on Instagram.</t>
        </is>
      </c>
      <c r="H74" s="45" t="n">
        <v>728</v>
      </c>
      <c r="I74" s="45" t="inlineStr">
        <is>
          <t>Learn more</t>
        </is>
      </c>
      <c r="J74" s="47" t="inlineStr">
        <is>
          <t>@luxury_beauty_aestheticz</t>
        </is>
      </c>
      <c r="K74" s="45" t="inlineStr">
        <is>
          <t>2026-11-18-lip-filler-vs-lip-flip.jpg</t>
        </is>
      </c>
      <c r="L74" s="47" t="inlineStr">
        <is>
          <t>Open folder</t>
        </is>
      </c>
      <c r="M74" s="47" t="inlineStr">
        <is>
          <t>Open image</t>
        </is>
      </c>
      <c r="N74" s="45">
        <f>IMAGE("https://raw.githubusercontent.com/RepoKing23/InstagramCarousel/claude/serene-curie-xunco2/content/gbp/2026-11-18-lip-filler-vs-lip-flip.jpg")</f>
        <v/>
      </c>
      <c r="O74" s="45" t="inlineStr">
        <is>
          <t>Photo pending, run design/fetch-octnov-photos.py</t>
        </is>
      </c>
      <c r="P74" s="45" t="inlineStr">
        <is>
          <t>Ready</t>
        </is>
      </c>
      <c r="Q74" s="59" t="inlineStr"/>
    </row>
    <row r="75" ht="132" customHeight="1" s="42">
      <c r="A75" s="44" t="n">
        <v>46345</v>
      </c>
      <c r="B75" s="45" t="inlineStr">
        <is>
          <t>Thu</t>
        </is>
      </c>
      <c r="C75" s="45" t="inlineStr">
        <is>
          <t>IG: What to Look for in a Luxury Med Spa in Oakville</t>
        </is>
      </c>
      <c r="D75" s="45" t="inlineStr">
        <is>
          <t>Trust &amp; Proof</t>
        </is>
      </c>
      <c r="E75" s="46" t="inlineStr">
        <is>
          <t>Choosing a luxury med spa in Oakville? Ask who injects you, how long your appointment is, whether they ever say no, what happens if you are unhappy, and whether the room is private. The full list is on Instagram.</t>
        </is>
      </c>
      <c r="F75" s="45" t="n">
        <v>212</v>
      </c>
      <c r="G75" s="46" t="inlineStr">
        <is>
          <t>Choosing a luxury med spa in Oakville? The finish on the walls tells you very little. Five questions tell you almost everything.
Ask who is injecting you, and check their name and credentials before you book. Ask how long your appointment is, because a first visit with time for a real consult is a good sign. Ask whether they ever say no, since a clinic that never turns anyone away is selling rather than assessing.
Ask what happens if you are unhappy, including the review appointment and the plan if something needs adjusting. And ask whether the room is private for the whole appointment.
At Luxury Beauty by Cleo R on Preserve Dr, every answer is yes, and you are welcome to ask all five. More on Instagram.</t>
        </is>
      </c>
      <c r="H75" s="45" t="n">
        <v>716</v>
      </c>
      <c r="I75" s="45" t="inlineStr">
        <is>
          <t>Learn more</t>
        </is>
      </c>
      <c r="J75" s="47" t="inlineStr">
        <is>
          <t>@luxury_beauty_aestheticz</t>
        </is>
      </c>
      <c r="K75" s="45" t="inlineStr">
        <is>
          <t>2026-11-19-choosing-a-luxury-med-spa-oakville.jpg</t>
        </is>
      </c>
      <c r="L75" s="47" t="inlineStr">
        <is>
          <t>Open folder</t>
        </is>
      </c>
      <c r="M75" s="47" t="inlineStr">
        <is>
          <t>Open image</t>
        </is>
      </c>
      <c r="N75" s="45">
        <f>IMAGE("https://raw.githubusercontent.com/RepoKing23/InstagramCarousel/claude/serene-curie-xunco2/content/gbp/2026-11-19-choosing-a-luxury-med-spa-oakville.jpg")</f>
        <v/>
      </c>
      <c r="O75" s="45" t="inlineStr">
        <is>
          <t>Photo pending, run design/fetch-octnov-photos.py</t>
        </is>
      </c>
      <c r="P75" s="45" t="inlineStr">
        <is>
          <t>Ready</t>
        </is>
      </c>
      <c r="Q75" s="59" t="inlineStr"/>
    </row>
    <row r="76" ht="132" customHeight="1" s="42">
      <c r="A76" s="44" t="n">
        <v>46349</v>
      </c>
      <c r="B76" s="45" t="inlineStr">
        <is>
          <t>Mon</t>
        </is>
      </c>
      <c r="C76" s="45" t="inlineStr">
        <is>
          <t>IG: Skincare, Botox or Filler First? The Right Order</t>
        </is>
      </c>
      <c r="D76" s="45" t="inlineStr">
        <is>
          <t>Education</t>
        </is>
      </c>
      <c r="E76" s="46" t="inlineStr">
        <is>
          <t>Skincare, Botox or filler first? For most faces: skin first, then Botox for movement, then dermal filler for volume. Getting the order right often means you need less of everything. The full plan is on Instagram.</t>
        </is>
      </c>
      <c r="F76" s="45" t="n">
        <v>212</v>
      </c>
      <c r="G76" s="46" t="inlineStr">
        <is>
          <t>Skincare, Botox or dermal filler first? For most people the right order is skin, then movement, then volume.
Skin comes first because daily sunscreen and a simple routine do more for texture and tone than any injectable. Botox treatment comes next, relaxing the muscles that fold the skin so expression lines soften and stop deepening.
Filler comes last. Once movement is managed you can see what volume is actually missing, and it is often less than you expected. Filler placed into a line that Botox would have softened is product and money you did not need to spend.
Some faces do need volume first, which is exactly what a consult is for. Botox and dermal filler plans at the Oakville studio are built in order. More on Instagram.</t>
        </is>
      </c>
      <c r="H76" s="45" t="n">
        <v>737</v>
      </c>
      <c r="I76" s="45" t="inlineStr">
        <is>
          <t>Learn more</t>
        </is>
      </c>
      <c r="J76" s="47" t="inlineStr">
        <is>
          <t>@luxury_beauty_aestheticz</t>
        </is>
      </c>
      <c r="K76" s="45" t="inlineStr">
        <is>
          <t>2026-11-23-skincare-botox-filler-right-order.jpg</t>
        </is>
      </c>
      <c r="L76" s="47" t="inlineStr">
        <is>
          <t>Open folder</t>
        </is>
      </c>
      <c r="M76" s="47" t="inlineStr">
        <is>
          <t>Open image</t>
        </is>
      </c>
      <c r="N76" s="45">
        <f>IMAGE("https://raw.githubusercontent.com/RepoKing23/InstagramCarousel/claude/serene-curie-xunco2/content/gbp/2026-11-23-skincare-botox-filler-right-order.jpg")</f>
        <v/>
      </c>
      <c r="O76" s="45" t="inlineStr">
        <is>
          <t>Photo pending, run design/fetch-octnov-photos.py</t>
        </is>
      </c>
      <c r="P76" s="45" t="inlineStr">
        <is>
          <t>Ready</t>
        </is>
      </c>
      <c r="Q76" s="59" t="inlineStr"/>
    </row>
    <row r="77" ht="132" customHeight="1" s="42">
      <c r="A77" s="44" t="n">
        <v>46350</v>
      </c>
      <c r="B77" s="45" t="inlineStr">
        <is>
          <t>Tue</t>
        </is>
      </c>
      <c r="C77" s="45" t="inlineStr">
        <is>
          <t>IG: Black Friday, Done Honestly</t>
        </is>
      </c>
      <c r="D77" s="45" t="inlineStr">
        <is>
          <t>Promo &amp; CTA</t>
        </is>
      </c>
      <c r="E77" s="46" t="inlineStr">
        <is>
          <t>Black Friday, done honestly at an Oakville med spa: injectables are never discounted, because cheap units are how corners get cut. Gift certificates, in any amount, are ready this week for the holidays. Order on Instagram.</t>
        </is>
      </c>
      <c r="F77" s="45" t="n">
        <v>222</v>
      </c>
      <c r="G77" s="46" t="inlineStr">
        <is>
          <t>Black Friday, done honestly. Injectables at Luxury Beauty by Cleo R are never discounted.
That is not stubbornness. Deep discounts on Botox or dermal filler usually come from somewhere, whether that is diluted product, fewer units than you think, or less time with you. None of those belong on your face.
What can be made easier is giving. Gift certificates in any amount, for any treatment at the Oakville studio, can be ordered this week and ready well before the holidays. Every one starts with a consult, so the person receiving it gets a plan that suits them.
The studio is a private luxury med spa at 3060 Preserve Dr, Oakville. Order a gift certificate through Instagram.</t>
        </is>
      </c>
      <c r="H77" s="45" t="n">
        <v>681</v>
      </c>
      <c r="I77" s="45" t="inlineStr">
        <is>
          <t>Learn more</t>
        </is>
      </c>
      <c r="J77" s="47" t="inlineStr">
        <is>
          <t>@luxury_beauty_aestheticz</t>
        </is>
      </c>
      <c r="K77" s="45" t="inlineStr">
        <is>
          <t>2026-11-24-black-friday-done-honestly.jpg</t>
        </is>
      </c>
      <c r="L77" s="47" t="inlineStr">
        <is>
          <t>Open folder</t>
        </is>
      </c>
      <c r="M77" s="47" t="inlineStr">
        <is>
          <t>Open image</t>
        </is>
      </c>
      <c r="N77" s="45">
        <f>IMAGE("https://raw.githubusercontent.com/RepoKing23/InstagramCarousel/claude/serene-curie-xunco2/content/gbp/2026-11-24-black-friday-done-honestly.jpg")</f>
        <v/>
      </c>
      <c r="O77" s="45" t="inlineStr">
        <is>
          <t>Photo pending, run design/fetch-octnov-photos.py</t>
        </is>
      </c>
      <c r="P77" s="45" t="inlineStr">
        <is>
          <t>Ready</t>
        </is>
      </c>
      <c r="Q77" s="59" t="inlineStr"/>
    </row>
    <row r="78" ht="132" customHeight="1" s="42">
      <c r="A78" s="44" t="n">
        <v>46351</v>
      </c>
      <c r="B78" s="45" t="inlineStr">
        <is>
          <t>Wed</t>
        </is>
      </c>
      <c r="C78" s="45" t="inlineStr">
        <is>
          <t>IG: Electrolysis FAQ: Does It Hurt?</t>
        </is>
      </c>
      <c r="D78" s="45" t="inlineStr">
        <is>
          <t>Education</t>
        </is>
      </c>
      <c r="E78" s="46" t="inlineStr">
        <is>
          <t>Does electrolysis hurt? Most people feel a quick warm sting or pinch per hair, most noticeable on the upper lip. Sessions are short, paced to you, and usually get easier as the course goes on. Questions answered on Instagram.</t>
        </is>
      </c>
      <c r="F78" s="45" t="n">
        <v>225</v>
      </c>
      <c r="G78" s="46" t="inlineStr">
        <is>
          <t>Does electrolysis hurt? The honest answer is that you will feel it, briefly, and most people find it very manageable.
The usual description is a quick warm sting or pinch as each hair is treated, lasting a moment. The upper lip tends to be the most sensitive area, and the chin and jaw are usually easier. Sensitivity can also shift with your cycle, so some people prefer to book around it.
Sessions are short, and they tend to get easier as the course goes on, because there are fewer hairs to treat each time and the ones that remain are often finer.
Every electrolysis session at the Oakville studio is paced to you, with breaks whenever you want one. Ask anything else on Instagram.</t>
        </is>
      </c>
      <c r="H78" s="45" t="n">
        <v>689</v>
      </c>
      <c r="I78" s="45" t="inlineStr">
        <is>
          <t>Learn more</t>
        </is>
      </c>
      <c r="J78" s="47" t="inlineStr">
        <is>
          <t>@luxury_beauty_aestheticz</t>
        </is>
      </c>
      <c r="K78" s="45" t="inlineStr">
        <is>
          <t>2026-11-25-does-electrolysis-hurt.jpg</t>
        </is>
      </c>
      <c r="L78" s="47" t="inlineStr">
        <is>
          <t>Open folder</t>
        </is>
      </c>
      <c r="M78" s="47" t="inlineStr">
        <is>
          <t>Open image</t>
        </is>
      </c>
      <c r="N78" s="45">
        <f>IMAGE("https://raw.githubusercontent.com/RepoKing23/InstagramCarousel/claude/serene-curie-xunco2/content/gbp/2026-11-25-does-electrolysis-hurt.jpg")</f>
        <v/>
      </c>
      <c r="O78" s="45" t="inlineStr">
        <is>
          <t>Photo pending, run design/fetch-octnov-photos.py</t>
        </is>
      </c>
      <c r="P78" s="45" t="inlineStr">
        <is>
          <t>Ready</t>
        </is>
      </c>
      <c r="Q78" s="59" t="inlineStr"/>
    </row>
    <row r="79" ht="132" customHeight="1" s="42">
      <c r="A79" s="44" t="n">
        <v>46352</v>
      </c>
      <c r="B79" s="45" t="inlineStr">
        <is>
          <t>Thu</t>
        </is>
      </c>
      <c r="C79" s="45" t="inlineStr">
        <is>
          <t>IG: The Gift of Glow: Holiday Gift Certificates</t>
        </is>
      </c>
      <c r="D79" s="45" t="inlineStr">
        <is>
          <t>Promo &amp; CTA</t>
        </is>
      </c>
      <c r="E79" s="46" t="inlineStr">
        <is>
          <t>Holiday gift certificates for Luxury Beauty by Cleo R, a luxury med spa in Oakville. Any amount, for Botox, filler or electrolysis, always starting with a consult. Sent by email or ready to pick up. Order on Instagram.</t>
        </is>
      </c>
      <c r="F79" s="45" t="n">
        <v>218</v>
      </c>
      <c r="G79" s="46" t="inlineStr">
        <is>
          <t>Holiday gift certificates for Luxury Beauty by Cleo R, a private luxury med spa in Oakville, are ready to order.
They come in any amount and can be used for any treatment at the studio: Botox, dermal filler or electrolysis. The person receiving it chooses after a consult, not before, so nobody is locked into a treatment they did not want and every plan suits the face it is for.
Certificates can be sent by email or picked up from the studio at 3060 Preserve Dr, and they are ready well in time for the holidays. Clients come from across Oakville, Burlington, Milton and Mississauga.
If you would rather receive one than give one, send the post to the person who never knows what to get you. Order through Instagram.</t>
        </is>
      </c>
      <c r="H79" s="45" t="n">
        <v>721</v>
      </c>
      <c r="I79" s="45" t="inlineStr">
        <is>
          <t>Learn more</t>
        </is>
      </c>
      <c r="J79" s="47" t="inlineStr">
        <is>
          <t>@luxury_beauty_aestheticz</t>
        </is>
      </c>
      <c r="K79" s="45" t="inlineStr">
        <is>
          <t>2026-11-26-gift-of-glow-holiday-gift-certificates.jpg</t>
        </is>
      </c>
      <c r="L79" s="47" t="inlineStr">
        <is>
          <t>Open folder</t>
        </is>
      </c>
      <c r="M79" s="47" t="inlineStr">
        <is>
          <t>Open image</t>
        </is>
      </c>
      <c r="N79" s="45">
        <f>IMAGE("https://raw.githubusercontent.com/RepoKing23/InstagramCarousel/claude/serene-curie-xunco2/content/gbp/2026-11-26-gift-of-glow-holiday-gift-certificates.jpg")</f>
        <v/>
      </c>
      <c r="O79" s="45" t="inlineStr">
        <is>
          <t>Photo pending, run design/fetch-octnov-photos.py</t>
        </is>
      </c>
      <c r="P79" s="45" t="inlineStr">
        <is>
          <t>Ready</t>
        </is>
      </c>
      <c r="Q79" s="59" t="inlineStr"/>
    </row>
    <row r="80" ht="132" customHeight="1" s="42">
      <c r="A80" s="44" t="n">
        <v>46356</v>
      </c>
      <c r="B80" s="45" t="inlineStr">
        <is>
          <t>Mon</t>
        </is>
      </c>
      <c r="C80" s="45" t="inlineStr">
        <is>
          <t>IG: Your December Botox Plan: Last Call for Party Season</t>
        </is>
      </c>
      <c r="D80" s="45" t="inlineStr">
        <is>
          <t>Promo &amp; CTA</t>
        </is>
      </c>
      <c r="E80" s="46" t="inlineStr">
        <is>
          <t>Last call for party season Botox in Oakville. Book this week and it settles, with your two week review, before mid December. After that, the plan shifts to New Year's Eve. The week by week plan is on Instagram.</t>
        </is>
      </c>
      <c r="F80" s="45" t="n">
        <v>210</v>
      </c>
      <c r="G80" s="46" t="inlineStr">
        <is>
          <t>This is the last call for party season Botox in Oakville.
Botox booked this week starts working around day three to five and settles fully at two weeks, which lands in mid December. That leaves time for your review appointment, where anything small is adjusted, before the busiest party weekends of the year.
If you book after the first week of December, the plan shifts to New Year's Eve instead, and there is still time for that. First time dermal filler this close to the holidays waits until January, because you want to know how you swell before the photos.
The Oakville studio books one client at a time, and the calm December appointments go first. The week by week plan is on Instagram.</t>
        </is>
      </c>
      <c r="H80" s="45" t="n">
        <v>697</v>
      </c>
      <c r="I80" s="45" t="inlineStr">
        <is>
          <t>Learn more</t>
        </is>
      </c>
      <c r="J80" s="47" t="inlineStr">
        <is>
          <t>@luxury_beauty_aestheticz</t>
        </is>
      </c>
      <c r="K80" s="45" t="inlineStr">
        <is>
          <t>2026-11-30-december-botox-last-call.jpg</t>
        </is>
      </c>
      <c r="L80" s="47" t="inlineStr">
        <is>
          <t>Open folder</t>
        </is>
      </c>
      <c r="M80" s="47" t="inlineStr">
        <is>
          <t>Open image</t>
        </is>
      </c>
      <c r="N80" s="45">
        <f>IMAGE("https://raw.githubusercontent.com/RepoKing23/InstagramCarousel/claude/serene-curie-xunco2/content/gbp/2026-11-30-december-botox-last-call.jpg")</f>
        <v/>
      </c>
      <c r="O80" s="45" t="inlineStr">
        <is>
          <t>Photo pending, run design/fetch-octnov-photos.py</t>
        </is>
      </c>
      <c r="P80" s="45" t="inlineStr">
        <is>
          <t>Ready</t>
        </is>
      </c>
      <c r="Q80" s="59" t="inlineStr"/>
    </row>
  </sheetData>
  <autoFilter ref="A1:Q80"/>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L4" r:id="rId4"/>
    <hyperlink xmlns:r="http://schemas.openxmlformats.org/officeDocument/2006/relationships" ref="M4" r:id="rId5"/>
    <hyperlink xmlns:r="http://schemas.openxmlformats.org/officeDocument/2006/relationships" ref="O4" r:id="rId6"/>
    <hyperlink xmlns:r="http://schemas.openxmlformats.org/officeDocument/2006/relationships" ref="J5" r:id="rId7"/>
    <hyperlink xmlns:r="http://schemas.openxmlformats.org/officeDocument/2006/relationships" ref="L5" r:id="rId8"/>
    <hyperlink xmlns:r="http://schemas.openxmlformats.org/officeDocument/2006/relationships" ref="M5" r:id="rId9"/>
    <hyperlink xmlns:r="http://schemas.openxmlformats.org/officeDocument/2006/relationships" ref="O5" r:id="rId10"/>
    <hyperlink xmlns:r="http://schemas.openxmlformats.org/officeDocument/2006/relationships" ref="J6" r:id="rId11"/>
    <hyperlink xmlns:r="http://schemas.openxmlformats.org/officeDocument/2006/relationships" ref="L6" r:id="rId12"/>
    <hyperlink xmlns:r="http://schemas.openxmlformats.org/officeDocument/2006/relationships" ref="M6" r:id="rId13"/>
    <hyperlink xmlns:r="http://schemas.openxmlformats.org/officeDocument/2006/relationships" ref="O6" r:id="rId14"/>
    <hyperlink xmlns:r="http://schemas.openxmlformats.org/officeDocument/2006/relationships" ref="J7" r:id="rId15"/>
    <hyperlink xmlns:r="http://schemas.openxmlformats.org/officeDocument/2006/relationships" ref="L7" r:id="rId16"/>
    <hyperlink xmlns:r="http://schemas.openxmlformats.org/officeDocument/2006/relationships" ref="M7" r:id="rId17"/>
    <hyperlink xmlns:r="http://schemas.openxmlformats.org/officeDocument/2006/relationships" ref="O7" r:id="rId18"/>
    <hyperlink xmlns:r="http://schemas.openxmlformats.org/officeDocument/2006/relationships" ref="J8" r:id="rId19"/>
    <hyperlink xmlns:r="http://schemas.openxmlformats.org/officeDocument/2006/relationships" ref="L8" r:id="rId20"/>
    <hyperlink xmlns:r="http://schemas.openxmlformats.org/officeDocument/2006/relationships" ref="M8" r:id="rId21"/>
    <hyperlink xmlns:r="http://schemas.openxmlformats.org/officeDocument/2006/relationships" ref="O8" r:id="rId22"/>
    <hyperlink xmlns:r="http://schemas.openxmlformats.org/officeDocument/2006/relationships" ref="J9" r:id="rId23"/>
    <hyperlink xmlns:r="http://schemas.openxmlformats.org/officeDocument/2006/relationships" ref="L9" r:id="rId24"/>
    <hyperlink xmlns:r="http://schemas.openxmlformats.org/officeDocument/2006/relationships" ref="M9" r:id="rId25"/>
    <hyperlink xmlns:r="http://schemas.openxmlformats.org/officeDocument/2006/relationships" ref="O9" r:id="rId26"/>
    <hyperlink xmlns:r="http://schemas.openxmlformats.org/officeDocument/2006/relationships" ref="J10" r:id="rId27"/>
    <hyperlink xmlns:r="http://schemas.openxmlformats.org/officeDocument/2006/relationships" ref="L10" r:id="rId28"/>
    <hyperlink xmlns:r="http://schemas.openxmlformats.org/officeDocument/2006/relationships" ref="M10" r:id="rId29"/>
    <hyperlink xmlns:r="http://schemas.openxmlformats.org/officeDocument/2006/relationships" ref="O10" r:id="rId30"/>
    <hyperlink xmlns:r="http://schemas.openxmlformats.org/officeDocument/2006/relationships" ref="J11" r:id="rId31"/>
    <hyperlink xmlns:r="http://schemas.openxmlformats.org/officeDocument/2006/relationships" ref="L11" r:id="rId32"/>
    <hyperlink xmlns:r="http://schemas.openxmlformats.org/officeDocument/2006/relationships" ref="M11" r:id="rId33"/>
    <hyperlink xmlns:r="http://schemas.openxmlformats.org/officeDocument/2006/relationships" ref="O11" r:id="rId34"/>
    <hyperlink xmlns:r="http://schemas.openxmlformats.org/officeDocument/2006/relationships" ref="J12" r:id="rId35"/>
    <hyperlink xmlns:r="http://schemas.openxmlformats.org/officeDocument/2006/relationships" ref="L12" r:id="rId36"/>
    <hyperlink xmlns:r="http://schemas.openxmlformats.org/officeDocument/2006/relationships" ref="M12" r:id="rId37"/>
    <hyperlink xmlns:r="http://schemas.openxmlformats.org/officeDocument/2006/relationships" ref="O12" r:id="rId38"/>
    <hyperlink xmlns:r="http://schemas.openxmlformats.org/officeDocument/2006/relationships" ref="J13" r:id="rId39"/>
    <hyperlink xmlns:r="http://schemas.openxmlformats.org/officeDocument/2006/relationships" ref="L13" r:id="rId40"/>
    <hyperlink xmlns:r="http://schemas.openxmlformats.org/officeDocument/2006/relationships" ref="M13" r:id="rId41"/>
    <hyperlink xmlns:r="http://schemas.openxmlformats.org/officeDocument/2006/relationships" ref="O13" r:id="rId42"/>
    <hyperlink xmlns:r="http://schemas.openxmlformats.org/officeDocument/2006/relationships" ref="J14" r:id="rId43"/>
    <hyperlink xmlns:r="http://schemas.openxmlformats.org/officeDocument/2006/relationships" ref="L14" r:id="rId44"/>
    <hyperlink xmlns:r="http://schemas.openxmlformats.org/officeDocument/2006/relationships" ref="M14" r:id="rId45"/>
    <hyperlink xmlns:r="http://schemas.openxmlformats.org/officeDocument/2006/relationships" ref="O14" r:id="rId46"/>
    <hyperlink xmlns:r="http://schemas.openxmlformats.org/officeDocument/2006/relationships" ref="J15" r:id="rId47"/>
    <hyperlink xmlns:r="http://schemas.openxmlformats.org/officeDocument/2006/relationships" ref="L15" r:id="rId48"/>
    <hyperlink xmlns:r="http://schemas.openxmlformats.org/officeDocument/2006/relationships" ref="M15" r:id="rId49"/>
    <hyperlink xmlns:r="http://schemas.openxmlformats.org/officeDocument/2006/relationships" ref="O15" r:id="rId50"/>
    <hyperlink xmlns:r="http://schemas.openxmlformats.org/officeDocument/2006/relationships" ref="J16" r:id="rId51"/>
    <hyperlink xmlns:r="http://schemas.openxmlformats.org/officeDocument/2006/relationships" ref="L16" r:id="rId52"/>
    <hyperlink xmlns:r="http://schemas.openxmlformats.org/officeDocument/2006/relationships" ref="M16" r:id="rId53"/>
    <hyperlink xmlns:r="http://schemas.openxmlformats.org/officeDocument/2006/relationships" ref="O16" r:id="rId54"/>
    <hyperlink xmlns:r="http://schemas.openxmlformats.org/officeDocument/2006/relationships" ref="J17" r:id="rId55"/>
    <hyperlink xmlns:r="http://schemas.openxmlformats.org/officeDocument/2006/relationships" ref="L17" r:id="rId56"/>
    <hyperlink xmlns:r="http://schemas.openxmlformats.org/officeDocument/2006/relationships" ref="M17" r:id="rId57"/>
    <hyperlink xmlns:r="http://schemas.openxmlformats.org/officeDocument/2006/relationships" ref="O17" r:id="rId58"/>
    <hyperlink xmlns:r="http://schemas.openxmlformats.org/officeDocument/2006/relationships" ref="J18" r:id="rId59"/>
    <hyperlink xmlns:r="http://schemas.openxmlformats.org/officeDocument/2006/relationships" ref="L18" r:id="rId60"/>
    <hyperlink xmlns:r="http://schemas.openxmlformats.org/officeDocument/2006/relationships" ref="M18" r:id="rId61"/>
    <hyperlink xmlns:r="http://schemas.openxmlformats.org/officeDocument/2006/relationships" ref="O18" r:id="rId62"/>
    <hyperlink xmlns:r="http://schemas.openxmlformats.org/officeDocument/2006/relationships" ref="J19" r:id="rId63"/>
    <hyperlink xmlns:r="http://schemas.openxmlformats.org/officeDocument/2006/relationships" ref="L19" r:id="rId64"/>
    <hyperlink xmlns:r="http://schemas.openxmlformats.org/officeDocument/2006/relationships" ref="M19" r:id="rId65"/>
    <hyperlink xmlns:r="http://schemas.openxmlformats.org/officeDocument/2006/relationships" ref="O19" r:id="rId66"/>
    <hyperlink xmlns:r="http://schemas.openxmlformats.org/officeDocument/2006/relationships" ref="J20" r:id="rId67"/>
    <hyperlink xmlns:r="http://schemas.openxmlformats.org/officeDocument/2006/relationships" ref="L20" r:id="rId68"/>
    <hyperlink xmlns:r="http://schemas.openxmlformats.org/officeDocument/2006/relationships" ref="M20" r:id="rId69"/>
    <hyperlink xmlns:r="http://schemas.openxmlformats.org/officeDocument/2006/relationships" ref="O20" r:id="rId70"/>
    <hyperlink xmlns:r="http://schemas.openxmlformats.org/officeDocument/2006/relationships" ref="J21" r:id="rId71"/>
    <hyperlink xmlns:r="http://schemas.openxmlformats.org/officeDocument/2006/relationships" ref="L21" r:id="rId72"/>
    <hyperlink xmlns:r="http://schemas.openxmlformats.org/officeDocument/2006/relationships" ref="M21" r:id="rId73"/>
    <hyperlink xmlns:r="http://schemas.openxmlformats.org/officeDocument/2006/relationships" ref="O21" r:id="rId74"/>
    <hyperlink xmlns:r="http://schemas.openxmlformats.org/officeDocument/2006/relationships" ref="J22" r:id="rId75"/>
    <hyperlink xmlns:r="http://schemas.openxmlformats.org/officeDocument/2006/relationships" ref="L22" r:id="rId76"/>
    <hyperlink xmlns:r="http://schemas.openxmlformats.org/officeDocument/2006/relationships" ref="M22" r:id="rId77"/>
    <hyperlink xmlns:r="http://schemas.openxmlformats.org/officeDocument/2006/relationships" ref="O22" r:id="rId78"/>
    <hyperlink xmlns:r="http://schemas.openxmlformats.org/officeDocument/2006/relationships" ref="J23" r:id="rId79"/>
    <hyperlink xmlns:r="http://schemas.openxmlformats.org/officeDocument/2006/relationships" ref="L23" r:id="rId80"/>
    <hyperlink xmlns:r="http://schemas.openxmlformats.org/officeDocument/2006/relationships" ref="M23" r:id="rId81"/>
    <hyperlink xmlns:r="http://schemas.openxmlformats.org/officeDocument/2006/relationships" ref="O23" r:id="rId82"/>
    <hyperlink xmlns:r="http://schemas.openxmlformats.org/officeDocument/2006/relationships" ref="J24" r:id="rId83"/>
    <hyperlink xmlns:r="http://schemas.openxmlformats.org/officeDocument/2006/relationships" ref="L24" r:id="rId84"/>
    <hyperlink xmlns:r="http://schemas.openxmlformats.org/officeDocument/2006/relationships" ref="M24" r:id="rId85"/>
    <hyperlink xmlns:r="http://schemas.openxmlformats.org/officeDocument/2006/relationships" ref="O24" r:id="rId86"/>
    <hyperlink xmlns:r="http://schemas.openxmlformats.org/officeDocument/2006/relationships" ref="J25" r:id="rId87"/>
    <hyperlink xmlns:r="http://schemas.openxmlformats.org/officeDocument/2006/relationships" ref="L25" r:id="rId88"/>
    <hyperlink xmlns:r="http://schemas.openxmlformats.org/officeDocument/2006/relationships" ref="M25" r:id="rId89"/>
    <hyperlink xmlns:r="http://schemas.openxmlformats.org/officeDocument/2006/relationships" ref="O25" r:id="rId90"/>
    <hyperlink xmlns:r="http://schemas.openxmlformats.org/officeDocument/2006/relationships" ref="J26" r:id="rId91"/>
    <hyperlink xmlns:r="http://schemas.openxmlformats.org/officeDocument/2006/relationships" ref="L26" r:id="rId92"/>
    <hyperlink xmlns:r="http://schemas.openxmlformats.org/officeDocument/2006/relationships" ref="M26" r:id="rId93"/>
    <hyperlink xmlns:r="http://schemas.openxmlformats.org/officeDocument/2006/relationships" ref="O26" r:id="rId94"/>
    <hyperlink xmlns:r="http://schemas.openxmlformats.org/officeDocument/2006/relationships" ref="J27" r:id="rId95"/>
    <hyperlink xmlns:r="http://schemas.openxmlformats.org/officeDocument/2006/relationships" ref="L27" r:id="rId96"/>
    <hyperlink xmlns:r="http://schemas.openxmlformats.org/officeDocument/2006/relationships" ref="M27" r:id="rId97"/>
    <hyperlink xmlns:r="http://schemas.openxmlformats.org/officeDocument/2006/relationships" ref="O27" r:id="rId98"/>
    <hyperlink xmlns:r="http://schemas.openxmlformats.org/officeDocument/2006/relationships" ref="J28" r:id="rId99"/>
    <hyperlink xmlns:r="http://schemas.openxmlformats.org/officeDocument/2006/relationships" ref="L28" r:id="rId100"/>
    <hyperlink xmlns:r="http://schemas.openxmlformats.org/officeDocument/2006/relationships" ref="M28" r:id="rId101"/>
    <hyperlink xmlns:r="http://schemas.openxmlformats.org/officeDocument/2006/relationships" ref="O28" r:id="rId102"/>
    <hyperlink xmlns:r="http://schemas.openxmlformats.org/officeDocument/2006/relationships" ref="J29" r:id="rId103"/>
    <hyperlink xmlns:r="http://schemas.openxmlformats.org/officeDocument/2006/relationships" ref="L29" r:id="rId104"/>
    <hyperlink xmlns:r="http://schemas.openxmlformats.org/officeDocument/2006/relationships" ref="M29" r:id="rId105"/>
    <hyperlink xmlns:r="http://schemas.openxmlformats.org/officeDocument/2006/relationships" ref="O29" r:id="rId106"/>
    <hyperlink xmlns:r="http://schemas.openxmlformats.org/officeDocument/2006/relationships" ref="J30" r:id="rId107"/>
    <hyperlink xmlns:r="http://schemas.openxmlformats.org/officeDocument/2006/relationships" ref="L30" r:id="rId108"/>
    <hyperlink xmlns:r="http://schemas.openxmlformats.org/officeDocument/2006/relationships" ref="M30" r:id="rId109"/>
    <hyperlink xmlns:r="http://schemas.openxmlformats.org/officeDocument/2006/relationships" ref="O30" r:id="rId110"/>
    <hyperlink xmlns:r="http://schemas.openxmlformats.org/officeDocument/2006/relationships" ref="J31" r:id="rId111"/>
    <hyperlink xmlns:r="http://schemas.openxmlformats.org/officeDocument/2006/relationships" ref="L31" r:id="rId112"/>
    <hyperlink xmlns:r="http://schemas.openxmlformats.org/officeDocument/2006/relationships" ref="M31" r:id="rId113"/>
    <hyperlink xmlns:r="http://schemas.openxmlformats.org/officeDocument/2006/relationships" ref="O31" r:id="rId114"/>
    <hyperlink xmlns:r="http://schemas.openxmlformats.org/officeDocument/2006/relationships" ref="J32" r:id="rId115"/>
    <hyperlink xmlns:r="http://schemas.openxmlformats.org/officeDocument/2006/relationships" ref="L32" r:id="rId116"/>
    <hyperlink xmlns:r="http://schemas.openxmlformats.org/officeDocument/2006/relationships" ref="M32" r:id="rId117"/>
    <hyperlink xmlns:r="http://schemas.openxmlformats.org/officeDocument/2006/relationships" ref="O32" r:id="rId118"/>
    <hyperlink xmlns:r="http://schemas.openxmlformats.org/officeDocument/2006/relationships" ref="J33" r:id="rId119"/>
    <hyperlink xmlns:r="http://schemas.openxmlformats.org/officeDocument/2006/relationships" ref="L33" r:id="rId120"/>
    <hyperlink xmlns:r="http://schemas.openxmlformats.org/officeDocument/2006/relationships" ref="M33" r:id="rId121"/>
    <hyperlink xmlns:r="http://schemas.openxmlformats.org/officeDocument/2006/relationships" ref="O33" r:id="rId122"/>
    <hyperlink xmlns:r="http://schemas.openxmlformats.org/officeDocument/2006/relationships" ref="J34" r:id="rId123"/>
    <hyperlink xmlns:r="http://schemas.openxmlformats.org/officeDocument/2006/relationships" ref="L34" r:id="rId124"/>
    <hyperlink xmlns:r="http://schemas.openxmlformats.org/officeDocument/2006/relationships" ref="M34" r:id="rId125"/>
    <hyperlink xmlns:r="http://schemas.openxmlformats.org/officeDocument/2006/relationships" ref="O34" r:id="rId126"/>
    <hyperlink xmlns:r="http://schemas.openxmlformats.org/officeDocument/2006/relationships" ref="J35" r:id="rId127"/>
    <hyperlink xmlns:r="http://schemas.openxmlformats.org/officeDocument/2006/relationships" ref="L35" r:id="rId128"/>
    <hyperlink xmlns:r="http://schemas.openxmlformats.org/officeDocument/2006/relationships" ref="M35" r:id="rId129"/>
    <hyperlink xmlns:r="http://schemas.openxmlformats.org/officeDocument/2006/relationships" ref="O35" r:id="rId130"/>
    <hyperlink xmlns:r="http://schemas.openxmlformats.org/officeDocument/2006/relationships" ref="J36" r:id="rId131"/>
    <hyperlink xmlns:r="http://schemas.openxmlformats.org/officeDocument/2006/relationships" ref="L36" r:id="rId132"/>
    <hyperlink xmlns:r="http://schemas.openxmlformats.org/officeDocument/2006/relationships" ref="M36" r:id="rId133"/>
    <hyperlink xmlns:r="http://schemas.openxmlformats.org/officeDocument/2006/relationships" ref="O36" r:id="rId134"/>
    <hyperlink xmlns:r="http://schemas.openxmlformats.org/officeDocument/2006/relationships" ref="J37" r:id="rId135"/>
    <hyperlink xmlns:r="http://schemas.openxmlformats.org/officeDocument/2006/relationships" ref="L37" r:id="rId136"/>
    <hyperlink xmlns:r="http://schemas.openxmlformats.org/officeDocument/2006/relationships" ref="M37" r:id="rId137"/>
    <hyperlink xmlns:r="http://schemas.openxmlformats.org/officeDocument/2006/relationships" ref="O37" r:id="rId138"/>
    <hyperlink xmlns:r="http://schemas.openxmlformats.org/officeDocument/2006/relationships" ref="J38" r:id="rId139"/>
    <hyperlink xmlns:r="http://schemas.openxmlformats.org/officeDocument/2006/relationships" ref="L38" r:id="rId140"/>
    <hyperlink xmlns:r="http://schemas.openxmlformats.org/officeDocument/2006/relationships" ref="M38" r:id="rId141"/>
    <hyperlink xmlns:r="http://schemas.openxmlformats.org/officeDocument/2006/relationships" ref="O38" r:id="rId142"/>
    <hyperlink xmlns:r="http://schemas.openxmlformats.org/officeDocument/2006/relationships" ref="J39" r:id="rId143"/>
    <hyperlink xmlns:r="http://schemas.openxmlformats.org/officeDocument/2006/relationships" ref="L39" r:id="rId144"/>
    <hyperlink xmlns:r="http://schemas.openxmlformats.org/officeDocument/2006/relationships" ref="M39" r:id="rId145"/>
    <hyperlink xmlns:r="http://schemas.openxmlformats.org/officeDocument/2006/relationships" ref="O39" r:id="rId146"/>
    <hyperlink xmlns:r="http://schemas.openxmlformats.org/officeDocument/2006/relationships" ref="J40" r:id="rId147"/>
    <hyperlink xmlns:r="http://schemas.openxmlformats.org/officeDocument/2006/relationships" ref="L40" r:id="rId148"/>
    <hyperlink xmlns:r="http://schemas.openxmlformats.org/officeDocument/2006/relationships" ref="M40" r:id="rId149"/>
    <hyperlink xmlns:r="http://schemas.openxmlformats.org/officeDocument/2006/relationships" ref="O40" r:id="rId150"/>
    <hyperlink xmlns:r="http://schemas.openxmlformats.org/officeDocument/2006/relationships" ref="J41" r:id="rId151"/>
    <hyperlink xmlns:r="http://schemas.openxmlformats.org/officeDocument/2006/relationships" ref="L41" r:id="rId152"/>
    <hyperlink xmlns:r="http://schemas.openxmlformats.org/officeDocument/2006/relationships" ref="M41" r:id="rId153"/>
    <hyperlink xmlns:r="http://schemas.openxmlformats.org/officeDocument/2006/relationships" ref="O41" r:id="rId154"/>
    <hyperlink xmlns:r="http://schemas.openxmlformats.org/officeDocument/2006/relationships" ref="J42" r:id="rId155"/>
    <hyperlink xmlns:r="http://schemas.openxmlformats.org/officeDocument/2006/relationships" ref="L42" r:id="rId156"/>
    <hyperlink xmlns:r="http://schemas.openxmlformats.org/officeDocument/2006/relationships" ref="M42" r:id="rId157"/>
    <hyperlink xmlns:r="http://schemas.openxmlformats.org/officeDocument/2006/relationships" ref="O42" r:id="rId158"/>
    <hyperlink xmlns:r="http://schemas.openxmlformats.org/officeDocument/2006/relationships" ref="J43" r:id="rId159"/>
    <hyperlink xmlns:r="http://schemas.openxmlformats.org/officeDocument/2006/relationships" ref="L43" r:id="rId160"/>
    <hyperlink xmlns:r="http://schemas.openxmlformats.org/officeDocument/2006/relationships" ref="M43" r:id="rId161"/>
    <hyperlink xmlns:r="http://schemas.openxmlformats.org/officeDocument/2006/relationships" ref="O43" r:id="rId162"/>
    <hyperlink xmlns:r="http://schemas.openxmlformats.org/officeDocument/2006/relationships" ref="J44" r:id="rId163"/>
    <hyperlink xmlns:r="http://schemas.openxmlformats.org/officeDocument/2006/relationships" ref="L44" r:id="rId164"/>
    <hyperlink xmlns:r="http://schemas.openxmlformats.org/officeDocument/2006/relationships" ref="M44" r:id="rId165"/>
    <hyperlink xmlns:r="http://schemas.openxmlformats.org/officeDocument/2006/relationships" ref="O44" r:id="rId166"/>
    <hyperlink xmlns:r="http://schemas.openxmlformats.org/officeDocument/2006/relationships" ref="J45" r:id="rId167"/>
    <hyperlink xmlns:r="http://schemas.openxmlformats.org/officeDocument/2006/relationships" ref="L45" r:id="rId168"/>
    <hyperlink xmlns:r="http://schemas.openxmlformats.org/officeDocument/2006/relationships" ref="M45" r:id="rId169"/>
    <hyperlink xmlns:r="http://schemas.openxmlformats.org/officeDocument/2006/relationships" ref="O45" r:id="rId170"/>
    <hyperlink xmlns:r="http://schemas.openxmlformats.org/officeDocument/2006/relationships" ref="J46" r:id="rId171"/>
    <hyperlink xmlns:r="http://schemas.openxmlformats.org/officeDocument/2006/relationships" ref="L46" r:id="rId172"/>
    <hyperlink xmlns:r="http://schemas.openxmlformats.org/officeDocument/2006/relationships" ref="M46" r:id="rId173"/>
    <hyperlink xmlns:r="http://schemas.openxmlformats.org/officeDocument/2006/relationships" ref="O46" r:id="rId174"/>
    <hyperlink xmlns:r="http://schemas.openxmlformats.org/officeDocument/2006/relationships" ref="J47" r:id="rId175"/>
    <hyperlink xmlns:r="http://schemas.openxmlformats.org/officeDocument/2006/relationships" ref="L47" r:id="rId176"/>
    <hyperlink xmlns:r="http://schemas.openxmlformats.org/officeDocument/2006/relationships" ref="M47" r:id="rId177"/>
    <hyperlink xmlns:r="http://schemas.openxmlformats.org/officeDocument/2006/relationships" ref="J48" r:id="rId178"/>
    <hyperlink xmlns:r="http://schemas.openxmlformats.org/officeDocument/2006/relationships" ref="L48" r:id="rId179"/>
    <hyperlink xmlns:r="http://schemas.openxmlformats.org/officeDocument/2006/relationships" ref="M48" r:id="rId180"/>
    <hyperlink xmlns:r="http://schemas.openxmlformats.org/officeDocument/2006/relationships" ref="J49" r:id="rId181"/>
    <hyperlink xmlns:r="http://schemas.openxmlformats.org/officeDocument/2006/relationships" ref="L49" r:id="rId182"/>
    <hyperlink xmlns:r="http://schemas.openxmlformats.org/officeDocument/2006/relationships" ref="M49" r:id="rId183"/>
    <hyperlink xmlns:r="http://schemas.openxmlformats.org/officeDocument/2006/relationships" ref="J50" r:id="rId184"/>
    <hyperlink xmlns:r="http://schemas.openxmlformats.org/officeDocument/2006/relationships" ref="L50" r:id="rId185"/>
    <hyperlink xmlns:r="http://schemas.openxmlformats.org/officeDocument/2006/relationships" ref="M50" r:id="rId186"/>
    <hyperlink xmlns:r="http://schemas.openxmlformats.org/officeDocument/2006/relationships" ref="J51" r:id="rId187"/>
    <hyperlink xmlns:r="http://schemas.openxmlformats.org/officeDocument/2006/relationships" ref="L51" r:id="rId188"/>
    <hyperlink xmlns:r="http://schemas.openxmlformats.org/officeDocument/2006/relationships" ref="M51" r:id="rId189"/>
    <hyperlink xmlns:r="http://schemas.openxmlformats.org/officeDocument/2006/relationships" ref="J52" r:id="rId190"/>
    <hyperlink xmlns:r="http://schemas.openxmlformats.org/officeDocument/2006/relationships" ref="L52" r:id="rId191"/>
    <hyperlink xmlns:r="http://schemas.openxmlformats.org/officeDocument/2006/relationships" ref="M52" r:id="rId192"/>
    <hyperlink xmlns:r="http://schemas.openxmlformats.org/officeDocument/2006/relationships" ref="J53" r:id="rId193"/>
    <hyperlink xmlns:r="http://schemas.openxmlformats.org/officeDocument/2006/relationships" ref="L53" r:id="rId194"/>
    <hyperlink xmlns:r="http://schemas.openxmlformats.org/officeDocument/2006/relationships" ref="M53" r:id="rId195"/>
    <hyperlink xmlns:r="http://schemas.openxmlformats.org/officeDocument/2006/relationships" ref="J54" r:id="rId196"/>
    <hyperlink xmlns:r="http://schemas.openxmlformats.org/officeDocument/2006/relationships" ref="L54" r:id="rId197"/>
    <hyperlink xmlns:r="http://schemas.openxmlformats.org/officeDocument/2006/relationships" ref="M54" r:id="rId198"/>
    <hyperlink xmlns:r="http://schemas.openxmlformats.org/officeDocument/2006/relationships" ref="J55" r:id="rId199"/>
    <hyperlink xmlns:r="http://schemas.openxmlformats.org/officeDocument/2006/relationships" ref="L55" r:id="rId200"/>
    <hyperlink xmlns:r="http://schemas.openxmlformats.org/officeDocument/2006/relationships" ref="M55" r:id="rId201"/>
    <hyperlink xmlns:r="http://schemas.openxmlformats.org/officeDocument/2006/relationships" ref="J56" r:id="rId202"/>
    <hyperlink xmlns:r="http://schemas.openxmlformats.org/officeDocument/2006/relationships" ref="L56" r:id="rId203"/>
    <hyperlink xmlns:r="http://schemas.openxmlformats.org/officeDocument/2006/relationships" ref="M56" r:id="rId204"/>
    <hyperlink xmlns:r="http://schemas.openxmlformats.org/officeDocument/2006/relationships" ref="J57" r:id="rId205"/>
    <hyperlink xmlns:r="http://schemas.openxmlformats.org/officeDocument/2006/relationships" ref="L57" r:id="rId206"/>
    <hyperlink xmlns:r="http://schemas.openxmlformats.org/officeDocument/2006/relationships" ref="M57" r:id="rId207"/>
    <hyperlink xmlns:r="http://schemas.openxmlformats.org/officeDocument/2006/relationships" ref="J58" r:id="rId208"/>
    <hyperlink xmlns:r="http://schemas.openxmlformats.org/officeDocument/2006/relationships" ref="L58" r:id="rId209"/>
    <hyperlink xmlns:r="http://schemas.openxmlformats.org/officeDocument/2006/relationships" ref="M58" r:id="rId210"/>
    <hyperlink xmlns:r="http://schemas.openxmlformats.org/officeDocument/2006/relationships" ref="J59" r:id="rId211"/>
    <hyperlink xmlns:r="http://schemas.openxmlformats.org/officeDocument/2006/relationships" ref="L59" r:id="rId212"/>
    <hyperlink xmlns:r="http://schemas.openxmlformats.org/officeDocument/2006/relationships" ref="M59" r:id="rId213"/>
    <hyperlink xmlns:r="http://schemas.openxmlformats.org/officeDocument/2006/relationships" ref="J60" r:id="rId214"/>
    <hyperlink xmlns:r="http://schemas.openxmlformats.org/officeDocument/2006/relationships" ref="L60" r:id="rId215"/>
    <hyperlink xmlns:r="http://schemas.openxmlformats.org/officeDocument/2006/relationships" ref="M60" r:id="rId216"/>
    <hyperlink xmlns:r="http://schemas.openxmlformats.org/officeDocument/2006/relationships" ref="J61" r:id="rId217"/>
    <hyperlink xmlns:r="http://schemas.openxmlformats.org/officeDocument/2006/relationships" ref="L61" r:id="rId218"/>
    <hyperlink xmlns:r="http://schemas.openxmlformats.org/officeDocument/2006/relationships" ref="M61" r:id="rId219"/>
    <hyperlink xmlns:r="http://schemas.openxmlformats.org/officeDocument/2006/relationships" ref="J62" r:id="rId220"/>
    <hyperlink xmlns:r="http://schemas.openxmlformats.org/officeDocument/2006/relationships" ref="L62" r:id="rId221"/>
    <hyperlink xmlns:r="http://schemas.openxmlformats.org/officeDocument/2006/relationships" ref="M62" r:id="rId222"/>
    <hyperlink xmlns:r="http://schemas.openxmlformats.org/officeDocument/2006/relationships" ref="J63" r:id="rId223"/>
    <hyperlink xmlns:r="http://schemas.openxmlformats.org/officeDocument/2006/relationships" ref="L63" r:id="rId224"/>
    <hyperlink xmlns:r="http://schemas.openxmlformats.org/officeDocument/2006/relationships" ref="M63" r:id="rId225"/>
    <hyperlink xmlns:r="http://schemas.openxmlformats.org/officeDocument/2006/relationships" ref="J64" r:id="rId226"/>
    <hyperlink xmlns:r="http://schemas.openxmlformats.org/officeDocument/2006/relationships" ref="L64" r:id="rId227"/>
    <hyperlink xmlns:r="http://schemas.openxmlformats.org/officeDocument/2006/relationships" ref="M64" r:id="rId228"/>
    <hyperlink xmlns:r="http://schemas.openxmlformats.org/officeDocument/2006/relationships" ref="J65" r:id="rId229"/>
    <hyperlink xmlns:r="http://schemas.openxmlformats.org/officeDocument/2006/relationships" ref="L65" r:id="rId230"/>
    <hyperlink xmlns:r="http://schemas.openxmlformats.org/officeDocument/2006/relationships" ref="M65" r:id="rId231"/>
    <hyperlink xmlns:r="http://schemas.openxmlformats.org/officeDocument/2006/relationships" ref="J66" r:id="rId232"/>
    <hyperlink xmlns:r="http://schemas.openxmlformats.org/officeDocument/2006/relationships" ref="L66" r:id="rId233"/>
    <hyperlink xmlns:r="http://schemas.openxmlformats.org/officeDocument/2006/relationships" ref="M66" r:id="rId234"/>
    <hyperlink xmlns:r="http://schemas.openxmlformats.org/officeDocument/2006/relationships" ref="J67" r:id="rId235"/>
    <hyperlink xmlns:r="http://schemas.openxmlformats.org/officeDocument/2006/relationships" ref="L67" r:id="rId236"/>
    <hyperlink xmlns:r="http://schemas.openxmlformats.org/officeDocument/2006/relationships" ref="M67" r:id="rId237"/>
    <hyperlink xmlns:r="http://schemas.openxmlformats.org/officeDocument/2006/relationships" ref="J68" r:id="rId238"/>
    <hyperlink xmlns:r="http://schemas.openxmlformats.org/officeDocument/2006/relationships" ref="L68" r:id="rId239"/>
    <hyperlink xmlns:r="http://schemas.openxmlformats.org/officeDocument/2006/relationships" ref="M68" r:id="rId240"/>
    <hyperlink xmlns:r="http://schemas.openxmlformats.org/officeDocument/2006/relationships" ref="J69" r:id="rId241"/>
    <hyperlink xmlns:r="http://schemas.openxmlformats.org/officeDocument/2006/relationships" ref="L69" r:id="rId242"/>
    <hyperlink xmlns:r="http://schemas.openxmlformats.org/officeDocument/2006/relationships" ref="M69" r:id="rId243"/>
    <hyperlink xmlns:r="http://schemas.openxmlformats.org/officeDocument/2006/relationships" ref="J70" r:id="rId244"/>
    <hyperlink xmlns:r="http://schemas.openxmlformats.org/officeDocument/2006/relationships" ref="L70" r:id="rId245"/>
    <hyperlink xmlns:r="http://schemas.openxmlformats.org/officeDocument/2006/relationships" ref="M70" r:id="rId246"/>
    <hyperlink xmlns:r="http://schemas.openxmlformats.org/officeDocument/2006/relationships" ref="J71" r:id="rId247"/>
    <hyperlink xmlns:r="http://schemas.openxmlformats.org/officeDocument/2006/relationships" ref="L71" r:id="rId248"/>
    <hyperlink xmlns:r="http://schemas.openxmlformats.org/officeDocument/2006/relationships" ref="M71" r:id="rId249"/>
    <hyperlink xmlns:r="http://schemas.openxmlformats.org/officeDocument/2006/relationships" ref="J72" r:id="rId250"/>
    <hyperlink xmlns:r="http://schemas.openxmlformats.org/officeDocument/2006/relationships" ref="L72" r:id="rId251"/>
    <hyperlink xmlns:r="http://schemas.openxmlformats.org/officeDocument/2006/relationships" ref="M72" r:id="rId252"/>
    <hyperlink xmlns:r="http://schemas.openxmlformats.org/officeDocument/2006/relationships" ref="J73" r:id="rId253"/>
    <hyperlink xmlns:r="http://schemas.openxmlformats.org/officeDocument/2006/relationships" ref="L73" r:id="rId254"/>
    <hyperlink xmlns:r="http://schemas.openxmlformats.org/officeDocument/2006/relationships" ref="M73" r:id="rId255"/>
    <hyperlink xmlns:r="http://schemas.openxmlformats.org/officeDocument/2006/relationships" ref="J74" r:id="rId256"/>
    <hyperlink xmlns:r="http://schemas.openxmlformats.org/officeDocument/2006/relationships" ref="L74" r:id="rId257"/>
    <hyperlink xmlns:r="http://schemas.openxmlformats.org/officeDocument/2006/relationships" ref="M74" r:id="rId258"/>
    <hyperlink xmlns:r="http://schemas.openxmlformats.org/officeDocument/2006/relationships" ref="J75" r:id="rId259"/>
    <hyperlink xmlns:r="http://schemas.openxmlformats.org/officeDocument/2006/relationships" ref="L75" r:id="rId260"/>
    <hyperlink xmlns:r="http://schemas.openxmlformats.org/officeDocument/2006/relationships" ref="M75" r:id="rId261"/>
    <hyperlink xmlns:r="http://schemas.openxmlformats.org/officeDocument/2006/relationships" ref="J76" r:id="rId262"/>
    <hyperlink xmlns:r="http://schemas.openxmlformats.org/officeDocument/2006/relationships" ref="L76" r:id="rId263"/>
    <hyperlink xmlns:r="http://schemas.openxmlformats.org/officeDocument/2006/relationships" ref="M76" r:id="rId264"/>
    <hyperlink xmlns:r="http://schemas.openxmlformats.org/officeDocument/2006/relationships" ref="J77" r:id="rId265"/>
    <hyperlink xmlns:r="http://schemas.openxmlformats.org/officeDocument/2006/relationships" ref="L77" r:id="rId266"/>
    <hyperlink xmlns:r="http://schemas.openxmlformats.org/officeDocument/2006/relationships" ref="M77" r:id="rId267"/>
    <hyperlink xmlns:r="http://schemas.openxmlformats.org/officeDocument/2006/relationships" ref="J78" r:id="rId268"/>
    <hyperlink xmlns:r="http://schemas.openxmlformats.org/officeDocument/2006/relationships" ref="L78" r:id="rId269"/>
    <hyperlink xmlns:r="http://schemas.openxmlformats.org/officeDocument/2006/relationships" ref="M78" r:id="rId270"/>
    <hyperlink xmlns:r="http://schemas.openxmlformats.org/officeDocument/2006/relationships" ref="J79" r:id="rId271"/>
    <hyperlink xmlns:r="http://schemas.openxmlformats.org/officeDocument/2006/relationships" ref="L79" r:id="rId272"/>
    <hyperlink xmlns:r="http://schemas.openxmlformats.org/officeDocument/2006/relationships" ref="M79" r:id="rId273"/>
    <hyperlink xmlns:r="http://schemas.openxmlformats.org/officeDocument/2006/relationships" ref="J80" r:id="rId274"/>
    <hyperlink xmlns:r="http://schemas.openxmlformats.org/officeDocument/2006/relationships" ref="L80" r:id="rId275"/>
    <hyperlink xmlns:r="http://schemas.openxmlformats.org/officeDocument/2006/relationships" ref="M80" r:id="rId276"/>
  </hyperlinks>
  <pageMargins left="0.75" right="0.75" top="1" bottom="1" header="0.5" footer="0.5"/>
</worksheet>
</file>

<file path=xl/worksheets/sheet5.xml><?xml version="1.0" encoding="utf-8"?>
<worksheet xmlns="http://schemas.openxmlformats.org/spreadsheetml/2006/main">
  <sheetPr>
    <tabColor rgb="008A8578"/>
    <outlinePr summaryBelow="1" summaryRight="1"/>
    <pageSetUpPr/>
  </sheetPr>
  <dimension ref="A1:Z1001"/>
  <sheetViews>
    <sheetView workbookViewId="0">
      <pane ySplit="1" topLeftCell="A2" activePane="bottomLeft" state="frozen"/>
      <selection pane="bottomLeft" activeCell="B3" sqref="B3"/>
    </sheetView>
  </sheetViews>
  <sheetFormatPr baseColWidth="8" defaultColWidth="14.43" defaultRowHeight="15" customHeight="1"/>
  <cols>
    <col width="16" customWidth="1" style="42" min="1" max="1"/>
    <col width="26" customWidth="1" style="42" min="2" max="2"/>
    <col width="40" customWidth="1" style="42" min="3" max="3"/>
    <col width="60" customWidth="1" style="42" min="4" max="4"/>
    <col width="46" customWidth="1" style="42" min="5" max="5"/>
    <col width="8.57" customWidth="1" style="42" min="6" max="6"/>
  </cols>
  <sheetData>
    <row r="1" ht="30" customHeight="1" s="42">
      <c r="A1" s="52" t="inlineStr">
        <is>
          <t>Period</t>
        </is>
      </c>
      <c r="B1" s="52" t="inlineStr">
        <is>
          <t>Theme</t>
        </is>
      </c>
      <c r="C1" s="52" t="inlineStr">
        <is>
          <t>Goal</t>
        </is>
      </c>
      <c r="D1" s="52" t="inlineStr">
        <is>
          <t>Carousel Topics</t>
        </is>
      </c>
      <c r="E1" s="52" t="inlineStr">
        <is>
          <t>Reel / Syndication Focus</t>
        </is>
      </c>
      <c r="F1" s="58" t="n"/>
      <c r="G1" s="58" t="n"/>
      <c r="H1" s="58" t="n"/>
      <c r="I1" s="58" t="n"/>
      <c r="J1" s="58" t="n"/>
      <c r="K1" s="58" t="n"/>
      <c r="L1" s="58" t="n"/>
      <c r="M1" s="58" t="n"/>
      <c r="N1" s="58" t="n"/>
      <c r="O1" s="58" t="n"/>
      <c r="P1" s="58" t="n"/>
      <c r="Q1" s="58" t="n"/>
      <c r="R1" s="58" t="n"/>
      <c r="S1" s="58" t="n"/>
      <c r="T1" s="58" t="n"/>
      <c r="U1" s="58" t="n"/>
      <c r="V1" s="58" t="n"/>
      <c r="W1" s="58" t="n"/>
      <c r="X1" s="58" t="n"/>
      <c r="Y1" s="58" t="n"/>
      <c r="Z1" s="58" t="n"/>
    </row>
    <row r="2" ht="23.25" customHeight="1" s="42">
      <c r="A2" s="29" t="inlineStr">
        <is>
          <t>August 17-31</t>
        </is>
      </c>
      <c r="B2" s="29" t="inlineStr">
        <is>
          <t>Botox, Honestly (Launch)</t>
        </is>
      </c>
      <c r="C2" s="29" t="inlineStr">
        <is>
          <t>Launch the educational brand voice and post the finished Botox myths carousel</t>
        </is>
      </c>
      <c r="D2" s="29" t="inlineStr">
        <is>
          <t>5 Botox Lies (ready) / 5 Red Flags / First Visit / Meet NP Cleo</t>
        </is>
      </c>
      <c r="E2" s="29" t="inlineStr">
        <is>
          <t>Service spotlight cards, BTS prep photo, brand quote cards</t>
        </is>
      </c>
      <c r="F2" s="2" t="n"/>
      <c r="G2" s="2" t="n"/>
      <c r="H2" s="2" t="n"/>
      <c r="I2" s="2" t="n"/>
      <c r="J2" s="2" t="n"/>
      <c r="K2" s="2" t="n"/>
      <c r="L2" s="2" t="n"/>
      <c r="M2" s="2" t="n"/>
      <c r="N2" s="2" t="n"/>
      <c r="O2" s="2" t="n"/>
      <c r="P2" s="2" t="n"/>
      <c r="Q2" s="2" t="n"/>
      <c r="R2" s="2" t="n"/>
      <c r="S2" s="2" t="n"/>
      <c r="T2" s="2" t="n"/>
      <c r="U2" s="2" t="n"/>
      <c r="V2" s="2" t="n"/>
      <c r="W2" s="2" t="n"/>
      <c r="X2" s="2" t="n"/>
      <c r="Y2" s="2" t="n"/>
      <c r="Z2" s="2" t="n"/>
    </row>
    <row r="3" ht="23.25" customHeight="1" s="42">
      <c r="A3" s="29" t="inlineStr">
        <is>
          <t>September</t>
        </is>
      </c>
      <c r="B3" s="29" t="inlineStr">
        <is>
          <t>Botox Education Month</t>
        </is>
      </c>
      <c r="C3" s="29" t="inlineStr">
        <is>
          <t>Own every Botox question a first-timer Googles</t>
        </is>
      </c>
      <c r="D3" s="29" t="inlineStr">
        <is>
          <t>Preventative / 20 Units / Botox vs Dysport / Aftercare / What Botox Can't Do / Natural Promise / Botox or Filler / Ask Cleo / How Long It Lasts / Why We Say No</t>
        </is>
      </c>
      <c r="E3" s="29" t="inlineStr">
        <is>
          <t>Hook image cards: explainers, myth vs truth, FAQ, BTS photos</t>
        </is>
      </c>
      <c r="F3" s="2" t="n"/>
      <c r="G3" s="2" t="n"/>
      <c r="H3" s="2" t="n"/>
      <c r="I3" s="2" t="n"/>
      <c r="J3" s="2" t="n"/>
      <c r="K3" s="2" t="n"/>
      <c r="L3" s="2" t="n"/>
      <c r="M3" s="2" t="n"/>
      <c r="N3" s="2" t="n"/>
      <c r="O3" s="2" t="n"/>
      <c r="P3" s="2" t="n"/>
      <c r="Q3" s="2" t="n"/>
      <c r="R3" s="2" t="n"/>
      <c r="S3" s="2" t="n"/>
      <c r="T3" s="2" t="n"/>
      <c r="U3" s="2" t="n"/>
      <c r="V3" s="2" t="n"/>
      <c r="W3" s="2" t="n"/>
      <c r="X3" s="2" t="n"/>
      <c r="Y3" s="2" t="n"/>
      <c r="Z3" s="2" t="n"/>
    </row>
    <row r="4" ht="23.25" customHeight="1" s="42">
      <c r="A4" s="29" t="inlineStr">
        <is>
          <t>October</t>
        </is>
      </c>
      <c r="B4" s="29" t="inlineStr">
        <is>
          <t>Botox &amp; Filler in Oakville</t>
        </is>
      </c>
      <c r="C4" s="29" t="inlineStr">
        <is>
          <t>Rank for what people already search: Botox in Oakville, dermal fillers, and electrolysis, which already sits near the top of Google</t>
        </is>
      </c>
      <c r="D4" s="29" t="inlineStr">
        <is>
          <t>First Botox Appointment / Filler Is Not Fake / Botox Treatment Areas / Electrolysis vs Laser / Botox for Men / Aftercare / Facial Balancing</t>
        </is>
      </c>
      <c r="E4" s="29" t="inlineStr">
        <is>
          <t>Real lip results moved onto workdays, electrolysis explainers, luxury studio and Meet Cleo</t>
        </is>
      </c>
      <c r="F4" s="2" t="n"/>
      <c r="G4" s="2" t="n"/>
      <c r="H4" s="2" t="n"/>
      <c r="I4" s="2" t="n"/>
      <c r="J4" s="2" t="n"/>
      <c r="K4" s="2" t="n"/>
      <c r="L4" s="2" t="n"/>
      <c r="M4" s="2" t="n"/>
      <c r="N4" s="2" t="n"/>
      <c r="O4" s="2" t="n"/>
      <c r="P4" s="2" t="n"/>
      <c r="Q4" s="2" t="n"/>
      <c r="R4" s="2" t="n"/>
      <c r="S4" s="2" t="n"/>
      <c r="T4" s="2" t="n"/>
      <c r="U4" s="2" t="n"/>
      <c r="V4" s="2" t="n"/>
      <c r="W4" s="2" t="n"/>
      <c r="X4" s="2" t="n"/>
      <c r="Y4" s="2" t="n"/>
      <c r="Z4" s="2" t="n"/>
    </row>
    <row r="5" ht="23.25" customHeight="1" s="42">
      <c r="A5" s="29" t="inlineStr">
        <is>
          <t>November 1-15</t>
        </is>
      </c>
      <c r="B5" s="29" t="inlineStr">
        <is>
          <t>Rested by the Holidays</t>
        </is>
      </c>
      <c r="C5" s="29" t="inlineStr">
        <is>
          <t>Book now to glow for party season, launch gift certificates, keep electrolysis and brand searches growing</t>
        </is>
      </c>
      <c r="D5" s="29" t="inlineStr">
        <is>
          <t>Holiday Botox Timeline / Party Season Prep / Under Eye Filler</t>
        </is>
      </c>
      <c r="E5" s="29" t="inlineStr">
        <is>
          <t>Electrolysis aftercare, gift certificates, Why Cleo Says No, every angle result</t>
        </is>
      </c>
      <c r="F5" s="2" t="n"/>
      <c r="G5" s="2" t="n"/>
      <c r="H5" s="2" t="n"/>
      <c r="I5" s="2" t="n"/>
      <c r="J5" s="2" t="n"/>
      <c r="K5" s="2" t="n"/>
      <c r="L5" s="2" t="n"/>
      <c r="M5" s="2" t="n"/>
      <c r="N5" s="2" t="n"/>
      <c r="O5" s="2" t="n"/>
      <c r="P5" s="2" t="n"/>
      <c r="Q5" s="2" t="n"/>
      <c r="R5" s="2" t="n"/>
      <c r="S5" s="2" t="n"/>
      <c r="T5" s="2" t="n"/>
      <c r="U5" s="2" t="n"/>
      <c r="V5" s="2" t="n"/>
      <c r="W5" s="2" t="n"/>
      <c r="X5" s="2" t="n"/>
      <c r="Y5" s="2" t="n"/>
      <c r="Z5" s="2" t="n"/>
    </row>
    <row r="6">
      <c r="A6" s="41" t="n"/>
      <c r="B6" s="41" t="n"/>
      <c r="C6" s="41" t="n"/>
      <c r="D6" s="41" t="n"/>
      <c r="E6" s="41" t="n"/>
      <c r="F6" s="2" t="n"/>
      <c r="G6" s="2" t="n"/>
      <c r="H6" s="2" t="n"/>
      <c r="I6" s="2" t="n"/>
      <c r="J6" s="2" t="n"/>
      <c r="K6" s="2" t="n"/>
      <c r="L6" s="2" t="n"/>
      <c r="M6" s="2" t="n"/>
      <c r="N6" s="2" t="n"/>
      <c r="O6" s="2" t="n"/>
      <c r="P6" s="2" t="n"/>
      <c r="Q6" s="2" t="n"/>
      <c r="R6" s="2" t="n"/>
      <c r="S6" s="2" t="n"/>
      <c r="T6" s="2" t="n"/>
      <c r="U6" s="2" t="n"/>
      <c r="V6" s="2" t="n"/>
      <c r="W6" s="2" t="n"/>
      <c r="X6" s="2" t="n"/>
      <c r="Y6" s="2" t="n"/>
      <c r="Z6" s="2" t="n"/>
    </row>
    <row r="7">
      <c r="A7" s="41" t="n"/>
      <c r="B7" s="41" t="n"/>
      <c r="C7" s="41" t="n"/>
      <c r="D7" s="41" t="n"/>
      <c r="E7" s="41" t="n"/>
      <c r="F7" s="2" t="n"/>
      <c r="G7" s="2" t="n"/>
      <c r="H7" s="2" t="n"/>
      <c r="I7" s="2" t="n"/>
      <c r="J7" s="2" t="n"/>
      <c r="K7" s="2" t="n"/>
      <c r="L7" s="2" t="n"/>
      <c r="M7" s="2" t="n"/>
      <c r="N7" s="2" t="n"/>
      <c r="O7" s="2" t="n"/>
      <c r="P7" s="2" t="n"/>
      <c r="Q7" s="2" t="n"/>
      <c r="R7" s="2" t="n"/>
      <c r="S7" s="2" t="n"/>
      <c r="T7" s="2" t="n"/>
      <c r="U7" s="2" t="n"/>
      <c r="V7" s="2" t="n"/>
      <c r="W7" s="2" t="n"/>
      <c r="X7" s="2" t="n"/>
      <c r="Y7" s="2" t="n"/>
      <c r="Z7" s="2" t="n"/>
    </row>
    <row r="8">
      <c r="A8" s="41" t="n"/>
      <c r="B8" s="41" t="n"/>
      <c r="C8" s="41" t="n"/>
      <c r="D8" s="41" t="n"/>
      <c r="E8" s="41" t="n"/>
      <c r="F8" s="2" t="n"/>
      <c r="G8" s="2" t="n"/>
      <c r="H8" s="2" t="n"/>
      <c r="I8" s="2" t="n"/>
      <c r="J8" s="2" t="n"/>
      <c r="K8" s="2" t="n"/>
      <c r="L8" s="2" t="n"/>
      <c r="M8" s="2" t="n"/>
      <c r="N8" s="2" t="n"/>
      <c r="O8" s="2" t="n"/>
      <c r="P8" s="2" t="n"/>
      <c r="Q8" s="2" t="n"/>
      <c r="R8" s="2" t="n"/>
      <c r="S8" s="2" t="n"/>
      <c r="T8" s="2" t="n"/>
      <c r="U8" s="2" t="n"/>
      <c r="V8" s="2" t="n"/>
      <c r="W8" s="2" t="n"/>
      <c r="X8" s="2" t="n"/>
      <c r="Y8" s="2" t="n"/>
      <c r="Z8" s="2" t="n"/>
    </row>
    <row r="9">
      <c r="A9" s="41" t="n"/>
      <c r="B9" s="41" t="n"/>
      <c r="C9" s="41" t="n"/>
      <c r="D9" s="41" t="n"/>
      <c r="E9" s="41" t="n"/>
      <c r="F9" s="2" t="n"/>
      <c r="G9" s="2" t="n"/>
      <c r="H9" s="2" t="n"/>
      <c r="I9" s="2" t="n"/>
      <c r="J9" s="2" t="n"/>
      <c r="K9" s="2" t="n"/>
      <c r="L9" s="2" t="n"/>
      <c r="M9" s="2" t="n"/>
      <c r="N9" s="2" t="n"/>
      <c r="O9" s="2" t="n"/>
      <c r="P9" s="2" t="n"/>
      <c r="Q9" s="2" t="n"/>
      <c r="R9" s="2" t="n"/>
      <c r="S9" s="2" t="n"/>
      <c r="T9" s="2" t="n"/>
      <c r="U9" s="2" t="n"/>
      <c r="V9" s="2" t="n"/>
      <c r="W9" s="2" t="n"/>
      <c r="X9" s="2" t="n"/>
      <c r="Y9" s="2" t="n"/>
      <c r="Z9" s="2" t="n"/>
    </row>
    <row r="10">
      <c r="A10" s="41" t="n"/>
      <c r="B10" s="41" t="n"/>
      <c r="C10" s="41" t="n"/>
      <c r="D10" s="41" t="n"/>
      <c r="E10" s="41"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41" t="n"/>
      <c r="B11" s="41" t="n"/>
      <c r="C11" s="41" t="n"/>
      <c r="D11" s="41" t="n"/>
      <c r="E11" s="41"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41" t="n"/>
      <c r="B12" s="41" t="n"/>
      <c r="C12" s="41" t="n"/>
      <c r="D12" s="41" t="n"/>
      <c r="E12" s="41"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41" t="n"/>
      <c r="B13" s="41" t="n"/>
      <c r="C13" s="41" t="n"/>
      <c r="D13" s="41" t="n"/>
      <c r="E13" s="41"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41" t="n"/>
      <c r="B14" s="41" t="n"/>
      <c r="C14" s="41" t="n"/>
      <c r="D14" s="41" t="n"/>
      <c r="E14" s="41"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41" t="n"/>
      <c r="B15" s="41" t="n"/>
      <c r="C15" s="41" t="n"/>
      <c r="D15" s="41" t="n"/>
      <c r="E15" s="41"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41" t="n"/>
      <c r="B16" s="41" t="n"/>
      <c r="C16" s="41" t="n"/>
      <c r="D16" s="41" t="n"/>
      <c r="E16" s="41"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41" t="n"/>
      <c r="B17" s="41" t="n"/>
      <c r="C17" s="41" t="n"/>
      <c r="D17" s="41" t="n"/>
      <c r="E17" s="41"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1" t="n"/>
      <c r="B18" s="41" t="n"/>
      <c r="C18" s="41" t="n"/>
      <c r="D18" s="41" t="n"/>
      <c r="E18" s="41"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41" t="n"/>
      <c r="B19" s="41" t="n"/>
      <c r="C19" s="41" t="n"/>
      <c r="D19" s="41" t="n"/>
      <c r="E19" s="41"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41" t="n"/>
      <c r="B20" s="41" t="n"/>
      <c r="C20" s="41" t="n"/>
      <c r="D20" s="41" t="n"/>
      <c r="E20" s="41"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2">
      <c r="A21" s="41" t="n"/>
      <c r="B21" s="41" t="n"/>
      <c r="C21" s="41" t="n"/>
      <c r="D21" s="41" t="n"/>
      <c r="E21" s="41"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2">
      <c r="A22" s="41" t="n"/>
      <c r="B22" s="41" t="n"/>
      <c r="C22" s="41" t="n"/>
      <c r="D22" s="41" t="n"/>
      <c r="E22" s="41"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2">
      <c r="A23" s="41" t="n"/>
      <c r="B23" s="41" t="n"/>
      <c r="C23" s="41" t="n"/>
      <c r="D23" s="41" t="n"/>
      <c r="E23" s="41"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2">
      <c r="A24" s="41" t="n"/>
      <c r="B24" s="41" t="n"/>
      <c r="C24" s="41" t="n"/>
      <c r="D24" s="41" t="n"/>
      <c r="E24" s="41"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2">
      <c r="A25" s="41" t="n"/>
      <c r="B25" s="41" t="n"/>
      <c r="C25" s="41" t="n"/>
      <c r="D25" s="41" t="n"/>
      <c r="E25" s="41"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2">
      <c r="A26" s="41" t="n"/>
      <c r="B26" s="41" t="n"/>
      <c r="C26" s="41" t="n"/>
      <c r="D26" s="41" t="n"/>
      <c r="E26" s="41"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2">
      <c r="A27" s="41" t="n"/>
      <c r="B27" s="41" t="n"/>
      <c r="C27" s="41" t="n"/>
      <c r="D27" s="41" t="n"/>
      <c r="E27" s="41"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41" t="n"/>
      <c r="B28" s="41" t="n"/>
      <c r="C28" s="41" t="n"/>
      <c r="D28" s="41" t="n"/>
      <c r="E28" s="41"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41" t="n"/>
      <c r="B29" s="41" t="n"/>
      <c r="C29" s="41" t="n"/>
      <c r="D29" s="41" t="n"/>
      <c r="E29" s="41"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2">
      <c r="A30" s="41" t="n"/>
      <c r="B30" s="41" t="n"/>
      <c r="C30" s="41" t="n"/>
      <c r="D30" s="41" t="n"/>
      <c r="E30" s="41"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2">
      <c r="A31" s="41" t="n"/>
      <c r="B31" s="41" t="n"/>
      <c r="C31" s="41" t="n"/>
      <c r="D31" s="41" t="n"/>
      <c r="E31" s="41"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41" t="n"/>
      <c r="B32" s="41" t="n"/>
      <c r="C32" s="41" t="n"/>
      <c r="D32" s="41" t="n"/>
      <c r="E32" s="41"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41" t="n"/>
      <c r="B33" s="41" t="n"/>
      <c r="C33" s="41" t="n"/>
      <c r="D33" s="41" t="n"/>
      <c r="E33" s="41"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41" t="n"/>
      <c r="B34" s="41" t="n"/>
      <c r="C34" s="41" t="n"/>
      <c r="D34" s="41" t="n"/>
      <c r="E34" s="41"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41" t="n"/>
      <c r="B35" s="41" t="n"/>
      <c r="C35" s="41" t="n"/>
      <c r="D35" s="41" t="n"/>
      <c r="E35" s="41"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41" t="n"/>
      <c r="B36" s="41" t="n"/>
      <c r="C36" s="41" t="n"/>
      <c r="D36" s="41" t="n"/>
      <c r="E36" s="41"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41" t="n"/>
      <c r="B37" s="41" t="n"/>
      <c r="C37" s="41" t="n"/>
      <c r="D37" s="41" t="n"/>
      <c r="E37" s="41"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41" t="n"/>
      <c r="B38" s="41" t="n"/>
      <c r="C38" s="41" t="n"/>
      <c r="D38" s="41" t="n"/>
      <c r="E38" s="41"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41" t="n"/>
      <c r="B39" s="41" t="n"/>
      <c r="C39" s="41" t="n"/>
      <c r="D39" s="41" t="n"/>
      <c r="E39" s="41"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41" t="n"/>
      <c r="B40" s="41" t="n"/>
      <c r="C40" s="41" t="n"/>
      <c r="D40" s="41" t="n"/>
      <c r="E40" s="41"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41" t="n"/>
      <c r="B41" s="41" t="n"/>
      <c r="C41" s="41" t="n"/>
      <c r="D41" s="41" t="n"/>
      <c r="E41" s="41"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41" t="n"/>
      <c r="B42" s="41" t="n"/>
      <c r="C42" s="41" t="n"/>
      <c r="D42" s="41" t="n"/>
      <c r="E42" s="41"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41" t="n"/>
      <c r="B43" s="41" t="n"/>
      <c r="C43" s="41" t="n"/>
      <c r="D43" s="41" t="n"/>
      <c r="E43" s="41"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41" t="n"/>
      <c r="B44" s="41" t="n"/>
      <c r="C44" s="41" t="n"/>
      <c r="D44" s="41" t="n"/>
      <c r="E44" s="41"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41" t="n"/>
      <c r="B45" s="41" t="n"/>
      <c r="C45" s="41" t="n"/>
      <c r="D45" s="41" t="n"/>
      <c r="E45" s="41"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41" t="n"/>
      <c r="B46" s="41" t="n"/>
      <c r="C46" s="41" t="n"/>
      <c r="D46" s="41" t="n"/>
      <c r="E46" s="41"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41" t="n"/>
      <c r="B47" s="41" t="n"/>
      <c r="C47" s="41" t="n"/>
      <c r="D47" s="41" t="n"/>
      <c r="E47" s="41"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41" t="n"/>
      <c r="B48" s="41" t="n"/>
      <c r="C48" s="41" t="n"/>
      <c r="D48" s="41" t="n"/>
      <c r="E48" s="41"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41" t="n"/>
      <c r="B49" s="41" t="n"/>
      <c r="C49" s="41" t="n"/>
      <c r="D49" s="41" t="n"/>
      <c r="E49" s="41"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41" t="n"/>
      <c r="B50" s="41" t="n"/>
      <c r="C50" s="41" t="n"/>
      <c r="D50" s="41" t="n"/>
      <c r="E50" s="41"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41" t="n"/>
      <c r="B51" s="41" t="n"/>
      <c r="C51" s="41" t="n"/>
      <c r="D51" s="41" t="n"/>
      <c r="E51" s="41"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41" t="n"/>
      <c r="B52" s="41" t="n"/>
      <c r="C52" s="41" t="n"/>
      <c r="D52" s="41" t="n"/>
      <c r="E52" s="41"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41" t="n"/>
      <c r="B53" s="41" t="n"/>
      <c r="C53" s="41" t="n"/>
      <c r="D53" s="41" t="n"/>
      <c r="E53" s="41"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41" t="n"/>
      <c r="B54" s="41" t="n"/>
      <c r="C54" s="41" t="n"/>
      <c r="D54" s="41" t="n"/>
      <c r="E54" s="41"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41" t="n"/>
      <c r="B55" s="41" t="n"/>
      <c r="C55" s="41" t="n"/>
      <c r="D55" s="41" t="n"/>
      <c r="E55" s="41"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41" t="n"/>
      <c r="B56" s="41" t="n"/>
      <c r="C56" s="41" t="n"/>
      <c r="D56" s="41" t="n"/>
      <c r="E56" s="41"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41" t="n"/>
      <c r="B57" s="41" t="n"/>
      <c r="C57" s="41" t="n"/>
      <c r="D57" s="41" t="n"/>
      <c r="E57" s="41"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41" t="n"/>
      <c r="B58" s="41" t="n"/>
      <c r="C58" s="41" t="n"/>
      <c r="D58" s="41" t="n"/>
      <c r="E58" s="41"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41" t="n"/>
      <c r="B59" s="41" t="n"/>
      <c r="C59" s="41" t="n"/>
      <c r="D59" s="41" t="n"/>
      <c r="E59" s="41"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41" t="n"/>
      <c r="B60" s="41" t="n"/>
      <c r="C60" s="41" t="n"/>
      <c r="D60" s="41" t="n"/>
      <c r="E60" s="41"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41" t="n"/>
      <c r="B61" s="41" t="n"/>
      <c r="C61" s="41" t="n"/>
      <c r="D61" s="41" t="n"/>
      <c r="E61" s="41"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41" t="n"/>
      <c r="B62" s="41" t="n"/>
      <c r="C62" s="41" t="n"/>
      <c r="D62" s="41" t="n"/>
      <c r="E62" s="41"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41" t="n"/>
      <c r="B63" s="41" t="n"/>
      <c r="C63" s="41" t="n"/>
      <c r="D63" s="41" t="n"/>
      <c r="E63" s="41"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41" t="n"/>
      <c r="B64" s="41" t="n"/>
      <c r="C64" s="41" t="n"/>
      <c r="D64" s="41" t="n"/>
      <c r="E64" s="41"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41" t="n"/>
      <c r="B65" s="41" t="n"/>
      <c r="C65" s="41" t="n"/>
      <c r="D65" s="41" t="n"/>
      <c r="E65" s="41"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41" t="n"/>
      <c r="B66" s="41" t="n"/>
      <c r="C66" s="41" t="n"/>
      <c r="D66" s="41" t="n"/>
      <c r="E66" s="41"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41" t="n"/>
      <c r="B67" s="41" t="n"/>
      <c r="C67" s="41" t="n"/>
      <c r="D67" s="41" t="n"/>
      <c r="E67" s="41"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41" t="n"/>
      <c r="B68" s="41" t="n"/>
      <c r="C68" s="41" t="n"/>
      <c r="D68" s="41" t="n"/>
      <c r="E68" s="41"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41" t="n"/>
      <c r="B69" s="41" t="n"/>
      <c r="C69" s="41" t="n"/>
      <c r="D69" s="41" t="n"/>
      <c r="E69" s="41"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41" t="n"/>
      <c r="B70" s="41" t="n"/>
      <c r="C70" s="41" t="n"/>
      <c r="D70" s="41" t="n"/>
      <c r="E70" s="41"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41" t="n"/>
      <c r="B71" s="41" t="n"/>
      <c r="C71" s="41" t="n"/>
      <c r="D71" s="41" t="n"/>
      <c r="E71" s="41"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41" t="n"/>
      <c r="B72" s="41" t="n"/>
      <c r="C72" s="41" t="n"/>
      <c r="D72" s="41" t="n"/>
      <c r="E72" s="41"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41" t="n"/>
      <c r="B73" s="41" t="n"/>
      <c r="C73" s="41" t="n"/>
      <c r="D73" s="41" t="n"/>
      <c r="E73" s="41"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41" t="n"/>
      <c r="B74" s="41" t="n"/>
      <c r="C74" s="41" t="n"/>
      <c r="D74" s="41" t="n"/>
      <c r="E74" s="41"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41" t="n"/>
      <c r="B75" s="41" t="n"/>
      <c r="C75" s="41" t="n"/>
      <c r="D75" s="41" t="n"/>
      <c r="E75" s="41"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41" t="n"/>
      <c r="B76" s="41" t="n"/>
      <c r="C76" s="41" t="n"/>
      <c r="D76" s="41" t="n"/>
      <c r="E76" s="41"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41" t="n"/>
      <c r="B77" s="41" t="n"/>
      <c r="C77" s="41" t="n"/>
      <c r="D77" s="41" t="n"/>
      <c r="E77" s="41"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41" t="n"/>
      <c r="B78" s="41" t="n"/>
      <c r="C78" s="41" t="n"/>
      <c r="D78" s="41" t="n"/>
      <c r="E78" s="41"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41" t="n"/>
      <c r="B79" s="41" t="n"/>
      <c r="C79" s="41" t="n"/>
      <c r="D79" s="41" t="n"/>
      <c r="E79" s="41"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41" t="n"/>
      <c r="B80" s="41" t="n"/>
      <c r="C80" s="41" t="n"/>
      <c r="D80" s="41" t="n"/>
      <c r="E80" s="41"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41" t="n"/>
      <c r="B81" s="41" t="n"/>
      <c r="C81" s="41" t="n"/>
      <c r="D81" s="41" t="n"/>
      <c r="E81" s="41"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41" t="n"/>
      <c r="B82" s="41" t="n"/>
      <c r="C82" s="41" t="n"/>
      <c r="D82" s="41" t="n"/>
      <c r="E82" s="41"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41" t="n"/>
      <c r="B83" s="41" t="n"/>
      <c r="C83" s="41" t="n"/>
      <c r="D83" s="41" t="n"/>
      <c r="E83" s="41"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41" t="n"/>
      <c r="B84" s="41" t="n"/>
      <c r="C84" s="41" t="n"/>
      <c r="D84" s="41" t="n"/>
      <c r="E84" s="41"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41" t="n"/>
      <c r="B85" s="41" t="n"/>
      <c r="C85" s="41" t="n"/>
      <c r="D85" s="41" t="n"/>
      <c r="E85" s="41"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41" t="n"/>
      <c r="B86" s="41" t="n"/>
      <c r="C86" s="41" t="n"/>
      <c r="D86" s="41" t="n"/>
      <c r="E86" s="41"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41" t="n"/>
      <c r="B87" s="41" t="n"/>
      <c r="C87" s="41" t="n"/>
      <c r="D87" s="41" t="n"/>
      <c r="E87" s="41"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41" t="n"/>
      <c r="B88" s="41" t="n"/>
      <c r="C88" s="41" t="n"/>
      <c r="D88" s="41" t="n"/>
      <c r="E88" s="41"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41" t="n"/>
      <c r="B89" s="41" t="n"/>
      <c r="C89" s="41" t="n"/>
      <c r="D89" s="41" t="n"/>
      <c r="E89" s="41"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41" t="n"/>
      <c r="B90" s="41" t="n"/>
      <c r="C90" s="41" t="n"/>
      <c r="D90" s="41" t="n"/>
      <c r="E90" s="41"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41" t="n"/>
      <c r="B91" s="41" t="n"/>
      <c r="C91" s="41" t="n"/>
      <c r="D91" s="41" t="n"/>
      <c r="E91" s="41"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41" t="n"/>
      <c r="B92" s="41" t="n"/>
      <c r="C92" s="41" t="n"/>
      <c r="D92" s="41" t="n"/>
      <c r="E92" s="41"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41" t="n"/>
      <c r="B93" s="41" t="n"/>
      <c r="C93" s="41" t="n"/>
      <c r="D93" s="41" t="n"/>
      <c r="E93" s="41"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41" t="n"/>
      <c r="B94" s="41" t="n"/>
      <c r="C94" s="41" t="n"/>
      <c r="D94" s="41" t="n"/>
      <c r="E94" s="41"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41" t="n"/>
      <c r="B95" s="41" t="n"/>
      <c r="C95" s="41" t="n"/>
      <c r="D95" s="41" t="n"/>
      <c r="E95" s="41"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41" t="n"/>
      <c r="B96" s="41" t="n"/>
      <c r="C96" s="41" t="n"/>
      <c r="D96" s="41" t="n"/>
      <c r="E96" s="41"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41" t="n"/>
      <c r="B97" s="41" t="n"/>
      <c r="C97" s="41" t="n"/>
      <c r="D97" s="41" t="n"/>
      <c r="E97" s="41"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41" t="n"/>
      <c r="B98" s="41" t="n"/>
      <c r="C98" s="41" t="n"/>
      <c r="D98" s="41" t="n"/>
      <c r="E98" s="41"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41" t="n"/>
      <c r="B99" s="41" t="n"/>
      <c r="C99" s="41" t="n"/>
      <c r="D99" s="41" t="n"/>
      <c r="E99" s="41"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41" t="n"/>
      <c r="B100" s="41" t="n"/>
      <c r="C100" s="41" t="n"/>
      <c r="D100" s="41" t="n"/>
      <c r="E100" s="41"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41" t="n"/>
      <c r="B101" s="41" t="n"/>
      <c r="C101" s="41" t="n"/>
      <c r="D101" s="41" t="n"/>
      <c r="E101" s="41"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41" t="n"/>
      <c r="B102" s="41" t="n"/>
      <c r="C102" s="41" t="n"/>
      <c r="D102" s="41" t="n"/>
      <c r="E102" s="41"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41" t="n"/>
      <c r="B103" s="41" t="n"/>
      <c r="C103" s="41" t="n"/>
      <c r="D103" s="41" t="n"/>
      <c r="E103" s="41"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41" t="n"/>
      <c r="B104" s="41" t="n"/>
      <c r="C104" s="41" t="n"/>
      <c r="D104" s="41" t="n"/>
      <c r="E104" s="41"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41" t="n"/>
      <c r="B105" s="41" t="n"/>
      <c r="C105" s="41" t="n"/>
      <c r="D105" s="41" t="n"/>
      <c r="E105" s="41"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41" t="n"/>
      <c r="B106" s="41" t="n"/>
      <c r="C106" s="41" t="n"/>
      <c r="D106" s="41" t="n"/>
      <c r="E106" s="41"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41" t="n"/>
      <c r="B107" s="41" t="n"/>
      <c r="C107" s="41" t="n"/>
      <c r="D107" s="41" t="n"/>
      <c r="E107" s="41"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41" t="n"/>
      <c r="B108" s="41" t="n"/>
      <c r="C108" s="41" t="n"/>
      <c r="D108" s="41" t="n"/>
      <c r="E108" s="41"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41" t="n"/>
      <c r="B109" s="41" t="n"/>
      <c r="C109" s="41" t="n"/>
      <c r="D109" s="41" t="n"/>
      <c r="E109" s="41"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41" t="n"/>
      <c r="B110" s="41" t="n"/>
      <c r="C110" s="41" t="n"/>
      <c r="D110" s="41" t="n"/>
      <c r="E110" s="41"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41" t="n"/>
      <c r="B111" s="41" t="n"/>
      <c r="C111" s="41" t="n"/>
      <c r="D111" s="41" t="n"/>
      <c r="E111" s="41"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41" t="n"/>
      <c r="B112" s="41" t="n"/>
      <c r="C112" s="41" t="n"/>
      <c r="D112" s="41" t="n"/>
      <c r="E112" s="41"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41" t="n"/>
      <c r="B113" s="41" t="n"/>
      <c r="C113" s="41" t="n"/>
      <c r="D113" s="41" t="n"/>
      <c r="E113" s="41"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41" t="n"/>
      <c r="B114" s="41" t="n"/>
      <c r="C114" s="41" t="n"/>
      <c r="D114" s="41" t="n"/>
      <c r="E114" s="41"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41" t="n"/>
      <c r="B115" s="41" t="n"/>
      <c r="C115" s="41" t="n"/>
      <c r="D115" s="41" t="n"/>
      <c r="E115" s="41"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41" t="n"/>
      <c r="B116" s="41" t="n"/>
      <c r="C116" s="41" t="n"/>
      <c r="D116" s="41" t="n"/>
      <c r="E116" s="41"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41" t="n"/>
      <c r="B117" s="41" t="n"/>
      <c r="C117" s="41" t="n"/>
      <c r="D117" s="41" t="n"/>
      <c r="E117" s="41"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41" t="n"/>
      <c r="B118" s="41" t="n"/>
      <c r="C118" s="41" t="n"/>
      <c r="D118" s="41" t="n"/>
      <c r="E118" s="41"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41" t="n"/>
      <c r="B119" s="41" t="n"/>
      <c r="C119" s="41" t="n"/>
      <c r="D119" s="41" t="n"/>
      <c r="E119" s="41"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41" t="n"/>
      <c r="B120" s="41" t="n"/>
      <c r="C120" s="41" t="n"/>
      <c r="D120" s="41" t="n"/>
      <c r="E120" s="41"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41" t="n"/>
      <c r="B121" s="41" t="n"/>
      <c r="C121" s="41" t="n"/>
      <c r="D121" s="41" t="n"/>
      <c r="E121" s="41"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41" t="n"/>
      <c r="B122" s="41" t="n"/>
      <c r="C122" s="41" t="n"/>
      <c r="D122" s="41" t="n"/>
      <c r="E122" s="41"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41" t="n"/>
      <c r="B123" s="41" t="n"/>
      <c r="C123" s="41" t="n"/>
      <c r="D123" s="41" t="n"/>
      <c r="E123" s="41"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41" t="n"/>
      <c r="B124" s="41" t="n"/>
      <c r="C124" s="41" t="n"/>
      <c r="D124" s="41" t="n"/>
      <c r="E124" s="41"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41" t="n"/>
      <c r="B125" s="41" t="n"/>
      <c r="C125" s="41" t="n"/>
      <c r="D125" s="41" t="n"/>
      <c r="E125" s="41"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41" t="n"/>
      <c r="B126" s="41" t="n"/>
      <c r="C126" s="41" t="n"/>
      <c r="D126" s="41" t="n"/>
      <c r="E126" s="41"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41" t="n"/>
      <c r="B127" s="41" t="n"/>
      <c r="C127" s="41" t="n"/>
      <c r="D127" s="41" t="n"/>
      <c r="E127" s="41"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41" t="n"/>
      <c r="B128" s="41" t="n"/>
      <c r="C128" s="41" t="n"/>
      <c r="D128" s="41" t="n"/>
      <c r="E128" s="41"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41" t="n"/>
      <c r="B129" s="41" t="n"/>
      <c r="C129" s="41" t="n"/>
      <c r="D129" s="41" t="n"/>
      <c r="E129" s="41"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41" t="n"/>
      <c r="B130" s="41" t="n"/>
      <c r="C130" s="41" t="n"/>
      <c r="D130" s="41" t="n"/>
      <c r="E130" s="41"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41" t="n"/>
      <c r="B131" s="41" t="n"/>
      <c r="C131" s="41" t="n"/>
      <c r="D131" s="41" t="n"/>
      <c r="E131" s="41"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41" t="n"/>
      <c r="B132" s="41" t="n"/>
      <c r="C132" s="41" t="n"/>
      <c r="D132" s="41" t="n"/>
      <c r="E132" s="41"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41" t="n"/>
      <c r="B133" s="41" t="n"/>
      <c r="C133" s="41" t="n"/>
      <c r="D133" s="41" t="n"/>
      <c r="E133" s="41"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41" t="n"/>
      <c r="B134" s="41" t="n"/>
      <c r="C134" s="41" t="n"/>
      <c r="D134" s="41" t="n"/>
      <c r="E134" s="41"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41" t="n"/>
      <c r="B135" s="41" t="n"/>
      <c r="C135" s="41" t="n"/>
      <c r="D135" s="41" t="n"/>
      <c r="E135" s="41"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41" t="n"/>
      <c r="B136" s="41" t="n"/>
      <c r="C136" s="41" t="n"/>
      <c r="D136" s="41" t="n"/>
      <c r="E136" s="41"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41" t="n"/>
      <c r="B137" s="41" t="n"/>
      <c r="C137" s="41" t="n"/>
      <c r="D137" s="41" t="n"/>
      <c r="E137" s="41"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41" t="n"/>
      <c r="B138" s="41" t="n"/>
      <c r="C138" s="41" t="n"/>
      <c r="D138" s="41" t="n"/>
      <c r="E138" s="41"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41" t="n"/>
      <c r="B139" s="41" t="n"/>
      <c r="C139" s="41" t="n"/>
      <c r="D139" s="41" t="n"/>
      <c r="E139" s="41"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41" t="n"/>
      <c r="B140" s="41" t="n"/>
      <c r="C140" s="41" t="n"/>
      <c r="D140" s="41" t="n"/>
      <c r="E140" s="41"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41" t="n"/>
      <c r="B141" s="41" t="n"/>
      <c r="C141" s="41" t="n"/>
      <c r="D141" s="41" t="n"/>
      <c r="E141" s="41"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41" t="n"/>
      <c r="B142" s="41" t="n"/>
      <c r="C142" s="41" t="n"/>
      <c r="D142" s="41" t="n"/>
      <c r="E142" s="41"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41" t="n"/>
      <c r="B143" s="41" t="n"/>
      <c r="C143" s="41" t="n"/>
      <c r="D143" s="41" t="n"/>
      <c r="E143" s="41"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41" t="n"/>
      <c r="B144" s="41" t="n"/>
      <c r="C144" s="41" t="n"/>
      <c r="D144" s="41" t="n"/>
      <c r="E144" s="41"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41" t="n"/>
      <c r="B145" s="41" t="n"/>
      <c r="C145" s="41" t="n"/>
      <c r="D145" s="41" t="n"/>
      <c r="E145" s="41"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41" t="n"/>
      <c r="B146" s="41" t="n"/>
      <c r="C146" s="41" t="n"/>
      <c r="D146" s="41" t="n"/>
      <c r="E146" s="41"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41" t="n"/>
      <c r="B147" s="41" t="n"/>
      <c r="C147" s="41" t="n"/>
      <c r="D147" s="41" t="n"/>
      <c r="E147" s="41"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41" t="n"/>
      <c r="B148" s="41" t="n"/>
      <c r="C148" s="41" t="n"/>
      <c r="D148" s="41" t="n"/>
      <c r="E148" s="41"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41" t="n"/>
      <c r="B149" s="41" t="n"/>
      <c r="C149" s="41" t="n"/>
      <c r="D149" s="41" t="n"/>
      <c r="E149" s="41"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41" t="n"/>
      <c r="B150" s="41" t="n"/>
      <c r="C150" s="41" t="n"/>
      <c r="D150" s="41" t="n"/>
      <c r="E150" s="41"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41" t="n"/>
      <c r="B151" s="41" t="n"/>
      <c r="C151" s="41" t="n"/>
      <c r="D151" s="41" t="n"/>
      <c r="E151" s="41"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41" t="n"/>
      <c r="B152" s="41" t="n"/>
      <c r="C152" s="41" t="n"/>
      <c r="D152" s="41" t="n"/>
      <c r="E152" s="41"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41" t="n"/>
      <c r="B153" s="41" t="n"/>
      <c r="C153" s="41" t="n"/>
      <c r="D153" s="41" t="n"/>
      <c r="E153" s="41"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41" t="n"/>
      <c r="B154" s="41" t="n"/>
      <c r="C154" s="41" t="n"/>
      <c r="D154" s="41" t="n"/>
      <c r="E154" s="41"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41" t="n"/>
      <c r="B155" s="41" t="n"/>
      <c r="C155" s="41" t="n"/>
      <c r="D155" s="41" t="n"/>
      <c r="E155" s="41"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41" t="n"/>
      <c r="B156" s="41" t="n"/>
      <c r="C156" s="41" t="n"/>
      <c r="D156" s="41" t="n"/>
      <c r="E156" s="41"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41" t="n"/>
      <c r="B157" s="41" t="n"/>
      <c r="C157" s="41" t="n"/>
      <c r="D157" s="41" t="n"/>
      <c r="E157" s="41"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41" t="n"/>
      <c r="B158" s="41" t="n"/>
      <c r="C158" s="41" t="n"/>
      <c r="D158" s="41" t="n"/>
      <c r="E158" s="41"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41" t="n"/>
      <c r="B159" s="41" t="n"/>
      <c r="C159" s="41" t="n"/>
      <c r="D159" s="41" t="n"/>
      <c r="E159" s="41"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41" t="n"/>
      <c r="B160" s="41" t="n"/>
      <c r="C160" s="41" t="n"/>
      <c r="D160" s="41" t="n"/>
      <c r="E160" s="41"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41" t="n"/>
      <c r="B161" s="41" t="n"/>
      <c r="C161" s="41" t="n"/>
      <c r="D161" s="41" t="n"/>
      <c r="E161" s="41"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41" t="n"/>
      <c r="B162" s="41" t="n"/>
      <c r="C162" s="41" t="n"/>
      <c r="D162" s="41" t="n"/>
      <c r="E162" s="41"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41" t="n"/>
      <c r="B163" s="41" t="n"/>
      <c r="C163" s="41" t="n"/>
      <c r="D163" s="41" t="n"/>
      <c r="E163" s="41"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41" t="n"/>
      <c r="B164" s="41" t="n"/>
      <c r="C164" s="41" t="n"/>
      <c r="D164" s="41" t="n"/>
      <c r="E164" s="41"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41" t="n"/>
      <c r="B165" s="41" t="n"/>
      <c r="C165" s="41" t="n"/>
      <c r="D165" s="41" t="n"/>
      <c r="E165" s="41"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41" t="n"/>
      <c r="B166" s="41" t="n"/>
      <c r="C166" s="41" t="n"/>
      <c r="D166" s="41" t="n"/>
      <c r="E166" s="41"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41" t="n"/>
      <c r="B167" s="41" t="n"/>
      <c r="C167" s="41" t="n"/>
      <c r="D167" s="41" t="n"/>
      <c r="E167" s="41"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41" t="n"/>
      <c r="B168" s="41" t="n"/>
      <c r="C168" s="41" t="n"/>
      <c r="D168" s="41" t="n"/>
      <c r="E168" s="41"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41" t="n"/>
      <c r="B169" s="41" t="n"/>
      <c r="C169" s="41" t="n"/>
      <c r="D169" s="41" t="n"/>
      <c r="E169" s="41"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41" t="n"/>
      <c r="B170" s="41" t="n"/>
      <c r="C170" s="41" t="n"/>
      <c r="D170" s="41" t="n"/>
      <c r="E170" s="41"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41" t="n"/>
      <c r="B171" s="41" t="n"/>
      <c r="C171" s="41" t="n"/>
      <c r="D171" s="41" t="n"/>
      <c r="E171" s="41"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41" t="n"/>
      <c r="B172" s="41" t="n"/>
      <c r="C172" s="41" t="n"/>
      <c r="D172" s="41" t="n"/>
      <c r="E172" s="41"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41" t="n"/>
      <c r="B173" s="41" t="n"/>
      <c r="C173" s="41" t="n"/>
      <c r="D173" s="41" t="n"/>
      <c r="E173" s="41"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41" t="n"/>
      <c r="B174" s="41" t="n"/>
      <c r="C174" s="41" t="n"/>
      <c r="D174" s="41" t="n"/>
      <c r="E174" s="41"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41" t="n"/>
      <c r="B175" s="41" t="n"/>
      <c r="C175" s="41" t="n"/>
      <c r="D175" s="41" t="n"/>
      <c r="E175" s="41"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41" t="n"/>
      <c r="B176" s="41" t="n"/>
      <c r="C176" s="41" t="n"/>
      <c r="D176" s="41" t="n"/>
      <c r="E176" s="41"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41" t="n"/>
      <c r="B177" s="41" t="n"/>
      <c r="C177" s="41" t="n"/>
      <c r="D177" s="41" t="n"/>
      <c r="E177" s="41"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41" t="n"/>
      <c r="B178" s="41" t="n"/>
      <c r="C178" s="41" t="n"/>
      <c r="D178" s="41" t="n"/>
      <c r="E178" s="41"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41" t="n"/>
      <c r="B179" s="41" t="n"/>
      <c r="C179" s="41" t="n"/>
      <c r="D179" s="41" t="n"/>
      <c r="E179" s="41"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41" t="n"/>
      <c r="B180" s="41" t="n"/>
      <c r="C180" s="41" t="n"/>
      <c r="D180" s="41" t="n"/>
      <c r="E180" s="41"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41" t="n"/>
      <c r="B181" s="41" t="n"/>
      <c r="C181" s="41" t="n"/>
      <c r="D181" s="41" t="n"/>
      <c r="E181" s="41"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41" t="n"/>
      <c r="B182" s="41" t="n"/>
      <c r="C182" s="41" t="n"/>
      <c r="D182" s="41" t="n"/>
      <c r="E182" s="41"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41" t="n"/>
      <c r="B183" s="41" t="n"/>
      <c r="C183" s="41" t="n"/>
      <c r="D183" s="41" t="n"/>
      <c r="E183" s="41"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41" t="n"/>
      <c r="B184" s="41" t="n"/>
      <c r="C184" s="41" t="n"/>
      <c r="D184" s="41" t="n"/>
      <c r="E184" s="41"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41" t="n"/>
      <c r="B185" s="41" t="n"/>
      <c r="C185" s="41" t="n"/>
      <c r="D185" s="41" t="n"/>
      <c r="E185" s="41"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41" t="n"/>
      <c r="B186" s="41" t="n"/>
      <c r="C186" s="41" t="n"/>
      <c r="D186" s="41" t="n"/>
      <c r="E186" s="41"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41" t="n"/>
      <c r="B187" s="41" t="n"/>
      <c r="C187" s="41" t="n"/>
      <c r="D187" s="41" t="n"/>
      <c r="E187" s="41"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41" t="n"/>
      <c r="B188" s="41" t="n"/>
      <c r="C188" s="41" t="n"/>
      <c r="D188" s="41" t="n"/>
      <c r="E188" s="41"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41" t="n"/>
      <c r="B189" s="41" t="n"/>
      <c r="C189" s="41" t="n"/>
      <c r="D189" s="41" t="n"/>
      <c r="E189" s="41"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41" t="n"/>
      <c r="B190" s="41" t="n"/>
      <c r="C190" s="41" t="n"/>
      <c r="D190" s="41" t="n"/>
      <c r="E190" s="41"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41" t="n"/>
      <c r="B191" s="41" t="n"/>
      <c r="C191" s="41" t="n"/>
      <c r="D191" s="41" t="n"/>
      <c r="E191" s="41"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41" t="n"/>
      <c r="B192" s="41" t="n"/>
      <c r="C192" s="41" t="n"/>
      <c r="D192" s="41" t="n"/>
      <c r="E192" s="41"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41" t="n"/>
      <c r="B193" s="41" t="n"/>
      <c r="C193" s="41" t="n"/>
      <c r="D193" s="41" t="n"/>
      <c r="E193" s="41"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41" t="n"/>
      <c r="B194" s="41" t="n"/>
      <c r="C194" s="41" t="n"/>
      <c r="D194" s="41" t="n"/>
      <c r="E194" s="41"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41" t="n"/>
      <c r="B195" s="41" t="n"/>
      <c r="C195" s="41" t="n"/>
      <c r="D195" s="41" t="n"/>
      <c r="E195" s="41"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41" t="n"/>
      <c r="B196" s="41" t="n"/>
      <c r="C196" s="41" t="n"/>
      <c r="D196" s="41" t="n"/>
      <c r="E196" s="41"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41" t="n"/>
      <c r="B197" s="41" t="n"/>
      <c r="C197" s="41" t="n"/>
      <c r="D197" s="41" t="n"/>
      <c r="E197" s="41"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41" t="n"/>
      <c r="B198" s="41" t="n"/>
      <c r="C198" s="41" t="n"/>
      <c r="D198" s="41" t="n"/>
      <c r="E198" s="41"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41" t="n"/>
      <c r="B199" s="41" t="n"/>
      <c r="C199" s="41" t="n"/>
      <c r="D199" s="41" t="n"/>
      <c r="E199" s="41"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41" t="n"/>
      <c r="B200" s="41" t="n"/>
      <c r="C200" s="41" t="n"/>
      <c r="D200" s="41" t="n"/>
      <c r="E200" s="41"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41" t="n"/>
      <c r="B201" s="41" t="n"/>
      <c r="C201" s="41" t="n"/>
      <c r="D201" s="41" t="n"/>
      <c r="E201" s="41"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41" t="n"/>
      <c r="B202" s="41" t="n"/>
      <c r="C202" s="41" t="n"/>
      <c r="D202" s="41" t="n"/>
      <c r="E202" s="41"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41" t="n"/>
      <c r="B203" s="41" t="n"/>
      <c r="C203" s="41" t="n"/>
      <c r="D203" s="41" t="n"/>
      <c r="E203" s="41"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41" t="n"/>
      <c r="B204" s="41" t="n"/>
      <c r="C204" s="41" t="n"/>
      <c r="D204" s="41" t="n"/>
      <c r="E204" s="41"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41" t="n"/>
      <c r="B205" s="41" t="n"/>
      <c r="C205" s="41" t="n"/>
      <c r="D205" s="41" t="n"/>
      <c r="E205" s="41"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41" t="n"/>
      <c r="B206" s="41" t="n"/>
      <c r="C206" s="41" t="n"/>
      <c r="D206" s="41" t="n"/>
      <c r="E206" s="41"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41" t="n"/>
      <c r="B207" s="41" t="n"/>
      <c r="C207" s="41" t="n"/>
      <c r="D207" s="41" t="n"/>
      <c r="E207" s="41"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41" t="n"/>
      <c r="B208" s="41" t="n"/>
      <c r="C208" s="41" t="n"/>
      <c r="D208" s="41" t="n"/>
      <c r="E208" s="41"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41" t="n"/>
      <c r="B209" s="41" t="n"/>
      <c r="C209" s="41" t="n"/>
      <c r="D209" s="41" t="n"/>
      <c r="E209" s="41"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41" t="n"/>
      <c r="B210" s="41" t="n"/>
      <c r="C210" s="41" t="n"/>
      <c r="D210" s="41" t="n"/>
      <c r="E210" s="41"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41" t="n"/>
      <c r="B211" s="41" t="n"/>
      <c r="C211" s="41" t="n"/>
      <c r="D211" s="41" t="n"/>
      <c r="E211" s="41"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41" t="n"/>
      <c r="B212" s="41" t="n"/>
      <c r="C212" s="41" t="n"/>
      <c r="D212" s="41" t="n"/>
      <c r="E212" s="41"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41" t="n"/>
      <c r="B213" s="41" t="n"/>
      <c r="C213" s="41" t="n"/>
      <c r="D213" s="41" t="n"/>
      <c r="E213" s="41"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41" t="n"/>
      <c r="B214" s="41" t="n"/>
      <c r="C214" s="41" t="n"/>
      <c r="D214" s="41" t="n"/>
      <c r="E214" s="41"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41" t="n"/>
      <c r="B215" s="41" t="n"/>
      <c r="C215" s="41" t="n"/>
      <c r="D215" s="41" t="n"/>
      <c r="E215" s="41"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41" t="n"/>
      <c r="B216" s="41" t="n"/>
      <c r="C216" s="41" t="n"/>
      <c r="D216" s="41" t="n"/>
      <c r="E216" s="41"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41" t="n"/>
      <c r="B217" s="41" t="n"/>
      <c r="C217" s="41" t="n"/>
      <c r="D217" s="41" t="n"/>
      <c r="E217" s="41"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41" t="n"/>
      <c r="B218" s="41" t="n"/>
      <c r="C218" s="41" t="n"/>
      <c r="D218" s="41" t="n"/>
      <c r="E218" s="41"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41" t="n"/>
      <c r="B219" s="41" t="n"/>
      <c r="C219" s="41" t="n"/>
      <c r="D219" s="41" t="n"/>
      <c r="E219" s="41"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41" t="n"/>
      <c r="B220" s="41" t="n"/>
      <c r="C220" s="41" t="n"/>
      <c r="D220" s="41" t="n"/>
      <c r="E220" s="41"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11" t="inlineStr">
        <is>
          <t>November 16-30</t>
        </is>
      </c>
      <c r="B1001" s="11" t="inlineStr">
        <is>
          <t>Gift Season</t>
        </is>
      </c>
      <c r="C1001" s="11" t="inlineStr">
        <is>
          <t>Convert gift and holiday intent into bookings, with honest pricing and electrolysis education</t>
        </is>
      </c>
      <c r="D1001" s="11" t="inlineStr">
        <is>
          <t>Hormonal Facial Hair / Choosing a Luxury Med Spa / Skincare, Botox or Filler First / Gift of Glow / December Last Call</t>
        </is>
      </c>
      <c r="E1001" s="11" t="inlineStr">
        <is>
          <t>Botox areas, lip filler vs lip flip, Black Friday done honestly, does electrolysis hurt</t>
        </is>
      </c>
    </row>
  </sheetData>
  <autoFilter ref="A1:Z1001"/>
  <pageMargins left="0.75" right="0.75" top="1" bottom="1" header="0" footer="0"/>
  <pageSetup orientation="portrait" paperSize="9"/>
</worksheet>
</file>

<file path=xl/worksheets/sheet6.xml><?xml version="1.0" encoding="utf-8"?>
<worksheet xmlns="http://schemas.openxmlformats.org/spreadsheetml/2006/main">
  <sheetPr>
    <tabColor rgb="008A8578"/>
    <outlinePr summaryBelow="1" summaryRight="1"/>
    <pageSetUpPr/>
  </sheetPr>
  <dimension ref="A1:Z1001"/>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2" min="1" max="1"/>
    <col width="20" customWidth="1" style="42" min="2" max="2"/>
    <col width="110" customWidth="1" style="42" min="3" max="3"/>
    <col width="8.57" customWidth="1" style="42" min="4" max="6"/>
  </cols>
  <sheetData>
    <row r="1" ht="30" customHeight="1" s="42">
      <c r="A1" s="52" t="inlineStr">
        <is>
          <t>Set</t>
        </is>
      </c>
      <c r="B1" s="52" t="inlineStr">
        <is>
          <t>Name</t>
        </is>
      </c>
      <c r="C1" s="52" t="inlineStr">
        <is>
          <t>Hashtags (copy-paste)</t>
        </is>
      </c>
      <c r="D1" s="58" t="n"/>
      <c r="E1" s="58" t="n"/>
      <c r="F1" s="58" t="n"/>
      <c r="G1" s="58" t="n"/>
      <c r="H1" s="58" t="n"/>
      <c r="I1" s="58" t="n"/>
      <c r="J1" s="58" t="n"/>
      <c r="K1" s="58" t="n"/>
      <c r="L1" s="58" t="n"/>
      <c r="M1" s="58" t="n"/>
      <c r="N1" s="58" t="n"/>
      <c r="O1" s="58" t="n"/>
      <c r="P1" s="58" t="n"/>
      <c r="Q1" s="58" t="n"/>
      <c r="R1" s="58" t="n"/>
      <c r="S1" s="58" t="n"/>
      <c r="T1" s="58" t="n"/>
      <c r="U1" s="58" t="n"/>
      <c r="V1" s="58" t="n"/>
      <c r="W1" s="58" t="n"/>
      <c r="X1" s="58" t="n"/>
      <c r="Y1" s="58" t="n"/>
      <c r="Z1" s="58" t="n"/>
    </row>
    <row r="2" ht="15" customHeight="1" s="42">
      <c r="A2" s="29" t="inlineStr">
        <is>
          <t>Set A</t>
        </is>
      </c>
      <c r="B2" s="29" t="inlineStr">
        <is>
          <t>Botox / Neuromodulator</t>
        </is>
      </c>
      <c r="C2" s="29" t="inlineStr">
        <is>
          <t>#botoxoakville #oakvillemedspa #burlingtonbotox #miltonmedspa #mississaugainjector #haltonregion #preventativebotox #botoxcanada #nursepractitionerinjector #naturalresults #luxurybeautybycleor #npcleo</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42">
      <c r="A3" s="29" t="inlineStr">
        <is>
          <t>Set B</t>
        </is>
      </c>
      <c r="B3" s="29" t="inlineStr">
        <is>
          <t>Filler</t>
        </is>
      </c>
      <c r="C3" s="29" t="inlineStr">
        <is>
          <t>#lipfilleroakville #fillersoakville #oakvillemedspa #burlingtonfiller #miltonlipfiller #mississaugamedspa #dermalfillers #naturallips #facialbalancing #aestheticnurse #luxurybeautybycleor #npcleo</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15" customHeight="1" s="42">
      <c r="A4" s="29" t="inlineStr">
        <is>
          <t>Set C</t>
        </is>
      </c>
      <c r="B4" s="29" t="inlineStr">
        <is>
          <t>Trust &amp; Proof</t>
        </is>
      </c>
      <c r="C4" s="29" t="inlineStr">
        <is>
          <t>#oakvillemedspa #burlingtonmedspa #miltonontario #mississaugabeauty #haltonregion #honestinjector #naturalresults #aestheticnurse #nursepractitioner #medspacanada #luxurybeautybycleor #npcleo</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ht="15" customHeight="1" s="42">
      <c r="A5" s="29" t="inlineStr">
        <is>
          <t>Set D</t>
        </is>
      </c>
      <c r="B5" s="29" t="inlineStr">
        <is>
          <t>Personality &amp; BTS</t>
        </is>
      </c>
      <c r="C5" s="29" t="inlineStr">
        <is>
          <t>#oakville #oakvillebusiness #burlingtonontario #miltonontario #mississauga #haltonregion #womeninbusiness #nursepractitioner #aestheticnurse #medspalife #luxurybeautybycleor #npcleo</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ht="15" customHeight="1" s="42">
      <c r="A6" s="29" t="inlineStr">
        <is>
          <t>Set E</t>
        </is>
      </c>
      <c r="B6" s="29" t="inlineStr">
        <is>
          <t>Promo &amp; CTA</t>
        </is>
      </c>
      <c r="C6" s="29" t="inlineStr">
        <is>
          <t>#oakvillemedspa #burlingtonontario #miltonontario #mississaugabeauty #haltonregion #treatyourself #selfcare #giftcertificate #medspaspecial #bookyourappointment #luxurybeautybycleor #npcleo</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41" t="n"/>
      <c r="B7" s="41" t="n"/>
      <c r="C7" s="41"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41" t="n"/>
      <c r="B8" s="41" t="n"/>
      <c r="C8" s="41"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41" t="n"/>
      <c r="B9" s="41" t="n"/>
      <c r="C9" s="41" t="n"/>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41" t="n"/>
      <c r="B10" s="41" t="n"/>
      <c r="C10" s="41"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41" t="n"/>
      <c r="B11" s="41" t="n"/>
      <c r="C11" s="41"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41" t="n"/>
      <c r="B12" s="41" t="n"/>
      <c r="C12" s="41"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41" t="n"/>
      <c r="B13" s="41" t="n"/>
      <c r="C13" s="41"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41" t="n"/>
      <c r="B14" s="41" t="n"/>
      <c r="C14" s="41"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41" t="n"/>
      <c r="B15" s="41" t="n"/>
      <c r="C15" s="41"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41" t="n"/>
      <c r="B16" s="41" t="n"/>
      <c r="C16" s="41"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41" t="n"/>
      <c r="B17" s="41" t="n"/>
      <c r="C17" s="41"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1" t="n"/>
      <c r="B18" s="41" t="n"/>
      <c r="C18" s="41"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41" t="n"/>
      <c r="B19" s="41" t="n"/>
      <c r="C19" s="41"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41" t="n"/>
      <c r="B20" s="41" t="n"/>
      <c r="C20" s="41"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2">
      <c r="A21" s="41" t="n"/>
      <c r="B21" s="41" t="n"/>
      <c r="C21" s="41"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2">
      <c r="A22" s="41" t="n"/>
      <c r="B22" s="41" t="n"/>
      <c r="C22" s="41"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2">
      <c r="A23" s="41" t="n"/>
      <c r="B23" s="41" t="n"/>
      <c r="C23" s="41"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2">
      <c r="A24" s="41" t="n"/>
      <c r="B24" s="41" t="n"/>
      <c r="C24" s="41"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2">
      <c r="A25" s="41" t="n"/>
      <c r="B25" s="41" t="n"/>
      <c r="C25" s="41"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2">
      <c r="A26" s="41" t="n"/>
      <c r="B26" s="41" t="n"/>
      <c r="C26" s="41"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2">
      <c r="A27" s="41" t="n"/>
      <c r="B27" s="41" t="n"/>
      <c r="C27" s="41"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41" t="n"/>
      <c r="B28" s="41" t="n"/>
      <c r="C28" s="41"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41" t="n"/>
      <c r="B29" s="41" t="n"/>
      <c r="C29" s="41"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2">
      <c r="A30" s="41" t="n"/>
      <c r="B30" s="41" t="n"/>
      <c r="C30" s="41"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2">
      <c r="A31" s="41" t="n"/>
      <c r="B31" s="41" t="n"/>
      <c r="C31" s="41"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41" t="n"/>
      <c r="B32" s="41" t="n"/>
      <c r="C32" s="41"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41" t="n"/>
      <c r="B33" s="41" t="n"/>
      <c r="C33" s="41"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41" t="n"/>
      <c r="B34" s="41" t="n"/>
      <c r="C34" s="41"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41" t="n"/>
      <c r="B35" s="41" t="n"/>
      <c r="C35" s="41"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41" t="n"/>
      <c r="B36" s="41" t="n"/>
      <c r="C36" s="41"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41" t="n"/>
      <c r="B37" s="41" t="n"/>
      <c r="C37" s="41"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41" t="n"/>
      <c r="B38" s="41" t="n"/>
      <c r="C38" s="41"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41" t="n"/>
      <c r="B39" s="41" t="n"/>
      <c r="C39" s="41"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41" t="n"/>
      <c r="B40" s="41" t="n"/>
      <c r="C40" s="41"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41" t="n"/>
      <c r="B41" s="41" t="n"/>
      <c r="C41" s="41"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41" t="n"/>
      <c r="B42" s="41" t="n"/>
      <c r="C42" s="41"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41" t="n"/>
      <c r="B43" s="41" t="n"/>
      <c r="C43" s="41"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41" t="n"/>
      <c r="B44" s="41" t="n"/>
      <c r="C44" s="41"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41" t="n"/>
      <c r="B45" s="41" t="n"/>
      <c r="C45" s="41"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41" t="n"/>
      <c r="B46" s="41" t="n"/>
      <c r="C46" s="41"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41" t="n"/>
      <c r="B47" s="41" t="n"/>
      <c r="C47" s="41"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41" t="n"/>
      <c r="B48" s="41" t="n"/>
      <c r="C48" s="41"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41" t="n"/>
      <c r="B49" s="41" t="n"/>
      <c r="C49" s="41"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41" t="n"/>
      <c r="B50" s="41" t="n"/>
      <c r="C50" s="41"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41" t="n"/>
      <c r="B51" s="41" t="n"/>
      <c r="C51" s="41"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41" t="n"/>
      <c r="B52" s="41" t="n"/>
      <c r="C52" s="41"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41" t="n"/>
      <c r="B53" s="41" t="n"/>
      <c r="C53" s="41"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41" t="n"/>
      <c r="B54" s="41" t="n"/>
      <c r="C54" s="41"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41" t="n"/>
      <c r="B55" s="41" t="n"/>
      <c r="C55" s="41"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41" t="n"/>
      <c r="B56" s="41" t="n"/>
      <c r="C56" s="41"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41" t="n"/>
      <c r="B57" s="41" t="n"/>
      <c r="C57" s="41"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41" t="n"/>
      <c r="B58" s="41" t="n"/>
      <c r="C58" s="41"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41" t="n"/>
      <c r="B59" s="41" t="n"/>
      <c r="C59" s="41"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41" t="n"/>
      <c r="B60" s="41" t="n"/>
      <c r="C60" s="41"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41" t="n"/>
      <c r="B61" s="41" t="n"/>
      <c r="C61" s="41"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41" t="n"/>
      <c r="B62" s="41" t="n"/>
      <c r="C62" s="41"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41" t="n"/>
      <c r="B63" s="41" t="n"/>
      <c r="C63" s="41"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41" t="n"/>
      <c r="B64" s="41" t="n"/>
      <c r="C64" s="41"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41" t="n"/>
      <c r="B65" s="41" t="n"/>
      <c r="C65" s="41"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41" t="n"/>
      <c r="B66" s="41" t="n"/>
      <c r="C66" s="41"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41" t="n"/>
      <c r="B67" s="41" t="n"/>
      <c r="C67" s="41"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41" t="n"/>
      <c r="B68" s="41" t="n"/>
      <c r="C68" s="41"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41" t="n"/>
      <c r="B69" s="41" t="n"/>
      <c r="C69" s="41"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41" t="n"/>
      <c r="B70" s="41" t="n"/>
      <c r="C70" s="41"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41" t="n"/>
      <c r="B71" s="41" t="n"/>
      <c r="C71" s="41"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41" t="n"/>
      <c r="B72" s="41" t="n"/>
      <c r="C72" s="41"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41" t="n"/>
      <c r="B73" s="41" t="n"/>
      <c r="C73" s="41"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41" t="n"/>
      <c r="B74" s="41" t="n"/>
      <c r="C74" s="41"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41" t="n"/>
      <c r="B75" s="41" t="n"/>
      <c r="C75" s="41"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41" t="n"/>
      <c r="B76" s="41" t="n"/>
      <c r="C76" s="41"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41" t="n"/>
      <c r="B77" s="41" t="n"/>
      <c r="C77" s="41"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41" t="n"/>
      <c r="B78" s="41" t="n"/>
      <c r="C78" s="41"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41" t="n"/>
      <c r="B79" s="41" t="n"/>
      <c r="C79" s="41"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41" t="n"/>
      <c r="B80" s="41" t="n"/>
      <c r="C80" s="41"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41" t="n"/>
      <c r="B81" s="41" t="n"/>
      <c r="C81" s="41"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41" t="n"/>
      <c r="B82" s="41" t="n"/>
      <c r="C82" s="41"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41" t="n"/>
      <c r="B83" s="41" t="n"/>
      <c r="C83" s="41"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41" t="n"/>
      <c r="B84" s="41" t="n"/>
      <c r="C84" s="41"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41" t="n"/>
      <c r="B85" s="41" t="n"/>
      <c r="C85" s="41"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41" t="n"/>
      <c r="B86" s="41" t="n"/>
      <c r="C86" s="41"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41" t="n"/>
      <c r="B87" s="41" t="n"/>
      <c r="C87" s="41"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41" t="n"/>
      <c r="B88" s="41" t="n"/>
      <c r="C88" s="41"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41" t="n"/>
      <c r="B89" s="41" t="n"/>
      <c r="C89" s="41"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41" t="n"/>
      <c r="B90" s="41" t="n"/>
      <c r="C90" s="41"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41" t="n"/>
      <c r="B91" s="41" t="n"/>
      <c r="C91" s="41"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41" t="n"/>
      <c r="B92" s="41" t="n"/>
      <c r="C92" s="41"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41" t="n"/>
      <c r="B93" s="41" t="n"/>
      <c r="C93" s="41"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41" t="n"/>
      <c r="B94" s="41" t="n"/>
      <c r="C94" s="41"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41" t="n"/>
      <c r="B95" s="41" t="n"/>
      <c r="C95" s="41"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41" t="n"/>
      <c r="B96" s="41" t="n"/>
      <c r="C96" s="41"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41" t="n"/>
      <c r="B97" s="41" t="n"/>
      <c r="C97" s="41"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41" t="n"/>
      <c r="B98" s="41" t="n"/>
      <c r="C98" s="41"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41" t="n"/>
      <c r="B99" s="41" t="n"/>
      <c r="C99" s="41"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41" t="n"/>
      <c r="B100" s="41" t="n"/>
      <c r="C100" s="41"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41" t="n"/>
      <c r="B101" s="41" t="n"/>
      <c r="C101" s="41"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41" t="n"/>
      <c r="B102" s="41" t="n"/>
      <c r="C102" s="41"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41" t="n"/>
      <c r="B103" s="41" t="n"/>
      <c r="C103" s="41"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41" t="n"/>
      <c r="B104" s="41" t="n"/>
      <c r="C104" s="41"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41" t="n"/>
      <c r="B105" s="41" t="n"/>
      <c r="C105" s="41"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41" t="n"/>
      <c r="B106" s="41" t="n"/>
      <c r="C106" s="41"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41" t="n"/>
      <c r="B107" s="41" t="n"/>
      <c r="C107" s="41"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41" t="n"/>
      <c r="B108" s="41" t="n"/>
      <c r="C108" s="41"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41" t="n"/>
      <c r="B109" s="41" t="n"/>
      <c r="C109" s="41"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41" t="n"/>
      <c r="B110" s="41" t="n"/>
      <c r="C110" s="41"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41" t="n"/>
      <c r="B111" s="41" t="n"/>
      <c r="C111" s="41"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41" t="n"/>
      <c r="B112" s="41" t="n"/>
      <c r="C112" s="41"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41" t="n"/>
      <c r="B113" s="41" t="n"/>
      <c r="C113" s="41"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41" t="n"/>
      <c r="B114" s="41" t="n"/>
      <c r="C114" s="41"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41" t="n"/>
      <c r="B115" s="41" t="n"/>
      <c r="C115" s="41"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41" t="n"/>
      <c r="B116" s="41" t="n"/>
      <c r="C116" s="41"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41" t="n"/>
      <c r="B117" s="41" t="n"/>
      <c r="C117" s="41"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41" t="n"/>
      <c r="B118" s="41" t="n"/>
      <c r="C118" s="41"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41" t="n"/>
      <c r="B119" s="41" t="n"/>
      <c r="C119" s="41"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41" t="n"/>
      <c r="B120" s="41" t="n"/>
      <c r="C120" s="41"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41" t="n"/>
      <c r="B121" s="41" t="n"/>
      <c r="C121" s="41"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41" t="n"/>
      <c r="B122" s="41" t="n"/>
      <c r="C122" s="41"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41" t="n"/>
      <c r="B123" s="41" t="n"/>
      <c r="C123" s="41"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41" t="n"/>
      <c r="B124" s="41" t="n"/>
      <c r="C124" s="41"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41" t="n"/>
      <c r="B125" s="41" t="n"/>
      <c r="C125" s="41"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41" t="n"/>
      <c r="B126" s="41" t="n"/>
      <c r="C126" s="41"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41" t="n"/>
      <c r="B127" s="41" t="n"/>
      <c r="C127" s="41"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41" t="n"/>
      <c r="B128" s="41" t="n"/>
      <c r="C128" s="41"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41" t="n"/>
      <c r="B129" s="41" t="n"/>
      <c r="C129" s="41"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41" t="n"/>
      <c r="B130" s="41" t="n"/>
      <c r="C130" s="41"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41" t="n"/>
      <c r="B131" s="41" t="n"/>
      <c r="C131" s="41"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41" t="n"/>
      <c r="B132" s="41" t="n"/>
      <c r="C132" s="41"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41" t="n"/>
      <c r="B133" s="41" t="n"/>
      <c r="C133" s="41"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41" t="n"/>
      <c r="B134" s="41" t="n"/>
      <c r="C134" s="41"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41" t="n"/>
      <c r="B135" s="41" t="n"/>
      <c r="C135" s="41"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41" t="n"/>
      <c r="B136" s="41" t="n"/>
      <c r="C136" s="41"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41" t="n"/>
      <c r="B137" s="41" t="n"/>
      <c r="C137" s="41"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41" t="n"/>
      <c r="B138" s="41" t="n"/>
      <c r="C138" s="41"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41" t="n"/>
      <c r="B139" s="41" t="n"/>
      <c r="C139" s="41"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41" t="n"/>
      <c r="B140" s="41" t="n"/>
      <c r="C140" s="41"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41" t="n"/>
      <c r="B141" s="41" t="n"/>
      <c r="C141" s="41"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41" t="n"/>
      <c r="B142" s="41" t="n"/>
      <c r="C142" s="41"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41" t="n"/>
      <c r="B143" s="41" t="n"/>
      <c r="C143" s="41"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41" t="n"/>
      <c r="B144" s="41" t="n"/>
      <c r="C144" s="41"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41" t="n"/>
      <c r="B145" s="41" t="n"/>
      <c r="C145" s="41"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41" t="n"/>
      <c r="B146" s="41" t="n"/>
      <c r="C146" s="41"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41" t="n"/>
      <c r="B147" s="41" t="n"/>
      <c r="C147" s="41"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41" t="n"/>
      <c r="B148" s="41" t="n"/>
      <c r="C148" s="41"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41" t="n"/>
      <c r="B149" s="41" t="n"/>
      <c r="C149" s="41"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41" t="n"/>
      <c r="B150" s="41" t="n"/>
      <c r="C150" s="41"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41" t="n"/>
      <c r="B151" s="41" t="n"/>
      <c r="C151" s="41"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41" t="n"/>
      <c r="B152" s="41" t="n"/>
      <c r="C152" s="41"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41" t="n"/>
      <c r="B153" s="41" t="n"/>
      <c r="C153" s="41"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41" t="n"/>
      <c r="B154" s="41" t="n"/>
      <c r="C154" s="41"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41" t="n"/>
      <c r="B155" s="41" t="n"/>
      <c r="C155" s="41"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41" t="n"/>
      <c r="B156" s="41" t="n"/>
      <c r="C156" s="41"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41" t="n"/>
      <c r="B157" s="41" t="n"/>
      <c r="C157" s="41"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41" t="n"/>
      <c r="B158" s="41" t="n"/>
      <c r="C158" s="41"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41" t="n"/>
      <c r="B159" s="41" t="n"/>
      <c r="C159" s="41"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41" t="n"/>
      <c r="B160" s="41" t="n"/>
      <c r="C160" s="41"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41" t="n"/>
      <c r="B161" s="41" t="n"/>
      <c r="C161" s="41"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41" t="n"/>
      <c r="B162" s="41" t="n"/>
      <c r="C162" s="41"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41" t="n"/>
      <c r="B163" s="41" t="n"/>
      <c r="C163" s="41"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41" t="n"/>
      <c r="B164" s="41" t="n"/>
      <c r="C164" s="41"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41" t="n"/>
      <c r="B165" s="41" t="n"/>
      <c r="C165" s="41"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41" t="n"/>
      <c r="B166" s="41" t="n"/>
      <c r="C166" s="41"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41" t="n"/>
      <c r="B167" s="41" t="n"/>
      <c r="C167" s="41"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41" t="n"/>
      <c r="B168" s="41" t="n"/>
      <c r="C168" s="41"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41" t="n"/>
      <c r="B169" s="41" t="n"/>
      <c r="C169" s="41"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41" t="n"/>
      <c r="B170" s="41" t="n"/>
      <c r="C170" s="41"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41" t="n"/>
      <c r="B171" s="41" t="n"/>
      <c r="C171" s="41"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41" t="n"/>
      <c r="B172" s="41" t="n"/>
      <c r="C172" s="41"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41" t="n"/>
      <c r="B173" s="41" t="n"/>
      <c r="C173" s="41"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41" t="n"/>
      <c r="B174" s="41" t="n"/>
      <c r="C174" s="41"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41" t="n"/>
      <c r="B175" s="41" t="n"/>
      <c r="C175" s="41"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41" t="n"/>
      <c r="B176" s="41" t="n"/>
      <c r="C176" s="41"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41" t="n"/>
      <c r="B177" s="41" t="n"/>
      <c r="C177" s="41"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41" t="n"/>
      <c r="B178" s="41" t="n"/>
      <c r="C178" s="41"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41" t="n"/>
      <c r="B179" s="41" t="n"/>
      <c r="C179" s="41"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41" t="n"/>
      <c r="B180" s="41" t="n"/>
      <c r="C180" s="41"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41" t="n"/>
      <c r="B181" s="41" t="n"/>
      <c r="C181" s="41"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41" t="n"/>
      <c r="B182" s="41" t="n"/>
      <c r="C182" s="41"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41" t="n"/>
      <c r="B183" s="41" t="n"/>
      <c r="C183" s="41"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41" t="n"/>
      <c r="B184" s="41" t="n"/>
      <c r="C184" s="41"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41" t="n"/>
      <c r="B185" s="41" t="n"/>
      <c r="C185" s="41"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41" t="n"/>
      <c r="B186" s="41" t="n"/>
      <c r="C186" s="41"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41" t="n"/>
      <c r="B187" s="41" t="n"/>
      <c r="C187" s="41"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41" t="n"/>
      <c r="B188" s="41" t="n"/>
      <c r="C188" s="41"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41" t="n"/>
      <c r="B189" s="41" t="n"/>
      <c r="C189" s="41"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41" t="n"/>
      <c r="B190" s="41" t="n"/>
      <c r="C190" s="41"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41" t="n"/>
      <c r="B191" s="41" t="n"/>
      <c r="C191" s="41"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41" t="n"/>
      <c r="B192" s="41" t="n"/>
      <c r="C192" s="41"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41" t="n"/>
      <c r="B193" s="41" t="n"/>
      <c r="C193" s="41"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41" t="n"/>
      <c r="B194" s="41" t="n"/>
      <c r="C194" s="41"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41" t="n"/>
      <c r="B195" s="41" t="n"/>
      <c r="C195" s="41"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41" t="n"/>
      <c r="B196" s="41" t="n"/>
      <c r="C196" s="41"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41" t="n"/>
      <c r="B197" s="41" t="n"/>
      <c r="C197" s="41"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41" t="n"/>
      <c r="B198" s="41" t="n"/>
      <c r="C198" s="41"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41" t="n"/>
      <c r="B199" s="41" t="n"/>
      <c r="C199" s="41"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41" t="n"/>
      <c r="B200" s="41" t="n"/>
      <c r="C200" s="41"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41" t="n"/>
      <c r="B201" s="41" t="n"/>
      <c r="C201" s="41"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41" t="n"/>
      <c r="B202" s="41" t="n"/>
      <c r="C202" s="41"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41" t="n"/>
      <c r="B203" s="41" t="n"/>
      <c r="C203" s="41"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41" t="n"/>
      <c r="B204" s="41" t="n"/>
      <c r="C204" s="41"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41" t="n"/>
      <c r="B205" s="41" t="n"/>
      <c r="C205" s="41"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41" t="n"/>
      <c r="B206" s="41" t="n"/>
      <c r="C206" s="41"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41" t="n"/>
      <c r="B207" s="41" t="n"/>
      <c r="C207" s="41"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41" t="n"/>
      <c r="B208" s="41" t="n"/>
      <c r="C208" s="41"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41" t="n"/>
      <c r="B209" s="41" t="n"/>
      <c r="C209" s="41"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41" t="n"/>
      <c r="B210" s="41" t="n"/>
      <c r="C210" s="41"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41" t="n"/>
      <c r="B211" s="41" t="n"/>
      <c r="C211" s="41"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41" t="n"/>
      <c r="B212" s="41" t="n"/>
      <c r="C212" s="41"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41" t="n"/>
      <c r="B213" s="41" t="n"/>
      <c r="C213" s="41"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41" t="n"/>
      <c r="B214" s="41" t="n"/>
      <c r="C214" s="41"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41" t="n"/>
      <c r="B215" s="41" t="n"/>
      <c r="C215" s="41"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41" t="n"/>
      <c r="B216" s="41" t="n"/>
      <c r="C216" s="41"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41" t="n"/>
      <c r="B217" s="41" t="n"/>
      <c r="C217" s="41"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41" t="n"/>
      <c r="B218" s="41" t="n"/>
      <c r="C218" s="41"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41" t="n"/>
      <c r="B219" s="41" t="n"/>
      <c r="C219" s="41"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41" t="n"/>
      <c r="B220" s="41" t="n"/>
      <c r="C220" s="41"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0" t="inlineStr">
        <is>
          <t>Set F</t>
        </is>
      </c>
      <c r="B1001" s="0" t="inlineStr">
        <is>
          <t>Electrolysis</t>
        </is>
      </c>
      <c r="C1001" s="0" t="inlineStr">
        <is>
          <t>#electrolysisoakville #oakvilleelectrolysis #facialelectrolysis #electrolysis #permanenthairremoval #hairremovaloakville #burlingtonelectrolysis #miltonontario #mississaugabeauty #haltonregion #luxurybeautybycleor #npcleo</t>
        </is>
      </c>
    </row>
  </sheetData>
  <autoFilter ref="A1:Z1001"/>
  <pageMargins left="0.75" right="0.75" top="1" bottom="1" header="0" footer="0"/>
  <pageSetup orientation="portrait" paperSize="9"/>
</worksheet>
</file>

<file path=xl/worksheets/sheet7.xml><?xml version="1.0" encoding="utf-8"?>
<worksheet xmlns="http://schemas.openxmlformats.org/spreadsheetml/2006/main">
  <sheetPr>
    <tabColor rgb="008A8578"/>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20" customWidth="1" style="42" min="1" max="1"/>
    <col width="14" customWidth="1" style="42" min="2" max="2"/>
    <col width="55" customWidth="1" style="42" min="3" max="3"/>
    <col width="45" customWidth="1" style="42" min="4" max="4"/>
    <col width="20" customWidth="1" style="42" min="5" max="5"/>
    <col width="8.57" customWidth="1" style="42" min="6" max="6"/>
  </cols>
  <sheetData>
    <row r="1" ht="30" customHeight="1" s="42">
      <c r="A1" s="52" t="inlineStr">
        <is>
          <t>Pillar</t>
        </is>
      </c>
      <c r="B1" s="52" t="inlineStr">
        <is>
          <t>Share of Posts</t>
        </is>
      </c>
      <c r="C1" s="52" t="inlineStr">
        <is>
          <t>What It Is</t>
        </is>
      </c>
      <c r="D1" s="52" t="inlineStr">
        <is>
          <t>Formats</t>
        </is>
      </c>
      <c r="E1" s="52" t="inlineStr">
        <is>
          <t>Success Metric</t>
        </is>
      </c>
      <c r="F1" s="58" t="n"/>
      <c r="G1" s="58" t="n"/>
      <c r="H1" s="58" t="n"/>
      <c r="I1" s="58" t="n"/>
      <c r="J1" s="58" t="n"/>
      <c r="K1" s="58" t="n"/>
      <c r="L1" s="58" t="n"/>
      <c r="M1" s="58" t="n"/>
      <c r="N1" s="58" t="n"/>
      <c r="O1" s="58" t="n"/>
      <c r="P1" s="58" t="n"/>
      <c r="Q1" s="58" t="n"/>
      <c r="R1" s="58" t="n"/>
      <c r="S1" s="58" t="n"/>
      <c r="T1" s="58" t="n"/>
      <c r="U1" s="58" t="n"/>
      <c r="V1" s="58" t="n"/>
      <c r="W1" s="58" t="n"/>
      <c r="X1" s="58" t="n"/>
      <c r="Y1" s="58" t="n"/>
      <c r="Z1" s="58" t="n"/>
    </row>
    <row r="2" ht="15" customHeight="1" s="42">
      <c r="A2" s="29" t="inlineStr">
        <is>
          <t>Education</t>
        </is>
      </c>
      <c r="B2" s="29" t="inlineStr">
        <is>
          <t>40%</t>
        </is>
      </c>
      <c r="C2" s="29" t="inlineStr">
        <is>
          <t>Teach one thing per post: myths, comparisons, timelines, aftercare, candidacy</t>
        </is>
      </c>
      <c r="D2" s="29" t="inlineStr">
        <is>
          <t>Carousels, explainer image cards, FAQ cards</t>
        </is>
      </c>
      <c r="E2" s="29" t="inlineStr">
        <is>
          <t>Saves and shares</t>
        </is>
      </c>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42">
      <c r="A3" s="29" t="inlineStr">
        <is>
          <t>Trust &amp; Proof</t>
        </is>
      </c>
      <c r="B3" s="29" t="inlineStr">
        <is>
          <t>25%</t>
        </is>
      </c>
      <c r="C3" s="29" t="inlineStr">
        <is>
          <t>Show honesty and results: testimonials, natural-results promise, why we say no</t>
        </is>
      </c>
      <c r="D3" s="29" t="inlineStr">
        <is>
          <t>Quote cards, testimonial posts, philosophy carousels</t>
        </is>
      </c>
      <c r="E3" s="29" t="inlineStr">
        <is>
          <t>DMs and consults</t>
        </is>
      </c>
      <c r="F3" s="2" t="n"/>
      <c r="G3" s="2" t="n"/>
      <c r="H3" s="2" t="n"/>
      <c r="I3" s="2" t="n"/>
      <c r="J3" s="2" t="n"/>
      <c r="K3" s="2" t="n"/>
      <c r="L3" s="2" t="n"/>
      <c r="M3" s="2" t="n"/>
      <c r="N3" s="2" t="n"/>
      <c r="O3" s="2" t="n"/>
      <c r="P3" s="2" t="n"/>
      <c r="Q3" s="2" t="n"/>
      <c r="R3" s="2" t="n"/>
      <c r="S3" s="2" t="n"/>
      <c r="T3" s="2" t="n"/>
      <c r="U3" s="2" t="n"/>
      <c r="V3" s="2" t="n"/>
      <c r="W3" s="2" t="n"/>
      <c r="X3" s="2" t="n"/>
      <c r="Y3" s="2" t="n"/>
      <c r="Z3" s="2" t="n"/>
    </row>
    <row r="4" ht="15" customHeight="1" s="42">
      <c r="A4" s="29" t="inlineStr">
        <is>
          <t>Personality &amp; BTS</t>
        </is>
      </c>
      <c r="B4" s="29" t="inlineStr">
        <is>
          <t>20%</t>
        </is>
      </c>
      <c r="C4" s="29" t="inlineStr">
        <is>
          <t>Humanize NP Cleo: day in the life, room tours, Q&amp;A, prep clips</t>
        </is>
      </c>
      <c r="D4" s="29" t="inlineStr">
        <is>
          <t>BTS photo posts, Q&amp;A cards, polls</t>
        </is>
      </c>
      <c r="E4" s="29" t="inlineStr">
        <is>
          <t>Comments and follows</t>
        </is>
      </c>
      <c r="F4" s="2" t="n"/>
      <c r="G4" s="2" t="n"/>
      <c r="H4" s="2" t="n"/>
      <c r="I4" s="2" t="n"/>
      <c r="J4" s="2" t="n"/>
      <c r="K4" s="2" t="n"/>
      <c r="L4" s="2" t="n"/>
      <c r="M4" s="2" t="n"/>
      <c r="N4" s="2" t="n"/>
      <c r="O4" s="2" t="n"/>
      <c r="P4" s="2" t="n"/>
      <c r="Q4" s="2" t="n"/>
      <c r="R4" s="2" t="n"/>
      <c r="S4" s="2" t="n"/>
      <c r="T4" s="2" t="n"/>
      <c r="U4" s="2" t="n"/>
      <c r="V4" s="2" t="n"/>
      <c r="W4" s="2" t="n"/>
      <c r="X4" s="2" t="n"/>
      <c r="Y4" s="2" t="n"/>
      <c r="Z4" s="2" t="n"/>
    </row>
    <row r="5" ht="15" customHeight="1" s="42">
      <c r="A5" s="29" t="inlineStr">
        <is>
          <t>Promo &amp; CTA</t>
        </is>
      </c>
      <c r="B5" s="29" t="inlineStr">
        <is>
          <t>15%</t>
        </is>
      </c>
      <c r="C5" s="29" t="inlineStr">
        <is>
          <t>Direct booking pushes: seasonal timelines, gift certificates, offers</t>
        </is>
      </c>
      <c r="D5" s="29" t="inlineStr">
        <is>
          <t>Countdown cards, promo carousels, engagement + tag posts</t>
        </is>
      </c>
      <c r="E5" s="29" t="inlineStr">
        <is>
          <t>Bookings</t>
        </is>
      </c>
      <c r="F5" s="2" t="n"/>
      <c r="G5" s="2" t="n"/>
      <c r="H5" s="2" t="n"/>
      <c r="I5" s="2" t="n"/>
      <c r="J5" s="2" t="n"/>
      <c r="K5" s="2" t="n"/>
      <c r="L5" s="2" t="n"/>
      <c r="M5" s="2" t="n"/>
      <c r="N5" s="2" t="n"/>
      <c r="O5" s="2" t="n"/>
      <c r="P5" s="2" t="n"/>
      <c r="Q5" s="2" t="n"/>
      <c r="R5" s="2" t="n"/>
      <c r="S5" s="2" t="n"/>
      <c r="T5" s="2" t="n"/>
      <c r="U5" s="2" t="n"/>
      <c r="V5" s="2" t="n"/>
      <c r="W5" s="2" t="n"/>
      <c r="X5" s="2" t="n"/>
      <c r="Y5" s="2" t="n"/>
      <c r="Z5" s="2" t="n"/>
    </row>
    <row r="6">
      <c r="A6" s="41" t="n"/>
      <c r="B6" s="41" t="n"/>
      <c r="C6" s="41" t="n"/>
      <c r="D6" s="41" t="n"/>
      <c r="E6" s="41" t="n"/>
      <c r="F6" s="2" t="n"/>
      <c r="G6" s="2" t="n"/>
      <c r="H6" s="2" t="n"/>
      <c r="I6" s="2" t="n"/>
      <c r="J6" s="2" t="n"/>
      <c r="K6" s="2" t="n"/>
      <c r="L6" s="2" t="n"/>
      <c r="M6" s="2" t="n"/>
      <c r="N6" s="2" t="n"/>
      <c r="O6" s="2" t="n"/>
      <c r="P6" s="2" t="n"/>
      <c r="Q6" s="2" t="n"/>
      <c r="R6" s="2" t="n"/>
      <c r="S6" s="2" t="n"/>
      <c r="T6" s="2" t="n"/>
      <c r="U6" s="2" t="n"/>
      <c r="V6" s="2" t="n"/>
      <c r="W6" s="2" t="n"/>
      <c r="X6" s="2" t="n"/>
      <c r="Y6" s="2" t="n"/>
      <c r="Z6" s="2" t="n"/>
    </row>
    <row r="7">
      <c r="A7" s="41" t="n"/>
      <c r="B7" s="41" t="n"/>
      <c r="C7" s="41" t="n"/>
      <c r="D7" s="41" t="n"/>
      <c r="E7" s="41" t="n"/>
      <c r="F7" s="2" t="n"/>
      <c r="G7" s="2" t="n"/>
      <c r="H7" s="2" t="n"/>
      <c r="I7" s="2" t="n"/>
      <c r="J7" s="2" t="n"/>
      <c r="K7" s="2" t="n"/>
      <c r="L7" s="2" t="n"/>
      <c r="M7" s="2" t="n"/>
      <c r="N7" s="2" t="n"/>
      <c r="O7" s="2" t="n"/>
      <c r="P7" s="2" t="n"/>
      <c r="Q7" s="2" t="n"/>
      <c r="R7" s="2" t="n"/>
      <c r="S7" s="2" t="n"/>
      <c r="T7" s="2" t="n"/>
      <c r="U7" s="2" t="n"/>
      <c r="V7" s="2" t="n"/>
      <c r="W7" s="2" t="n"/>
      <c r="X7" s="2" t="n"/>
      <c r="Y7" s="2" t="n"/>
      <c r="Z7" s="2" t="n"/>
    </row>
    <row r="8">
      <c r="A8" s="41" t="n"/>
      <c r="B8" s="41" t="n"/>
      <c r="C8" s="41" t="n"/>
      <c r="D8" s="41" t="n"/>
      <c r="E8" s="41" t="n"/>
      <c r="F8" s="2" t="n"/>
      <c r="G8" s="2" t="n"/>
      <c r="H8" s="2" t="n"/>
      <c r="I8" s="2" t="n"/>
      <c r="J8" s="2" t="n"/>
      <c r="K8" s="2" t="n"/>
      <c r="L8" s="2" t="n"/>
      <c r="M8" s="2" t="n"/>
      <c r="N8" s="2" t="n"/>
      <c r="O8" s="2" t="n"/>
      <c r="P8" s="2" t="n"/>
      <c r="Q8" s="2" t="n"/>
      <c r="R8" s="2" t="n"/>
      <c r="S8" s="2" t="n"/>
      <c r="T8" s="2" t="n"/>
      <c r="U8" s="2" t="n"/>
      <c r="V8" s="2" t="n"/>
      <c r="W8" s="2" t="n"/>
      <c r="X8" s="2" t="n"/>
      <c r="Y8" s="2" t="n"/>
      <c r="Z8" s="2" t="n"/>
    </row>
    <row r="9">
      <c r="A9" s="41" t="n"/>
      <c r="B9" s="41" t="n"/>
      <c r="C9" s="41" t="n"/>
      <c r="D9" s="41" t="n"/>
      <c r="E9" s="41" t="n"/>
      <c r="F9" s="2" t="n"/>
      <c r="G9" s="2" t="n"/>
      <c r="H9" s="2" t="n"/>
      <c r="I9" s="2" t="n"/>
      <c r="J9" s="2" t="n"/>
      <c r="K9" s="2" t="n"/>
      <c r="L9" s="2" t="n"/>
      <c r="M9" s="2" t="n"/>
      <c r="N9" s="2" t="n"/>
      <c r="O9" s="2" t="n"/>
      <c r="P9" s="2" t="n"/>
      <c r="Q9" s="2" t="n"/>
      <c r="R9" s="2" t="n"/>
      <c r="S9" s="2" t="n"/>
      <c r="T9" s="2" t="n"/>
      <c r="U9" s="2" t="n"/>
      <c r="V9" s="2" t="n"/>
      <c r="W9" s="2" t="n"/>
      <c r="X9" s="2" t="n"/>
      <c r="Y9" s="2" t="n"/>
      <c r="Z9" s="2" t="n"/>
    </row>
    <row r="10">
      <c r="A10" s="41" t="n"/>
      <c r="B10" s="41" t="n"/>
      <c r="C10" s="41" t="n"/>
      <c r="D10" s="41" t="n"/>
      <c r="E10" s="41"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41" t="n"/>
      <c r="B11" s="41" t="n"/>
      <c r="C11" s="41" t="n"/>
      <c r="D11" s="41" t="n"/>
      <c r="E11" s="41"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41" t="n"/>
      <c r="B12" s="41" t="n"/>
      <c r="C12" s="41" t="n"/>
      <c r="D12" s="41" t="n"/>
      <c r="E12" s="41"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41" t="n"/>
      <c r="B13" s="41" t="n"/>
      <c r="C13" s="41" t="n"/>
      <c r="D13" s="41" t="n"/>
      <c r="E13" s="41"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41" t="n"/>
      <c r="B14" s="41" t="n"/>
      <c r="C14" s="41" t="n"/>
      <c r="D14" s="41" t="n"/>
      <c r="E14" s="41"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41" t="n"/>
      <c r="B15" s="41" t="n"/>
      <c r="C15" s="41" t="n"/>
      <c r="D15" s="41" t="n"/>
      <c r="E15" s="41"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41" t="n"/>
      <c r="B16" s="41" t="n"/>
      <c r="C16" s="41" t="n"/>
      <c r="D16" s="41" t="n"/>
      <c r="E16" s="41"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41" t="n"/>
      <c r="B17" s="41" t="n"/>
      <c r="C17" s="41" t="n"/>
      <c r="D17" s="41" t="n"/>
      <c r="E17" s="41"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1" t="n"/>
      <c r="B18" s="41" t="n"/>
      <c r="C18" s="41" t="n"/>
      <c r="D18" s="41" t="n"/>
      <c r="E18" s="41"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41" t="n"/>
      <c r="B19" s="41" t="n"/>
      <c r="C19" s="41" t="n"/>
      <c r="D19" s="41" t="n"/>
      <c r="E19" s="41"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41" t="n"/>
      <c r="B20" s="41" t="n"/>
      <c r="C20" s="41" t="n"/>
      <c r="D20" s="41" t="n"/>
      <c r="E20" s="41"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2">
      <c r="A21" s="41" t="n"/>
      <c r="B21" s="41" t="n"/>
      <c r="C21" s="41" t="n"/>
      <c r="D21" s="41" t="n"/>
      <c r="E21" s="41"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2">
      <c r="A22" s="41" t="n"/>
      <c r="B22" s="41" t="n"/>
      <c r="C22" s="41" t="n"/>
      <c r="D22" s="41" t="n"/>
      <c r="E22" s="41"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2">
      <c r="A23" s="41" t="n"/>
      <c r="B23" s="41" t="n"/>
      <c r="C23" s="41" t="n"/>
      <c r="D23" s="41" t="n"/>
      <c r="E23" s="41"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2">
      <c r="A24" s="41" t="n"/>
      <c r="B24" s="41" t="n"/>
      <c r="C24" s="41" t="n"/>
      <c r="D24" s="41" t="n"/>
      <c r="E24" s="41"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2">
      <c r="A25" s="41" t="n"/>
      <c r="B25" s="41" t="n"/>
      <c r="C25" s="41" t="n"/>
      <c r="D25" s="41" t="n"/>
      <c r="E25" s="41"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2">
      <c r="A26" s="41" t="n"/>
      <c r="B26" s="41" t="n"/>
      <c r="C26" s="41" t="n"/>
      <c r="D26" s="41" t="n"/>
      <c r="E26" s="41"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2">
      <c r="A27" s="41" t="n"/>
      <c r="B27" s="41" t="n"/>
      <c r="C27" s="41" t="n"/>
      <c r="D27" s="41" t="n"/>
      <c r="E27" s="41"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41" t="n"/>
      <c r="B28" s="41" t="n"/>
      <c r="C28" s="41" t="n"/>
      <c r="D28" s="41" t="n"/>
      <c r="E28" s="41"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41" t="n"/>
      <c r="B29" s="41" t="n"/>
      <c r="C29" s="41" t="n"/>
      <c r="D29" s="41" t="n"/>
      <c r="E29" s="41"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2">
      <c r="A30" s="41" t="n"/>
      <c r="B30" s="41" t="n"/>
      <c r="C30" s="41" t="n"/>
      <c r="D30" s="41" t="n"/>
      <c r="E30" s="41"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2">
      <c r="A31" s="41" t="n"/>
      <c r="B31" s="41" t="n"/>
      <c r="C31" s="41" t="n"/>
      <c r="D31" s="41" t="n"/>
      <c r="E31" s="41"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41" t="n"/>
      <c r="B32" s="41" t="n"/>
      <c r="C32" s="41" t="n"/>
      <c r="D32" s="41" t="n"/>
      <c r="E32" s="41"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41" t="n"/>
      <c r="B33" s="41" t="n"/>
      <c r="C33" s="41" t="n"/>
      <c r="D33" s="41" t="n"/>
      <c r="E33" s="41"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41" t="n"/>
      <c r="B34" s="41" t="n"/>
      <c r="C34" s="41" t="n"/>
      <c r="D34" s="41" t="n"/>
      <c r="E34" s="41"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41" t="n"/>
      <c r="B35" s="41" t="n"/>
      <c r="C35" s="41" t="n"/>
      <c r="D35" s="41" t="n"/>
      <c r="E35" s="41"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41" t="n"/>
      <c r="B36" s="41" t="n"/>
      <c r="C36" s="41" t="n"/>
      <c r="D36" s="41" t="n"/>
      <c r="E36" s="41"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41" t="n"/>
      <c r="B37" s="41" t="n"/>
      <c r="C37" s="41" t="n"/>
      <c r="D37" s="41" t="n"/>
      <c r="E37" s="41"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41" t="n"/>
      <c r="B38" s="41" t="n"/>
      <c r="C38" s="41" t="n"/>
      <c r="D38" s="41" t="n"/>
      <c r="E38" s="41"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41" t="n"/>
      <c r="B39" s="41" t="n"/>
      <c r="C39" s="41" t="n"/>
      <c r="D39" s="41" t="n"/>
      <c r="E39" s="41"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41" t="n"/>
      <c r="B40" s="41" t="n"/>
      <c r="C40" s="41" t="n"/>
      <c r="D40" s="41" t="n"/>
      <c r="E40" s="41"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41" t="n"/>
      <c r="B41" s="41" t="n"/>
      <c r="C41" s="41" t="n"/>
      <c r="D41" s="41" t="n"/>
      <c r="E41" s="41"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41" t="n"/>
      <c r="B42" s="41" t="n"/>
      <c r="C42" s="41" t="n"/>
      <c r="D42" s="41" t="n"/>
      <c r="E42" s="41"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41" t="n"/>
      <c r="B43" s="41" t="n"/>
      <c r="C43" s="41" t="n"/>
      <c r="D43" s="41" t="n"/>
      <c r="E43" s="41"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41" t="n"/>
      <c r="B44" s="41" t="n"/>
      <c r="C44" s="41" t="n"/>
      <c r="D44" s="41" t="n"/>
      <c r="E44" s="41"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41" t="n"/>
      <c r="B45" s="41" t="n"/>
      <c r="C45" s="41" t="n"/>
      <c r="D45" s="41" t="n"/>
      <c r="E45" s="41"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41" t="n"/>
      <c r="B46" s="41" t="n"/>
      <c r="C46" s="41" t="n"/>
      <c r="D46" s="41" t="n"/>
      <c r="E46" s="41"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41" t="n"/>
      <c r="B47" s="41" t="n"/>
      <c r="C47" s="41" t="n"/>
      <c r="D47" s="41" t="n"/>
      <c r="E47" s="41"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41" t="n"/>
      <c r="B48" s="41" t="n"/>
      <c r="C48" s="41" t="n"/>
      <c r="D48" s="41" t="n"/>
      <c r="E48" s="41"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41" t="n"/>
      <c r="B49" s="41" t="n"/>
      <c r="C49" s="41" t="n"/>
      <c r="D49" s="41" t="n"/>
      <c r="E49" s="41"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41" t="n"/>
      <c r="B50" s="41" t="n"/>
      <c r="C50" s="41" t="n"/>
      <c r="D50" s="41" t="n"/>
      <c r="E50" s="41"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41" t="n"/>
      <c r="B51" s="41" t="n"/>
      <c r="C51" s="41" t="n"/>
      <c r="D51" s="41" t="n"/>
      <c r="E51" s="41"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41" t="n"/>
      <c r="B52" s="41" t="n"/>
      <c r="C52" s="41" t="n"/>
      <c r="D52" s="41" t="n"/>
      <c r="E52" s="41"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41" t="n"/>
      <c r="B53" s="41" t="n"/>
      <c r="C53" s="41" t="n"/>
      <c r="D53" s="41" t="n"/>
      <c r="E53" s="41"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41" t="n"/>
      <c r="B54" s="41" t="n"/>
      <c r="C54" s="41" t="n"/>
      <c r="D54" s="41" t="n"/>
      <c r="E54" s="41"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41" t="n"/>
      <c r="B55" s="41" t="n"/>
      <c r="C55" s="41" t="n"/>
      <c r="D55" s="41" t="n"/>
      <c r="E55" s="41"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41" t="n"/>
      <c r="B56" s="41" t="n"/>
      <c r="C56" s="41" t="n"/>
      <c r="D56" s="41" t="n"/>
      <c r="E56" s="41"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41" t="n"/>
      <c r="B57" s="41" t="n"/>
      <c r="C57" s="41" t="n"/>
      <c r="D57" s="41" t="n"/>
      <c r="E57" s="41"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41" t="n"/>
      <c r="B58" s="41" t="n"/>
      <c r="C58" s="41" t="n"/>
      <c r="D58" s="41" t="n"/>
      <c r="E58" s="41"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41" t="n"/>
      <c r="B59" s="41" t="n"/>
      <c r="C59" s="41" t="n"/>
      <c r="D59" s="41" t="n"/>
      <c r="E59" s="41"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41" t="n"/>
      <c r="B60" s="41" t="n"/>
      <c r="C60" s="41" t="n"/>
      <c r="D60" s="41" t="n"/>
      <c r="E60" s="41"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41" t="n"/>
      <c r="B61" s="41" t="n"/>
      <c r="C61" s="41" t="n"/>
      <c r="D61" s="41" t="n"/>
      <c r="E61" s="41"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41" t="n"/>
      <c r="B62" s="41" t="n"/>
      <c r="C62" s="41" t="n"/>
      <c r="D62" s="41" t="n"/>
      <c r="E62" s="41"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41" t="n"/>
      <c r="B63" s="41" t="n"/>
      <c r="C63" s="41" t="n"/>
      <c r="D63" s="41" t="n"/>
      <c r="E63" s="41"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41" t="n"/>
      <c r="B64" s="41" t="n"/>
      <c r="C64" s="41" t="n"/>
      <c r="D64" s="41" t="n"/>
      <c r="E64" s="41"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41" t="n"/>
      <c r="B65" s="41" t="n"/>
      <c r="C65" s="41" t="n"/>
      <c r="D65" s="41" t="n"/>
      <c r="E65" s="41"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41" t="n"/>
      <c r="B66" s="41" t="n"/>
      <c r="C66" s="41" t="n"/>
      <c r="D66" s="41" t="n"/>
      <c r="E66" s="41"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41" t="n"/>
      <c r="B67" s="41" t="n"/>
      <c r="C67" s="41" t="n"/>
      <c r="D67" s="41" t="n"/>
      <c r="E67" s="41"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41" t="n"/>
      <c r="B68" s="41" t="n"/>
      <c r="C68" s="41" t="n"/>
      <c r="D68" s="41" t="n"/>
      <c r="E68" s="41"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41" t="n"/>
      <c r="B69" s="41" t="n"/>
      <c r="C69" s="41" t="n"/>
      <c r="D69" s="41" t="n"/>
      <c r="E69" s="41"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41" t="n"/>
      <c r="B70" s="41" t="n"/>
      <c r="C70" s="41" t="n"/>
      <c r="D70" s="41" t="n"/>
      <c r="E70" s="41"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41" t="n"/>
      <c r="B71" s="41" t="n"/>
      <c r="C71" s="41" t="n"/>
      <c r="D71" s="41" t="n"/>
      <c r="E71" s="41"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41" t="n"/>
      <c r="B72" s="41" t="n"/>
      <c r="C72" s="41" t="n"/>
      <c r="D72" s="41" t="n"/>
      <c r="E72" s="41"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41" t="n"/>
      <c r="B73" s="41" t="n"/>
      <c r="C73" s="41" t="n"/>
      <c r="D73" s="41" t="n"/>
      <c r="E73" s="41"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41" t="n"/>
      <c r="B74" s="41" t="n"/>
      <c r="C74" s="41" t="n"/>
      <c r="D74" s="41" t="n"/>
      <c r="E74" s="41"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41" t="n"/>
      <c r="B75" s="41" t="n"/>
      <c r="C75" s="41" t="n"/>
      <c r="D75" s="41" t="n"/>
      <c r="E75" s="41"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41" t="n"/>
      <c r="B76" s="41" t="n"/>
      <c r="C76" s="41" t="n"/>
      <c r="D76" s="41" t="n"/>
      <c r="E76" s="41"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41" t="n"/>
      <c r="B77" s="41" t="n"/>
      <c r="C77" s="41" t="n"/>
      <c r="D77" s="41" t="n"/>
      <c r="E77" s="41"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41" t="n"/>
      <c r="B78" s="41" t="n"/>
      <c r="C78" s="41" t="n"/>
      <c r="D78" s="41" t="n"/>
      <c r="E78" s="41"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41" t="n"/>
      <c r="B79" s="41" t="n"/>
      <c r="C79" s="41" t="n"/>
      <c r="D79" s="41" t="n"/>
      <c r="E79" s="41"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41" t="n"/>
      <c r="B80" s="41" t="n"/>
      <c r="C80" s="41" t="n"/>
      <c r="D80" s="41" t="n"/>
      <c r="E80" s="41"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41" t="n"/>
      <c r="B81" s="41" t="n"/>
      <c r="C81" s="41" t="n"/>
      <c r="D81" s="41" t="n"/>
      <c r="E81" s="41"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41" t="n"/>
      <c r="B82" s="41" t="n"/>
      <c r="C82" s="41" t="n"/>
      <c r="D82" s="41" t="n"/>
      <c r="E82" s="41"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41" t="n"/>
      <c r="B83" s="41" t="n"/>
      <c r="C83" s="41" t="n"/>
      <c r="D83" s="41" t="n"/>
      <c r="E83" s="41"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41" t="n"/>
      <c r="B84" s="41" t="n"/>
      <c r="C84" s="41" t="n"/>
      <c r="D84" s="41" t="n"/>
      <c r="E84" s="41"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41" t="n"/>
      <c r="B85" s="41" t="n"/>
      <c r="C85" s="41" t="n"/>
      <c r="D85" s="41" t="n"/>
      <c r="E85" s="41"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41" t="n"/>
      <c r="B86" s="41" t="n"/>
      <c r="C86" s="41" t="n"/>
      <c r="D86" s="41" t="n"/>
      <c r="E86" s="41"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41" t="n"/>
      <c r="B87" s="41" t="n"/>
      <c r="C87" s="41" t="n"/>
      <c r="D87" s="41" t="n"/>
      <c r="E87" s="41"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41" t="n"/>
      <c r="B88" s="41" t="n"/>
      <c r="C88" s="41" t="n"/>
      <c r="D88" s="41" t="n"/>
      <c r="E88" s="41"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41" t="n"/>
      <c r="B89" s="41" t="n"/>
      <c r="C89" s="41" t="n"/>
      <c r="D89" s="41" t="n"/>
      <c r="E89" s="41"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41" t="n"/>
      <c r="B90" s="41" t="n"/>
      <c r="C90" s="41" t="n"/>
      <c r="D90" s="41" t="n"/>
      <c r="E90" s="41"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41" t="n"/>
      <c r="B91" s="41" t="n"/>
      <c r="C91" s="41" t="n"/>
      <c r="D91" s="41" t="n"/>
      <c r="E91" s="41"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41" t="n"/>
      <c r="B92" s="41" t="n"/>
      <c r="C92" s="41" t="n"/>
      <c r="D92" s="41" t="n"/>
      <c r="E92" s="41"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41" t="n"/>
      <c r="B93" s="41" t="n"/>
      <c r="C93" s="41" t="n"/>
      <c r="D93" s="41" t="n"/>
      <c r="E93" s="41"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41" t="n"/>
      <c r="B94" s="41" t="n"/>
      <c r="C94" s="41" t="n"/>
      <c r="D94" s="41" t="n"/>
      <c r="E94" s="41"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41" t="n"/>
      <c r="B95" s="41" t="n"/>
      <c r="C95" s="41" t="n"/>
      <c r="D95" s="41" t="n"/>
      <c r="E95" s="41"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41" t="n"/>
      <c r="B96" s="41" t="n"/>
      <c r="C96" s="41" t="n"/>
      <c r="D96" s="41" t="n"/>
      <c r="E96" s="41"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41" t="n"/>
      <c r="B97" s="41" t="n"/>
      <c r="C97" s="41" t="n"/>
      <c r="D97" s="41" t="n"/>
      <c r="E97" s="41"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41" t="n"/>
      <c r="B98" s="41" t="n"/>
      <c r="C98" s="41" t="n"/>
      <c r="D98" s="41" t="n"/>
      <c r="E98" s="41"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41" t="n"/>
      <c r="B99" s="41" t="n"/>
      <c r="C99" s="41" t="n"/>
      <c r="D99" s="41" t="n"/>
      <c r="E99" s="41"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41" t="n"/>
      <c r="B100" s="41" t="n"/>
      <c r="C100" s="41" t="n"/>
      <c r="D100" s="41" t="n"/>
      <c r="E100" s="41"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41" t="n"/>
      <c r="B101" s="41" t="n"/>
      <c r="C101" s="41" t="n"/>
      <c r="D101" s="41" t="n"/>
      <c r="E101" s="41"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41" t="n"/>
      <c r="B102" s="41" t="n"/>
      <c r="C102" s="41" t="n"/>
      <c r="D102" s="41" t="n"/>
      <c r="E102" s="41"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41" t="n"/>
      <c r="B103" s="41" t="n"/>
      <c r="C103" s="41" t="n"/>
      <c r="D103" s="41" t="n"/>
      <c r="E103" s="41"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41" t="n"/>
      <c r="B104" s="41" t="n"/>
      <c r="C104" s="41" t="n"/>
      <c r="D104" s="41" t="n"/>
      <c r="E104" s="41"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41" t="n"/>
      <c r="B105" s="41" t="n"/>
      <c r="C105" s="41" t="n"/>
      <c r="D105" s="41" t="n"/>
      <c r="E105" s="41"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41" t="n"/>
      <c r="B106" s="41" t="n"/>
      <c r="C106" s="41" t="n"/>
      <c r="D106" s="41" t="n"/>
      <c r="E106" s="41"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41" t="n"/>
      <c r="B107" s="41" t="n"/>
      <c r="C107" s="41" t="n"/>
      <c r="D107" s="41" t="n"/>
      <c r="E107" s="41"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41" t="n"/>
      <c r="B108" s="41" t="n"/>
      <c r="C108" s="41" t="n"/>
      <c r="D108" s="41" t="n"/>
      <c r="E108" s="41"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41" t="n"/>
      <c r="B109" s="41" t="n"/>
      <c r="C109" s="41" t="n"/>
      <c r="D109" s="41" t="n"/>
      <c r="E109" s="41"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41" t="n"/>
      <c r="B110" s="41" t="n"/>
      <c r="C110" s="41" t="n"/>
      <c r="D110" s="41" t="n"/>
      <c r="E110" s="41"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41" t="n"/>
      <c r="B111" s="41" t="n"/>
      <c r="C111" s="41" t="n"/>
      <c r="D111" s="41" t="n"/>
      <c r="E111" s="41"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41" t="n"/>
      <c r="B112" s="41" t="n"/>
      <c r="C112" s="41" t="n"/>
      <c r="D112" s="41" t="n"/>
      <c r="E112" s="41"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41" t="n"/>
      <c r="B113" s="41" t="n"/>
      <c r="C113" s="41" t="n"/>
      <c r="D113" s="41" t="n"/>
      <c r="E113" s="41"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41" t="n"/>
      <c r="B114" s="41" t="n"/>
      <c r="C114" s="41" t="n"/>
      <c r="D114" s="41" t="n"/>
      <c r="E114" s="41"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41" t="n"/>
      <c r="B115" s="41" t="n"/>
      <c r="C115" s="41" t="n"/>
      <c r="D115" s="41" t="n"/>
      <c r="E115" s="41"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41" t="n"/>
      <c r="B116" s="41" t="n"/>
      <c r="C116" s="41" t="n"/>
      <c r="D116" s="41" t="n"/>
      <c r="E116" s="41"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41" t="n"/>
      <c r="B117" s="41" t="n"/>
      <c r="C117" s="41" t="n"/>
      <c r="D117" s="41" t="n"/>
      <c r="E117" s="41"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41" t="n"/>
      <c r="B118" s="41" t="n"/>
      <c r="C118" s="41" t="n"/>
      <c r="D118" s="41" t="n"/>
      <c r="E118" s="41"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41" t="n"/>
      <c r="B119" s="41" t="n"/>
      <c r="C119" s="41" t="n"/>
      <c r="D119" s="41" t="n"/>
      <c r="E119" s="41"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41" t="n"/>
      <c r="B120" s="41" t="n"/>
      <c r="C120" s="41" t="n"/>
      <c r="D120" s="41" t="n"/>
      <c r="E120" s="41"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41" t="n"/>
      <c r="B121" s="41" t="n"/>
      <c r="C121" s="41" t="n"/>
      <c r="D121" s="41" t="n"/>
      <c r="E121" s="41"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41" t="n"/>
      <c r="B122" s="41" t="n"/>
      <c r="C122" s="41" t="n"/>
      <c r="D122" s="41" t="n"/>
      <c r="E122" s="41"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41" t="n"/>
      <c r="B123" s="41" t="n"/>
      <c r="C123" s="41" t="n"/>
      <c r="D123" s="41" t="n"/>
      <c r="E123" s="41"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41" t="n"/>
      <c r="B124" s="41" t="n"/>
      <c r="C124" s="41" t="n"/>
      <c r="D124" s="41" t="n"/>
      <c r="E124" s="41"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41" t="n"/>
      <c r="B125" s="41" t="n"/>
      <c r="C125" s="41" t="n"/>
      <c r="D125" s="41" t="n"/>
      <c r="E125" s="41"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41" t="n"/>
      <c r="B126" s="41" t="n"/>
      <c r="C126" s="41" t="n"/>
      <c r="D126" s="41" t="n"/>
      <c r="E126" s="41"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41" t="n"/>
      <c r="B127" s="41" t="n"/>
      <c r="C127" s="41" t="n"/>
      <c r="D127" s="41" t="n"/>
      <c r="E127" s="41"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41" t="n"/>
      <c r="B128" s="41" t="n"/>
      <c r="C128" s="41" t="n"/>
      <c r="D128" s="41" t="n"/>
      <c r="E128" s="41"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41" t="n"/>
      <c r="B129" s="41" t="n"/>
      <c r="C129" s="41" t="n"/>
      <c r="D129" s="41" t="n"/>
      <c r="E129" s="41"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41" t="n"/>
      <c r="B130" s="41" t="n"/>
      <c r="C130" s="41" t="n"/>
      <c r="D130" s="41" t="n"/>
      <c r="E130" s="41"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41" t="n"/>
      <c r="B131" s="41" t="n"/>
      <c r="C131" s="41" t="n"/>
      <c r="D131" s="41" t="n"/>
      <c r="E131" s="41"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41" t="n"/>
      <c r="B132" s="41" t="n"/>
      <c r="C132" s="41" t="n"/>
      <c r="D132" s="41" t="n"/>
      <c r="E132" s="41"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41" t="n"/>
      <c r="B133" s="41" t="n"/>
      <c r="C133" s="41" t="n"/>
      <c r="D133" s="41" t="n"/>
      <c r="E133" s="41"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41" t="n"/>
      <c r="B134" s="41" t="n"/>
      <c r="C134" s="41" t="n"/>
      <c r="D134" s="41" t="n"/>
      <c r="E134" s="41"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41" t="n"/>
      <c r="B135" s="41" t="n"/>
      <c r="C135" s="41" t="n"/>
      <c r="D135" s="41" t="n"/>
      <c r="E135" s="41"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41" t="n"/>
      <c r="B136" s="41" t="n"/>
      <c r="C136" s="41" t="n"/>
      <c r="D136" s="41" t="n"/>
      <c r="E136" s="41"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41" t="n"/>
      <c r="B137" s="41" t="n"/>
      <c r="C137" s="41" t="n"/>
      <c r="D137" s="41" t="n"/>
      <c r="E137" s="41"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41" t="n"/>
      <c r="B138" s="41" t="n"/>
      <c r="C138" s="41" t="n"/>
      <c r="D138" s="41" t="n"/>
      <c r="E138" s="41"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41" t="n"/>
      <c r="B139" s="41" t="n"/>
      <c r="C139" s="41" t="n"/>
      <c r="D139" s="41" t="n"/>
      <c r="E139" s="41"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41" t="n"/>
      <c r="B140" s="41" t="n"/>
      <c r="C140" s="41" t="n"/>
      <c r="D140" s="41" t="n"/>
      <c r="E140" s="41"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41" t="n"/>
      <c r="B141" s="41" t="n"/>
      <c r="C141" s="41" t="n"/>
      <c r="D141" s="41" t="n"/>
      <c r="E141" s="41"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41" t="n"/>
      <c r="B142" s="41" t="n"/>
      <c r="C142" s="41" t="n"/>
      <c r="D142" s="41" t="n"/>
      <c r="E142" s="41"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41" t="n"/>
      <c r="B143" s="41" t="n"/>
      <c r="C143" s="41" t="n"/>
      <c r="D143" s="41" t="n"/>
      <c r="E143" s="41"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41" t="n"/>
      <c r="B144" s="41" t="n"/>
      <c r="C144" s="41" t="n"/>
      <c r="D144" s="41" t="n"/>
      <c r="E144" s="41"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41" t="n"/>
      <c r="B145" s="41" t="n"/>
      <c r="C145" s="41" t="n"/>
      <c r="D145" s="41" t="n"/>
      <c r="E145" s="41"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41" t="n"/>
      <c r="B146" s="41" t="n"/>
      <c r="C146" s="41" t="n"/>
      <c r="D146" s="41" t="n"/>
      <c r="E146" s="41"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41" t="n"/>
      <c r="B147" s="41" t="n"/>
      <c r="C147" s="41" t="n"/>
      <c r="D147" s="41" t="n"/>
      <c r="E147" s="41"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41" t="n"/>
      <c r="B148" s="41" t="n"/>
      <c r="C148" s="41" t="n"/>
      <c r="D148" s="41" t="n"/>
      <c r="E148" s="41"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41" t="n"/>
      <c r="B149" s="41" t="n"/>
      <c r="C149" s="41" t="n"/>
      <c r="D149" s="41" t="n"/>
      <c r="E149" s="41"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41" t="n"/>
      <c r="B150" s="41" t="n"/>
      <c r="C150" s="41" t="n"/>
      <c r="D150" s="41" t="n"/>
      <c r="E150" s="41"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41" t="n"/>
      <c r="B151" s="41" t="n"/>
      <c r="C151" s="41" t="n"/>
      <c r="D151" s="41" t="n"/>
      <c r="E151" s="41"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41" t="n"/>
      <c r="B152" s="41" t="n"/>
      <c r="C152" s="41" t="n"/>
      <c r="D152" s="41" t="n"/>
      <c r="E152" s="41"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41" t="n"/>
      <c r="B153" s="41" t="n"/>
      <c r="C153" s="41" t="n"/>
      <c r="D153" s="41" t="n"/>
      <c r="E153" s="41"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41" t="n"/>
      <c r="B154" s="41" t="n"/>
      <c r="C154" s="41" t="n"/>
      <c r="D154" s="41" t="n"/>
      <c r="E154" s="41"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41" t="n"/>
      <c r="B155" s="41" t="n"/>
      <c r="C155" s="41" t="n"/>
      <c r="D155" s="41" t="n"/>
      <c r="E155" s="41"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41" t="n"/>
      <c r="B156" s="41" t="n"/>
      <c r="C156" s="41" t="n"/>
      <c r="D156" s="41" t="n"/>
      <c r="E156" s="41"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41" t="n"/>
      <c r="B157" s="41" t="n"/>
      <c r="C157" s="41" t="n"/>
      <c r="D157" s="41" t="n"/>
      <c r="E157" s="41"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41" t="n"/>
      <c r="B158" s="41" t="n"/>
      <c r="C158" s="41" t="n"/>
      <c r="D158" s="41" t="n"/>
      <c r="E158" s="41"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41" t="n"/>
      <c r="B159" s="41" t="n"/>
      <c r="C159" s="41" t="n"/>
      <c r="D159" s="41" t="n"/>
      <c r="E159" s="41"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41" t="n"/>
      <c r="B160" s="41" t="n"/>
      <c r="C160" s="41" t="n"/>
      <c r="D160" s="41" t="n"/>
      <c r="E160" s="41"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41" t="n"/>
      <c r="B161" s="41" t="n"/>
      <c r="C161" s="41" t="n"/>
      <c r="D161" s="41" t="n"/>
      <c r="E161" s="41"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41" t="n"/>
      <c r="B162" s="41" t="n"/>
      <c r="C162" s="41" t="n"/>
      <c r="D162" s="41" t="n"/>
      <c r="E162" s="41"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41" t="n"/>
      <c r="B163" s="41" t="n"/>
      <c r="C163" s="41" t="n"/>
      <c r="D163" s="41" t="n"/>
      <c r="E163" s="41"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41" t="n"/>
      <c r="B164" s="41" t="n"/>
      <c r="C164" s="41" t="n"/>
      <c r="D164" s="41" t="n"/>
      <c r="E164" s="41"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41" t="n"/>
      <c r="B165" s="41" t="n"/>
      <c r="C165" s="41" t="n"/>
      <c r="D165" s="41" t="n"/>
      <c r="E165" s="41"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41" t="n"/>
      <c r="B166" s="41" t="n"/>
      <c r="C166" s="41" t="n"/>
      <c r="D166" s="41" t="n"/>
      <c r="E166" s="41"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41" t="n"/>
      <c r="B167" s="41" t="n"/>
      <c r="C167" s="41" t="n"/>
      <c r="D167" s="41" t="n"/>
      <c r="E167" s="41"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41" t="n"/>
      <c r="B168" s="41" t="n"/>
      <c r="C168" s="41" t="n"/>
      <c r="D168" s="41" t="n"/>
      <c r="E168" s="41"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41" t="n"/>
      <c r="B169" s="41" t="n"/>
      <c r="C169" s="41" t="n"/>
      <c r="D169" s="41" t="n"/>
      <c r="E169" s="41"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41" t="n"/>
      <c r="B170" s="41" t="n"/>
      <c r="C170" s="41" t="n"/>
      <c r="D170" s="41" t="n"/>
      <c r="E170" s="41"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41" t="n"/>
      <c r="B171" s="41" t="n"/>
      <c r="C171" s="41" t="n"/>
      <c r="D171" s="41" t="n"/>
      <c r="E171" s="41"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41" t="n"/>
      <c r="B172" s="41" t="n"/>
      <c r="C172" s="41" t="n"/>
      <c r="D172" s="41" t="n"/>
      <c r="E172" s="41"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41" t="n"/>
      <c r="B173" s="41" t="n"/>
      <c r="C173" s="41" t="n"/>
      <c r="D173" s="41" t="n"/>
      <c r="E173" s="41"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41" t="n"/>
      <c r="B174" s="41" t="n"/>
      <c r="C174" s="41" t="n"/>
      <c r="D174" s="41" t="n"/>
      <c r="E174" s="41"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41" t="n"/>
      <c r="B175" s="41" t="n"/>
      <c r="C175" s="41" t="n"/>
      <c r="D175" s="41" t="n"/>
      <c r="E175" s="41"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41" t="n"/>
      <c r="B176" s="41" t="n"/>
      <c r="C176" s="41" t="n"/>
      <c r="D176" s="41" t="n"/>
      <c r="E176" s="41"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41" t="n"/>
      <c r="B177" s="41" t="n"/>
      <c r="C177" s="41" t="n"/>
      <c r="D177" s="41" t="n"/>
      <c r="E177" s="41"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41" t="n"/>
      <c r="B178" s="41" t="n"/>
      <c r="C178" s="41" t="n"/>
      <c r="D178" s="41" t="n"/>
      <c r="E178" s="41"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41" t="n"/>
      <c r="B179" s="41" t="n"/>
      <c r="C179" s="41" t="n"/>
      <c r="D179" s="41" t="n"/>
      <c r="E179" s="41"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41" t="n"/>
      <c r="B180" s="41" t="n"/>
      <c r="C180" s="41" t="n"/>
      <c r="D180" s="41" t="n"/>
      <c r="E180" s="41"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41" t="n"/>
      <c r="B181" s="41" t="n"/>
      <c r="C181" s="41" t="n"/>
      <c r="D181" s="41" t="n"/>
      <c r="E181" s="41"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41" t="n"/>
      <c r="B182" s="41" t="n"/>
      <c r="C182" s="41" t="n"/>
      <c r="D182" s="41" t="n"/>
      <c r="E182" s="41"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41" t="n"/>
      <c r="B183" s="41" t="n"/>
      <c r="C183" s="41" t="n"/>
      <c r="D183" s="41" t="n"/>
      <c r="E183" s="41"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41" t="n"/>
      <c r="B184" s="41" t="n"/>
      <c r="C184" s="41" t="n"/>
      <c r="D184" s="41" t="n"/>
      <c r="E184" s="41"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41" t="n"/>
      <c r="B185" s="41" t="n"/>
      <c r="C185" s="41" t="n"/>
      <c r="D185" s="41" t="n"/>
      <c r="E185" s="41"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41" t="n"/>
      <c r="B186" s="41" t="n"/>
      <c r="C186" s="41" t="n"/>
      <c r="D186" s="41" t="n"/>
      <c r="E186" s="41"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41" t="n"/>
      <c r="B187" s="41" t="n"/>
      <c r="C187" s="41" t="n"/>
      <c r="D187" s="41" t="n"/>
      <c r="E187" s="41"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41" t="n"/>
      <c r="B188" s="41" t="n"/>
      <c r="C188" s="41" t="n"/>
      <c r="D188" s="41" t="n"/>
      <c r="E188" s="41"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41" t="n"/>
      <c r="B189" s="41" t="n"/>
      <c r="C189" s="41" t="n"/>
      <c r="D189" s="41" t="n"/>
      <c r="E189" s="41"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41" t="n"/>
      <c r="B190" s="41" t="n"/>
      <c r="C190" s="41" t="n"/>
      <c r="D190" s="41" t="n"/>
      <c r="E190" s="41"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41" t="n"/>
      <c r="B191" s="41" t="n"/>
      <c r="C191" s="41" t="n"/>
      <c r="D191" s="41" t="n"/>
      <c r="E191" s="41"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41" t="n"/>
      <c r="B192" s="41" t="n"/>
      <c r="C192" s="41" t="n"/>
      <c r="D192" s="41" t="n"/>
      <c r="E192" s="41"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41" t="n"/>
      <c r="B193" s="41" t="n"/>
      <c r="C193" s="41" t="n"/>
      <c r="D193" s="41" t="n"/>
      <c r="E193" s="41"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41" t="n"/>
      <c r="B194" s="41" t="n"/>
      <c r="C194" s="41" t="n"/>
      <c r="D194" s="41" t="n"/>
      <c r="E194" s="41"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41" t="n"/>
      <c r="B195" s="41" t="n"/>
      <c r="C195" s="41" t="n"/>
      <c r="D195" s="41" t="n"/>
      <c r="E195" s="41"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41" t="n"/>
      <c r="B196" s="41" t="n"/>
      <c r="C196" s="41" t="n"/>
      <c r="D196" s="41" t="n"/>
      <c r="E196" s="41"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41" t="n"/>
      <c r="B197" s="41" t="n"/>
      <c r="C197" s="41" t="n"/>
      <c r="D197" s="41" t="n"/>
      <c r="E197" s="41"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41" t="n"/>
      <c r="B198" s="41" t="n"/>
      <c r="C198" s="41" t="n"/>
      <c r="D198" s="41" t="n"/>
      <c r="E198" s="41"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41" t="n"/>
      <c r="B199" s="41" t="n"/>
      <c r="C199" s="41" t="n"/>
      <c r="D199" s="41" t="n"/>
      <c r="E199" s="41"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41" t="n"/>
      <c r="B200" s="41" t="n"/>
      <c r="C200" s="41" t="n"/>
      <c r="D200" s="41" t="n"/>
      <c r="E200" s="41"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41" t="n"/>
      <c r="B201" s="41" t="n"/>
      <c r="C201" s="41" t="n"/>
      <c r="D201" s="41" t="n"/>
      <c r="E201" s="41"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41" t="n"/>
      <c r="B202" s="41" t="n"/>
      <c r="C202" s="41" t="n"/>
      <c r="D202" s="41" t="n"/>
      <c r="E202" s="41"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41" t="n"/>
      <c r="B203" s="41" t="n"/>
      <c r="C203" s="41" t="n"/>
      <c r="D203" s="41" t="n"/>
      <c r="E203" s="41"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41" t="n"/>
      <c r="B204" s="41" t="n"/>
      <c r="C204" s="41" t="n"/>
      <c r="D204" s="41" t="n"/>
      <c r="E204" s="41"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41" t="n"/>
      <c r="B205" s="41" t="n"/>
      <c r="C205" s="41" t="n"/>
      <c r="D205" s="41" t="n"/>
      <c r="E205" s="41"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41" t="n"/>
      <c r="B206" s="41" t="n"/>
      <c r="C206" s="41" t="n"/>
      <c r="D206" s="41" t="n"/>
      <c r="E206" s="41"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41" t="n"/>
      <c r="B207" s="41" t="n"/>
      <c r="C207" s="41" t="n"/>
      <c r="D207" s="41" t="n"/>
      <c r="E207" s="41"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41" t="n"/>
      <c r="B208" s="41" t="n"/>
      <c r="C208" s="41" t="n"/>
      <c r="D208" s="41" t="n"/>
      <c r="E208" s="41"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41" t="n"/>
      <c r="B209" s="41" t="n"/>
      <c r="C209" s="41" t="n"/>
      <c r="D209" s="41" t="n"/>
      <c r="E209" s="41"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41" t="n"/>
      <c r="B210" s="41" t="n"/>
      <c r="C210" s="41" t="n"/>
      <c r="D210" s="41" t="n"/>
      <c r="E210" s="41"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41" t="n"/>
      <c r="B211" s="41" t="n"/>
      <c r="C211" s="41" t="n"/>
      <c r="D211" s="41" t="n"/>
      <c r="E211" s="41"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41" t="n"/>
      <c r="B212" s="41" t="n"/>
      <c r="C212" s="41" t="n"/>
      <c r="D212" s="41" t="n"/>
      <c r="E212" s="41"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41" t="n"/>
      <c r="B213" s="41" t="n"/>
      <c r="C213" s="41" t="n"/>
      <c r="D213" s="41" t="n"/>
      <c r="E213" s="41"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41" t="n"/>
      <c r="B214" s="41" t="n"/>
      <c r="C214" s="41" t="n"/>
      <c r="D214" s="41" t="n"/>
      <c r="E214" s="41"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41" t="n"/>
      <c r="B215" s="41" t="n"/>
      <c r="C215" s="41" t="n"/>
      <c r="D215" s="41" t="n"/>
      <c r="E215" s="41"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41" t="n"/>
      <c r="B216" s="41" t="n"/>
      <c r="C216" s="41" t="n"/>
      <c r="D216" s="41" t="n"/>
      <c r="E216" s="41"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41" t="n"/>
      <c r="B217" s="41" t="n"/>
      <c r="C217" s="41" t="n"/>
      <c r="D217" s="41" t="n"/>
      <c r="E217" s="41"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41" t="n"/>
      <c r="B218" s="41" t="n"/>
      <c r="C218" s="41" t="n"/>
      <c r="D218" s="41" t="n"/>
      <c r="E218" s="41"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41" t="n"/>
      <c r="B219" s="41" t="n"/>
      <c r="C219" s="41" t="n"/>
      <c r="D219" s="41" t="n"/>
      <c r="E219" s="41"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41" t="n"/>
      <c r="B220" s="41" t="n"/>
      <c r="C220" s="41" t="n"/>
      <c r="D220" s="41" t="n"/>
      <c r="E220" s="41"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Z1000"/>
  <pageMargins left="0.75" right="0.75" top="1" bottom="1" header="0" footer="0"/>
  <pageSetup orientation="portrait" paperSize="9"/>
</worksheet>
</file>

<file path=xl/worksheets/sheet8.xml><?xml version="1.0" encoding="utf-8"?>
<worksheet xmlns="http://schemas.openxmlformats.org/spreadsheetml/2006/main">
  <sheetPr>
    <tabColor rgb="008A8578"/>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46" customWidth="1" style="42" min="1" max="1"/>
    <col width="8" customWidth="1" style="42" min="2" max="2"/>
    <col width="16" customWidth="1" style="42" min="3" max="3"/>
    <col width="7" customWidth="1" style="42" min="4" max="4"/>
    <col width="12" customWidth="1" style="42" min="5" max="5"/>
    <col width="26" customWidth="1" style="42" min="6" max="6"/>
    <col width="52" customWidth="1" style="42" min="7" max="7"/>
  </cols>
  <sheetData>
    <row r="1" ht="30" customHeight="1" s="42">
      <c r="A1" s="53" t="inlineStr">
        <is>
          <t>File</t>
        </is>
      </c>
      <c r="B1" s="53" t="inlineStr">
        <is>
          <t>Client</t>
        </is>
      </c>
      <c r="C1" s="53" t="inlineStr">
        <is>
          <t>Type</t>
        </is>
      </c>
      <c r="D1" s="53" t="inlineStr">
        <is>
          <t>Pair</t>
        </is>
      </c>
      <c r="E1" s="53" t="inlineStr">
        <is>
          <t>Consent</t>
        </is>
      </c>
      <c r="F1" s="53" t="inlineStr">
        <is>
          <t>Used In</t>
        </is>
      </c>
      <c r="G1" s="53" t="inlineStr">
        <is>
          <t>Client Notes</t>
        </is>
      </c>
      <c r="H1" s="58" t="n"/>
      <c r="I1" s="58" t="n"/>
      <c r="J1" s="58" t="n"/>
      <c r="K1" s="58" t="n"/>
      <c r="L1" s="58" t="n"/>
      <c r="M1" s="58" t="n"/>
      <c r="N1" s="58" t="n"/>
      <c r="O1" s="58" t="n"/>
      <c r="P1" s="58" t="n"/>
      <c r="Q1" s="58" t="n"/>
      <c r="R1" s="58" t="n"/>
      <c r="S1" s="58" t="n"/>
      <c r="T1" s="58" t="n"/>
      <c r="U1" s="58" t="n"/>
      <c r="V1" s="58" t="n"/>
      <c r="W1" s="58" t="n"/>
      <c r="X1" s="58" t="n"/>
      <c r="Y1" s="58" t="n"/>
      <c r="Z1" s="58" t="n"/>
    </row>
    <row r="2">
      <c r="A2" s="11" t="inlineStr">
        <is>
          <t>img_9908.jpg</t>
        </is>
      </c>
      <c r="B2" s="11" t="inlineStr">
        <is>
          <t>E</t>
        </is>
      </c>
      <c r="C2" s="11" t="inlineStr">
        <is>
          <t>Before</t>
        </is>
      </c>
      <c r="D2" s="11" t="inlineStr">
        <is>
          <t>E</t>
        </is>
      </c>
      <c r="E2" s="11" t="inlineStr">
        <is>
          <t>Not needed</t>
        </is>
      </c>
      <c r="F2" s="11" t="inlineStr">
        <is>
          <t>Oct 8, Oct 15</t>
        </is>
      </c>
      <c r="G2" s="11" t="inlineStr">
        <is>
          <t>Fair skin, lower face only. Cleanest pair in the library</t>
        </is>
      </c>
      <c r="H2" s="2" t="n"/>
      <c r="I2" s="2" t="n"/>
      <c r="J2" s="2" t="n"/>
      <c r="K2" s="2" t="n"/>
      <c r="L2" s="2" t="n"/>
      <c r="M2" s="2" t="n"/>
      <c r="N2" s="2" t="n"/>
      <c r="O2" s="2" t="n"/>
      <c r="P2" s="2" t="n"/>
      <c r="Q2" s="2" t="n"/>
      <c r="R2" s="2" t="n"/>
      <c r="S2" s="2" t="n"/>
      <c r="T2" s="2" t="n"/>
      <c r="U2" s="2" t="n"/>
      <c r="V2" s="2" t="n"/>
      <c r="W2" s="2" t="n"/>
      <c r="X2" s="2" t="n"/>
      <c r="Y2" s="2" t="n"/>
      <c r="Z2" s="2" t="n"/>
    </row>
    <row r="3">
      <c r="A3" s="11" t="inlineStr">
        <is>
          <t>img_9912.jpg</t>
        </is>
      </c>
      <c r="B3" s="11" t="inlineStr">
        <is>
          <t>E</t>
        </is>
      </c>
      <c r="C3" s="11" t="inlineStr">
        <is>
          <t>After</t>
        </is>
      </c>
      <c r="D3" s="11" t="inlineStr">
        <is>
          <t>E</t>
        </is>
      </c>
      <c r="E3" s="11" t="inlineStr">
        <is>
          <t>Not needed</t>
        </is>
      </c>
      <c r="F3" s="11" t="inlineStr">
        <is>
          <t>Oct 8, Oct 15</t>
        </is>
      </c>
      <c r="G3" s="11" t="inlineStr">
        <is>
          <t>Fair skin, lower face only. Cleanest pair in the library</t>
        </is>
      </c>
      <c r="H3" s="2" t="n"/>
      <c r="I3" s="2" t="n"/>
      <c r="J3" s="2" t="n"/>
      <c r="K3" s="2" t="n"/>
      <c r="L3" s="2" t="n"/>
      <c r="M3" s="2" t="n"/>
      <c r="N3" s="2" t="n"/>
      <c r="O3" s="2" t="n"/>
      <c r="P3" s="2" t="n"/>
      <c r="Q3" s="2" t="n"/>
      <c r="R3" s="2" t="n"/>
      <c r="S3" s="2" t="n"/>
      <c r="T3" s="2" t="n"/>
      <c r="U3" s="2" t="n"/>
      <c r="V3" s="2" t="n"/>
      <c r="W3" s="2" t="n"/>
      <c r="X3" s="2" t="n"/>
      <c r="Y3" s="2" t="n"/>
      <c r="Z3" s="2" t="n"/>
    </row>
    <row r="4">
      <c r="A4" s="11" t="inlineStr">
        <is>
          <t>img_0221.jpg</t>
        </is>
      </c>
      <c r="B4" s="11" t="inlineStr">
        <is>
          <t>A</t>
        </is>
      </c>
      <c r="C4" s="11" t="inlineStr">
        <is>
          <t>Before</t>
        </is>
      </c>
      <c r="D4" s="11" t="inlineStr">
        <is>
          <t>A</t>
        </is>
      </c>
      <c r="E4" s="11" t="inlineStr">
        <is>
          <t>On file</t>
        </is>
      </c>
      <c r="F4" s="11" t="inlineStr">
        <is>
          <t>Oct 15, Oct 30</t>
        </is>
      </c>
      <c r="G4" s="11" t="inlineStr">
        <is>
          <t>Front-on, neck tattoos and nose ring. Crop above the collarbone</t>
        </is>
      </c>
      <c r="H4" s="2" t="n"/>
      <c r="I4" s="2" t="n"/>
      <c r="J4" s="2" t="n"/>
      <c r="K4" s="2" t="n"/>
      <c r="L4" s="2" t="n"/>
      <c r="M4" s="2" t="n"/>
      <c r="N4" s="2" t="n"/>
      <c r="O4" s="2" t="n"/>
      <c r="P4" s="2" t="n"/>
      <c r="Q4" s="2" t="n"/>
      <c r="R4" s="2" t="n"/>
      <c r="S4" s="2" t="n"/>
      <c r="T4" s="2" t="n"/>
      <c r="U4" s="2" t="n"/>
      <c r="V4" s="2" t="n"/>
      <c r="W4" s="2" t="n"/>
      <c r="X4" s="2" t="n"/>
      <c r="Y4" s="2" t="n"/>
      <c r="Z4" s="2" t="n"/>
    </row>
    <row r="5">
      <c r="A5" s="11" t="inlineStr">
        <is>
          <t>img_0233.jpg</t>
        </is>
      </c>
      <c r="B5" s="11" t="inlineStr">
        <is>
          <t>A</t>
        </is>
      </c>
      <c r="C5" s="11" t="inlineStr">
        <is>
          <t>After</t>
        </is>
      </c>
      <c r="D5" s="11" t="inlineStr">
        <is>
          <t>A</t>
        </is>
      </c>
      <c r="E5" s="11" t="inlineStr">
        <is>
          <t>On file</t>
        </is>
      </c>
      <c r="F5" s="11" t="inlineStr">
        <is>
          <t>Oct 15, Oct 30</t>
        </is>
      </c>
      <c r="G5" s="11" t="inlineStr">
        <is>
          <t>Front-on, neck tattoos and nose ring. Crop above the collarbone</t>
        </is>
      </c>
      <c r="H5" s="2" t="n"/>
      <c r="I5" s="2" t="n"/>
      <c r="J5" s="2" t="n"/>
      <c r="K5" s="2" t="n"/>
      <c r="L5" s="2" t="n"/>
      <c r="M5" s="2" t="n"/>
      <c r="N5" s="2" t="n"/>
      <c r="O5" s="2" t="n"/>
      <c r="P5" s="2" t="n"/>
      <c r="Q5" s="2" t="n"/>
      <c r="R5" s="2" t="n"/>
      <c r="S5" s="2" t="n"/>
      <c r="T5" s="2" t="n"/>
      <c r="U5" s="2" t="n"/>
      <c r="V5" s="2" t="n"/>
      <c r="W5" s="2" t="n"/>
      <c r="X5" s="2" t="n"/>
      <c r="Y5" s="2" t="n"/>
      <c r="Z5" s="2" t="n"/>
    </row>
    <row r="6">
      <c r="A6" s="11" t="inlineStr">
        <is>
          <t>img_0962.jpg</t>
        </is>
      </c>
      <c r="B6" s="11" t="inlineStr">
        <is>
          <t>B</t>
        </is>
      </c>
      <c r="C6" s="11" t="inlineStr">
        <is>
          <t>Before</t>
        </is>
      </c>
      <c r="D6" s="11" t="inlineStr">
        <is>
          <t>B</t>
        </is>
      </c>
      <c r="E6" s="11" t="inlineStr">
        <is>
          <t>Not needed</t>
        </is>
      </c>
      <c r="F6" s="11" t="inlineStr">
        <is>
          <t>Oct 15, Oct 24</t>
        </is>
      </c>
      <c r="G6" s="11" t="inlineStr">
        <is>
          <t>Matched 3/4 profile, lower face only. Colour-match before to after</t>
        </is>
      </c>
      <c r="H6" s="2" t="n"/>
      <c r="I6" s="2" t="n"/>
      <c r="J6" s="2" t="n"/>
      <c r="K6" s="2" t="n"/>
      <c r="L6" s="2" t="n"/>
      <c r="M6" s="2" t="n"/>
      <c r="N6" s="2" t="n"/>
      <c r="O6" s="2" t="n"/>
      <c r="P6" s="2" t="n"/>
      <c r="Q6" s="2" t="n"/>
      <c r="R6" s="2" t="n"/>
      <c r="S6" s="2" t="n"/>
      <c r="T6" s="2" t="n"/>
      <c r="U6" s="2" t="n"/>
      <c r="V6" s="2" t="n"/>
      <c r="W6" s="2" t="n"/>
      <c r="X6" s="2" t="n"/>
      <c r="Y6" s="2" t="n"/>
      <c r="Z6" s="2" t="n"/>
    </row>
    <row r="7">
      <c r="A7" s="11" t="inlineStr">
        <is>
          <t>img_0998.jpg</t>
        </is>
      </c>
      <c r="B7" s="11" t="inlineStr">
        <is>
          <t>B</t>
        </is>
      </c>
      <c r="C7" s="11" t="inlineStr">
        <is>
          <t>After</t>
        </is>
      </c>
      <c r="D7" s="11" t="inlineStr">
        <is>
          <t>B</t>
        </is>
      </c>
      <c r="E7" s="11" t="inlineStr">
        <is>
          <t>Not needed</t>
        </is>
      </c>
      <c r="F7" s="11" t="inlineStr">
        <is>
          <t>Oct 15, Oct 24</t>
        </is>
      </c>
      <c r="G7" s="11" t="inlineStr">
        <is>
          <t>Matched 3/4 profile, lower face only. Colour-match before to after</t>
        </is>
      </c>
      <c r="H7" s="2" t="n"/>
      <c r="I7" s="2" t="n"/>
      <c r="J7" s="2" t="n"/>
      <c r="K7" s="2" t="n"/>
      <c r="L7" s="2" t="n"/>
      <c r="M7" s="2" t="n"/>
      <c r="N7" s="2" t="n"/>
      <c r="O7" s="2" t="n"/>
      <c r="P7" s="2" t="n"/>
      <c r="Q7" s="2" t="n"/>
      <c r="R7" s="2" t="n"/>
      <c r="S7" s="2" t="n"/>
      <c r="T7" s="2" t="n"/>
      <c r="U7" s="2" t="n"/>
      <c r="V7" s="2" t="n"/>
      <c r="W7" s="2" t="n"/>
      <c r="X7" s="2" t="n"/>
      <c r="Y7" s="2" t="n"/>
      <c r="Z7" s="2" t="n"/>
    </row>
    <row r="8">
      <c r="A8" s="11" t="inlineStr">
        <is>
          <t>img_1119.jpg</t>
        </is>
      </c>
      <c r="B8" s="11" t="inlineStr">
        <is>
          <t>C</t>
        </is>
      </c>
      <c r="C8" s="11" t="inlineStr">
        <is>
          <t>Before</t>
        </is>
      </c>
      <c r="D8" s="11" t="inlineStr">
        <is>
          <t>C</t>
        </is>
      </c>
      <c r="E8" s="11" t="inlineStr">
        <is>
          <t>On file</t>
        </is>
      </c>
      <c r="F8" s="11" t="inlineStr">
        <is>
          <t>Oct 10, Oct 15</t>
        </is>
      </c>
      <c r="G8" s="11" t="inlineStr">
        <is>
          <t>Blonde, reclined in chair. Crop the before to the lower face</t>
        </is>
      </c>
      <c r="H8" s="2" t="n"/>
      <c r="I8" s="2" t="n"/>
      <c r="J8" s="2" t="n"/>
      <c r="K8" s="2" t="n"/>
      <c r="L8" s="2" t="n"/>
      <c r="M8" s="2" t="n"/>
      <c r="N8" s="2" t="n"/>
      <c r="O8" s="2" t="n"/>
      <c r="P8" s="2" t="n"/>
      <c r="Q8" s="2" t="n"/>
      <c r="R8" s="2" t="n"/>
      <c r="S8" s="2" t="n"/>
      <c r="T8" s="2" t="n"/>
      <c r="U8" s="2" t="n"/>
      <c r="V8" s="2" t="n"/>
      <c r="W8" s="2" t="n"/>
      <c r="X8" s="2" t="n"/>
      <c r="Y8" s="2" t="n"/>
      <c r="Z8" s="2" t="n"/>
    </row>
    <row r="9">
      <c r="A9" s="11" t="inlineStr">
        <is>
          <t>img_1123.jpg</t>
        </is>
      </c>
      <c r="B9" s="11" t="inlineStr">
        <is>
          <t>C</t>
        </is>
      </c>
      <c r="C9" s="11" t="inlineStr">
        <is>
          <t>After</t>
        </is>
      </c>
      <c r="D9" s="11" t="inlineStr">
        <is>
          <t>C</t>
        </is>
      </c>
      <c r="E9" s="11" t="inlineStr">
        <is>
          <t>On file</t>
        </is>
      </c>
      <c r="F9" s="11" t="inlineStr">
        <is>
          <t>Oct 10, Oct 15</t>
        </is>
      </c>
      <c r="G9" s="11" t="inlineStr">
        <is>
          <t>Blonde, reclined in chair. Crop the before to the lower face</t>
        </is>
      </c>
      <c r="H9" s="2" t="n"/>
      <c r="I9" s="2" t="n"/>
      <c r="J9" s="2" t="n"/>
      <c r="K9" s="2" t="n"/>
      <c r="L9" s="2" t="n"/>
      <c r="M9" s="2" t="n"/>
      <c r="N9" s="2" t="n"/>
      <c r="O9" s="2" t="n"/>
      <c r="P9" s="2" t="n"/>
      <c r="Q9" s="2" t="n"/>
      <c r="R9" s="2" t="n"/>
      <c r="S9" s="2" t="n"/>
      <c r="T9" s="2" t="n"/>
      <c r="U9" s="2" t="n"/>
      <c r="V9" s="2" t="n"/>
      <c r="W9" s="2" t="n"/>
      <c r="X9" s="2" t="n"/>
      <c r="Y9" s="2" t="n"/>
      <c r="Z9" s="2" t="n"/>
    </row>
    <row r="10">
      <c r="A10" s="11" t="inlineStr">
        <is>
          <t>img_1444.jpg</t>
        </is>
      </c>
      <c r="B10" s="11" t="inlineStr">
        <is>
          <t>D</t>
        </is>
      </c>
      <c r="C10" s="11" t="inlineStr">
        <is>
          <t>Unconfirmed</t>
        </is>
      </c>
      <c r="D10" s="11" t="inlineStr">
        <is>
          <t>D</t>
        </is>
      </c>
      <c r="E10" s="11" t="inlineStr">
        <is>
          <t>On file</t>
        </is>
      </c>
      <c r="F10" s="11" t="inlineStr">
        <is>
          <t>HOLD: direction unconfirmed</t>
        </is>
      </c>
      <c r="G10" s="11" t="inlineStr">
        <is>
          <t>Blonde, pearl earring, mole on chin. Change is subtle</t>
        </is>
      </c>
      <c r="H10" s="2" t="n"/>
      <c r="I10" s="2" t="n"/>
      <c r="J10" s="2" t="n"/>
      <c r="K10" s="2" t="n"/>
      <c r="L10" s="2" t="n"/>
      <c r="M10" s="2" t="n"/>
      <c r="N10" s="2" t="n"/>
      <c r="O10" s="2" t="n"/>
      <c r="P10" s="2" t="n"/>
      <c r="Q10" s="2" t="n"/>
      <c r="R10" s="2" t="n"/>
      <c r="S10" s="2" t="n"/>
      <c r="T10" s="2" t="n"/>
      <c r="U10" s="2" t="n"/>
      <c r="V10" s="2" t="n"/>
      <c r="W10" s="2" t="n"/>
      <c r="X10" s="2" t="n"/>
      <c r="Y10" s="2" t="n"/>
      <c r="Z10" s="2" t="n"/>
    </row>
    <row r="11">
      <c r="A11" s="11" t="inlineStr">
        <is>
          <t>img_1447.jpg</t>
        </is>
      </c>
      <c r="B11" s="11" t="inlineStr">
        <is>
          <t>D</t>
        </is>
      </c>
      <c r="C11" s="11" t="inlineStr">
        <is>
          <t>Unconfirmed</t>
        </is>
      </c>
      <c r="D11" s="11" t="inlineStr">
        <is>
          <t>D</t>
        </is>
      </c>
      <c r="E11" s="11" t="inlineStr">
        <is>
          <t>On file</t>
        </is>
      </c>
      <c r="F11" s="11" t="inlineStr">
        <is>
          <t>HOLD: direction unconfirmed</t>
        </is>
      </c>
      <c r="G11" s="11" t="inlineStr">
        <is>
          <t>Blonde, pearl earring, mole on chin. Change is subtle</t>
        </is>
      </c>
      <c r="H11" s="2" t="n"/>
      <c r="I11" s="2" t="n"/>
      <c r="J11" s="2" t="n"/>
      <c r="K11" s="2" t="n"/>
      <c r="L11" s="2" t="n"/>
      <c r="M11" s="2" t="n"/>
      <c r="N11" s="2" t="n"/>
      <c r="O11" s="2" t="n"/>
      <c r="P11" s="2" t="n"/>
      <c r="Q11" s="2" t="n"/>
      <c r="R11" s="2" t="n"/>
      <c r="S11" s="2" t="n"/>
      <c r="T11" s="2" t="n"/>
      <c r="U11" s="2" t="n"/>
      <c r="V11" s="2" t="n"/>
      <c r="W11" s="2" t="n"/>
      <c r="X11" s="2" t="n"/>
      <c r="Y11" s="2" t="n"/>
      <c r="Z11" s="2" t="n"/>
    </row>
    <row r="12">
      <c r="A12" s="11" t="inlineStr">
        <is>
          <t>img_4775.jpg</t>
        </is>
      </c>
      <c r="B12" s="11" t="inlineStr">
        <is>
          <t>G</t>
        </is>
      </c>
      <c r="C12" s="11" t="inlineStr">
        <is>
          <t>Healed result</t>
        </is>
      </c>
      <c r="D12" s="11" t="n"/>
      <c r="E12" s="11" t="inlineStr">
        <is>
          <t>On file</t>
        </is>
      </c>
      <c r="F12" s="11" t="inlineStr">
        <is>
          <t>Nov 6</t>
        </is>
      </c>
      <c r="G12" s="11" t="inlineStr">
        <is>
          <t>Six angles, healed and settled. Shot full face, needs tight crops</t>
        </is>
      </c>
      <c r="H12" s="2" t="n"/>
      <c r="I12" s="2" t="n"/>
      <c r="J12" s="2" t="n"/>
      <c r="K12" s="2" t="n"/>
      <c r="L12" s="2" t="n"/>
      <c r="M12" s="2" t="n"/>
      <c r="N12" s="2" t="n"/>
      <c r="O12" s="2" t="n"/>
      <c r="P12" s="2" t="n"/>
      <c r="Q12" s="2" t="n"/>
      <c r="R12" s="2" t="n"/>
      <c r="S12" s="2" t="n"/>
      <c r="T12" s="2" t="n"/>
      <c r="U12" s="2" t="n"/>
      <c r="V12" s="2" t="n"/>
      <c r="W12" s="2" t="n"/>
      <c r="X12" s="2" t="n"/>
      <c r="Y12" s="2" t="n"/>
      <c r="Z12" s="2" t="n"/>
    </row>
    <row r="13">
      <c r="A13" s="11" t="inlineStr">
        <is>
          <t>img_4777.jpg</t>
        </is>
      </c>
      <c r="B13" s="11" t="inlineStr">
        <is>
          <t>G</t>
        </is>
      </c>
      <c r="C13" s="11" t="inlineStr">
        <is>
          <t>Healed result</t>
        </is>
      </c>
      <c r="D13" s="11" t="n"/>
      <c r="E13" s="11" t="inlineStr">
        <is>
          <t>On file</t>
        </is>
      </c>
      <c r="F13" s="11" t="inlineStr">
        <is>
          <t>Nov 6</t>
        </is>
      </c>
      <c r="G13" s="11" t="inlineStr">
        <is>
          <t>Six angles, healed and settled. Shot full face, needs tight crops</t>
        </is>
      </c>
      <c r="H13" s="2" t="n"/>
      <c r="I13" s="2" t="n"/>
      <c r="J13" s="2" t="n"/>
      <c r="K13" s="2" t="n"/>
      <c r="L13" s="2" t="n"/>
      <c r="M13" s="2" t="n"/>
      <c r="N13" s="2" t="n"/>
      <c r="O13" s="2" t="n"/>
      <c r="P13" s="2" t="n"/>
      <c r="Q13" s="2" t="n"/>
      <c r="R13" s="2" t="n"/>
      <c r="S13" s="2" t="n"/>
      <c r="T13" s="2" t="n"/>
      <c r="U13" s="2" t="n"/>
      <c r="V13" s="2" t="n"/>
      <c r="W13" s="2" t="n"/>
      <c r="X13" s="2" t="n"/>
      <c r="Y13" s="2" t="n"/>
      <c r="Z13" s="2" t="n"/>
    </row>
    <row r="14">
      <c r="A14" s="11" t="inlineStr">
        <is>
          <t>img_4778.jpg</t>
        </is>
      </c>
      <c r="B14" s="11" t="inlineStr">
        <is>
          <t>G</t>
        </is>
      </c>
      <c r="C14" s="11" t="inlineStr">
        <is>
          <t>Healed result</t>
        </is>
      </c>
      <c r="D14" s="11" t="n"/>
      <c r="E14" s="11" t="inlineStr">
        <is>
          <t>On file</t>
        </is>
      </c>
      <c r="F14" s="11" t="inlineStr">
        <is>
          <t>Nov 6</t>
        </is>
      </c>
      <c r="G14" s="11" t="inlineStr">
        <is>
          <t>Six angles, healed and settled. Shot full face, needs tight crops</t>
        </is>
      </c>
      <c r="H14" s="2" t="n"/>
      <c r="I14" s="2" t="n"/>
      <c r="J14" s="2" t="n"/>
      <c r="K14" s="2" t="n"/>
      <c r="L14" s="2" t="n"/>
      <c r="M14" s="2" t="n"/>
      <c r="N14" s="2" t="n"/>
      <c r="O14" s="2" t="n"/>
      <c r="P14" s="2" t="n"/>
      <c r="Q14" s="2" t="n"/>
      <c r="R14" s="2" t="n"/>
      <c r="S14" s="2" t="n"/>
      <c r="T14" s="2" t="n"/>
      <c r="U14" s="2" t="n"/>
      <c r="V14" s="2" t="n"/>
      <c r="W14" s="2" t="n"/>
      <c r="X14" s="2" t="n"/>
      <c r="Y14" s="2" t="n"/>
      <c r="Z14" s="2" t="n"/>
    </row>
    <row r="15">
      <c r="A15" s="11" t="inlineStr">
        <is>
          <t>img_4780.jpg</t>
        </is>
      </c>
      <c r="B15" s="11" t="inlineStr">
        <is>
          <t>G</t>
        </is>
      </c>
      <c r="C15" s="11" t="inlineStr">
        <is>
          <t>Healed result</t>
        </is>
      </c>
      <c r="D15" s="11" t="n"/>
      <c r="E15" s="11" t="inlineStr">
        <is>
          <t>On file</t>
        </is>
      </c>
      <c r="F15" s="11" t="inlineStr">
        <is>
          <t>Nov 6</t>
        </is>
      </c>
      <c r="G15" s="11" t="inlineStr">
        <is>
          <t>Six angles, healed and settled. Shot full face, needs tight crops</t>
        </is>
      </c>
      <c r="H15" s="2" t="n"/>
      <c r="I15" s="2" t="n"/>
      <c r="J15" s="2" t="n"/>
      <c r="K15" s="2" t="n"/>
      <c r="L15" s="2" t="n"/>
      <c r="M15" s="2" t="n"/>
      <c r="N15" s="2" t="n"/>
      <c r="O15" s="2" t="n"/>
      <c r="P15" s="2" t="n"/>
      <c r="Q15" s="2" t="n"/>
      <c r="R15" s="2" t="n"/>
      <c r="S15" s="2" t="n"/>
      <c r="T15" s="2" t="n"/>
      <c r="U15" s="2" t="n"/>
      <c r="V15" s="2" t="n"/>
      <c r="W15" s="2" t="n"/>
      <c r="X15" s="2" t="n"/>
      <c r="Y15" s="2" t="n"/>
      <c r="Z15" s="2" t="n"/>
    </row>
    <row r="16">
      <c r="A16" s="11" t="inlineStr">
        <is>
          <t>img_4781.jpg</t>
        </is>
      </c>
      <c r="B16" s="11" t="inlineStr">
        <is>
          <t>G</t>
        </is>
      </c>
      <c r="C16" s="11" t="inlineStr">
        <is>
          <t>Healed result</t>
        </is>
      </c>
      <c r="D16" s="11" t="n"/>
      <c r="E16" s="11" t="inlineStr">
        <is>
          <t>On file</t>
        </is>
      </c>
      <c r="F16" s="11" t="inlineStr">
        <is>
          <t>Nov 6</t>
        </is>
      </c>
      <c r="G16" s="11" t="inlineStr">
        <is>
          <t>Six angles, healed and settled. Shot full face, needs tight crops</t>
        </is>
      </c>
      <c r="H16" s="2" t="n"/>
      <c r="I16" s="2" t="n"/>
      <c r="J16" s="2" t="n"/>
      <c r="K16" s="2" t="n"/>
      <c r="L16" s="2" t="n"/>
      <c r="M16" s="2" t="n"/>
      <c r="N16" s="2" t="n"/>
      <c r="O16" s="2" t="n"/>
      <c r="P16" s="2" t="n"/>
      <c r="Q16" s="2" t="n"/>
      <c r="R16" s="2" t="n"/>
      <c r="S16" s="2" t="n"/>
      <c r="T16" s="2" t="n"/>
      <c r="U16" s="2" t="n"/>
      <c r="V16" s="2" t="n"/>
      <c r="W16" s="2" t="n"/>
      <c r="X16" s="2" t="n"/>
      <c r="Y16" s="2" t="n"/>
      <c r="Z16" s="2" t="n"/>
    </row>
    <row r="17">
      <c r="A17" s="11" t="inlineStr">
        <is>
          <t>img_4782.jpg</t>
        </is>
      </c>
      <c r="B17" s="11" t="inlineStr">
        <is>
          <t>G</t>
        </is>
      </c>
      <c r="C17" s="11" t="inlineStr">
        <is>
          <t>Healed result</t>
        </is>
      </c>
      <c r="D17" s="11" t="n"/>
      <c r="E17" s="11" t="inlineStr">
        <is>
          <t>On file</t>
        </is>
      </c>
      <c r="F17" s="11" t="inlineStr">
        <is>
          <t>Nov 6</t>
        </is>
      </c>
      <c r="G17" s="11" t="inlineStr">
        <is>
          <t>Six angles, healed and settled. Shot full face, needs tight crops</t>
        </is>
      </c>
      <c r="H17" s="2" t="n"/>
      <c r="I17" s="2" t="n"/>
      <c r="J17" s="2" t="n"/>
      <c r="K17" s="2" t="n"/>
      <c r="L17" s="2" t="n"/>
      <c r="M17" s="2" t="n"/>
      <c r="N17" s="2" t="n"/>
      <c r="O17" s="2" t="n"/>
      <c r="P17" s="2" t="n"/>
      <c r="Q17" s="2" t="n"/>
      <c r="R17" s="2" t="n"/>
      <c r="S17" s="2" t="n"/>
      <c r="T17" s="2" t="n"/>
      <c r="U17" s="2" t="n"/>
      <c r="V17" s="2" t="n"/>
      <c r="W17" s="2" t="n"/>
      <c r="X17" s="2" t="n"/>
      <c r="Y17" s="2" t="n"/>
      <c r="Z17" s="2" t="n"/>
    </row>
    <row r="18">
      <c r="A18" s="11" t="inlineStr">
        <is>
          <t>img_9848.jpg</t>
        </is>
      </c>
      <c r="B18" s="11" t="inlineStr">
        <is>
          <t>F</t>
        </is>
      </c>
      <c r="C18" s="11" t="inlineStr">
        <is>
          <t>Before</t>
        </is>
      </c>
      <c r="D18" s="11" t="inlineStr">
        <is>
          <t>F</t>
        </is>
      </c>
      <c r="E18" s="11" t="inlineStr">
        <is>
          <t>On file</t>
        </is>
      </c>
      <c r="F18" s="11" t="inlineStr">
        <is>
          <t>Oct 15, Oct 22</t>
        </is>
      </c>
      <c r="G18" s="11" t="inlineStr">
        <is>
          <t>Before and after from one appointment, minutes apart. Same camera position, so the best matched pair in the library. The after has visible swelling and pinpoint marks, so label it Right after, never After</t>
        </is>
      </c>
      <c r="H18" s="2" t="n"/>
      <c r="I18" s="2" t="n"/>
      <c r="J18" s="2" t="n"/>
      <c r="K18" s="2" t="n"/>
      <c r="L18" s="2" t="n"/>
      <c r="M18" s="2" t="n"/>
      <c r="N18" s="2" t="n"/>
      <c r="O18" s="2" t="n"/>
      <c r="P18" s="2" t="n"/>
      <c r="Q18" s="2" t="n"/>
      <c r="R18" s="2" t="n"/>
      <c r="S18" s="2" t="n"/>
      <c r="T18" s="2" t="n"/>
      <c r="U18" s="2" t="n"/>
      <c r="V18" s="2" t="n"/>
      <c r="W18" s="2" t="n"/>
      <c r="X18" s="2" t="n"/>
      <c r="Y18" s="2" t="n"/>
      <c r="Z18" s="2" t="n"/>
    </row>
    <row r="19">
      <c r="A19" s="11" t="inlineStr">
        <is>
          <t>img_9850.jpg</t>
        </is>
      </c>
      <c r="B19" s="11" t="inlineStr">
        <is>
          <t>F</t>
        </is>
      </c>
      <c r="C19" s="11" t="inlineStr">
        <is>
          <t>After (day 0)</t>
        </is>
      </c>
      <c r="D19" s="11" t="inlineStr">
        <is>
          <t>F</t>
        </is>
      </c>
      <c r="E19" s="11" t="inlineStr">
        <is>
          <t>On file</t>
        </is>
      </c>
      <c r="F19" s="11" t="inlineStr">
        <is>
          <t>Oct 15, Oct 22</t>
        </is>
      </c>
      <c r="G19" s="11" t="inlineStr">
        <is>
          <t>Before and after from one appointment, minutes apart. Same camera position, so the best matched pair in the library. The after has visible swelling and pinpoint marks, so label it Right after, never After</t>
        </is>
      </c>
      <c r="H19" s="2" t="n"/>
      <c r="I19" s="2" t="n"/>
      <c r="J19" s="2" t="n"/>
      <c r="K19" s="2" t="n"/>
      <c r="L19" s="2" t="n"/>
      <c r="M19" s="2" t="n"/>
      <c r="N19" s="2" t="n"/>
      <c r="O19" s="2" t="n"/>
      <c r="P19" s="2" t="n"/>
      <c r="Q19" s="2" t="n"/>
      <c r="R19" s="2" t="n"/>
      <c r="S19" s="2" t="n"/>
      <c r="T19" s="2" t="n"/>
      <c r="U19" s="2" t="n"/>
      <c r="V19" s="2" t="n"/>
      <c r="W19" s="2" t="n"/>
      <c r="X19" s="2" t="n"/>
      <c r="Y19" s="2" t="n"/>
      <c r="Z19" s="2" t="n"/>
    </row>
    <row r="20">
      <c r="A20" s="11" t="inlineStr">
        <is>
          <t>whatsapp-image-2026-08-13-at-10.14.36-pm.jpg</t>
        </is>
      </c>
      <c r="B20" s="11" t="inlineStr">
        <is>
          <t>F</t>
        </is>
      </c>
      <c r="C20" s="11" t="inlineStr">
        <is>
          <t>After collage</t>
        </is>
      </c>
      <c r="D20" s="11" t="n"/>
      <c r="E20" s="11" t="inlineStr">
        <is>
          <t>On file</t>
        </is>
      </c>
      <c r="F20" s="11" t="inlineStr">
        <is>
          <t>Oct 22</t>
        </is>
      </c>
      <c r="G20" s="11" t="inlineStr">
        <is>
          <t>Before and after from one appointment, minutes apart. Same camera position, so the best matched pair in the library. The after has visible swelling and pinpoint marks, so label it Right after, never After</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2">
      <c r="A21" s="11" t="inlineStr">
        <is>
          <t>img_7715.jpg</t>
        </is>
      </c>
      <c r="B21" s="11" t="inlineStr">
        <is>
          <t>H</t>
        </is>
      </c>
      <c r="C21" s="11" t="inlineStr">
        <is>
          <t>Day 0</t>
        </is>
      </c>
      <c r="D21" s="11" t="n"/>
      <c r="E21" s="11" t="inlineStr">
        <is>
          <t>On file</t>
        </is>
      </c>
      <c r="F21" s="11" t="inlineStr">
        <is>
          <t>Oct 22</t>
        </is>
      </c>
      <c r="G21" s="11" t="inlineStr">
        <is>
          <t>Reclined, day 0, heavily swollen. No before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2">
      <c r="A22" s="2" t="n"/>
      <c r="B22" s="2" t="n"/>
      <c r="C22" s="2" t="n"/>
      <c r="D22" s="2" t="n"/>
      <c r="E22" s="56" t="n"/>
      <c r="F22" s="2" t="n"/>
      <c r="G22" s="56"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2">
      <c r="A23" s="2" t="n"/>
      <c r="B23" s="2" t="n"/>
      <c r="C23" s="2" t="n"/>
      <c r="D23" s="2" t="n"/>
      <c r="E23" s="56" t="n"/>
      <c r="F23" s="2" t="n"/>
      <c r="G23" s="56"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2">
      <c r="A24" s="2" t="n"/>
      <c r="B24" s="2" t="n"/>
      <c r="C24" s="2" t="n"/>
      <c r="D24" s="2" t="n"/>
      <c r="E24" s="56" t="n"/>
      <c r="F24" s="2" t="n"/>
      <c r="G24" s="56"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2">
      <c r="A25" s="2" t="n"/>
      <c r="B25" s="2" t="n"/>
      <c r="C25" s="2" t="n"/>
      <c r="D25" s="2" t="n"/>
      <c r="E25" s="56" t="n"/>
      <c r="F25" s="2" t="n"/>
      <c r="G25" s="56"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2">
      <c r="A26" s="2" t="n"/>
      <c r="B26" s="2" t="n"/>
      <c r="C26" s="2" t="n"/>
      <c r="D26" s="2" t="n"/>
      <c r="E26" s="56" t="n"/>
      <c r="F26" s="2" t="n"/>
      <c r="G26" s="56"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2">
      <c r="A27" s="2" t="n"/>
      <c r="B27" s="2" t="n"/>
      <c r="C27" s="2" t="n"/>
      <c r="D27" s="2" t="n"/>
      <c r="E27" s="56" t="n"/>
      <c r="F27" s="2" t="n"/>
      <c r="G27" s="56"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2" t="n"/>
      <c r="B28" s="2" t="n"/>
      <c r="C28" s="2" t="n"/>
      <c r="D28" s="2" t="n"/>
      <c r="E28" s="56" t="n"/>
      <c r="F28" s="2" t="n"/>
      <c r="G28" s="56"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2" t="n"/>
      <c r="B29" s="2" t="n"/>
      <c r="C29" s="2" t="n"/>
      <c r="D29" s="2" t="n"/>
      <c r="E29" s="56" t="n"/>
      <c r="F29" s="2" t="n"/>
      <c r="G29" s="56"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2">
      <c r="A30" s="2" t="n"/>
      <c r="B30" s="2" t="n"/>
      <c r="C30" s="2" t="n"/>
      <c r="D30" s="2" t="n"/>
      <c r="E30" s="56" t="n"/>
      <c r="F30" s="2" t="n"/>
      <c r="G30" s="56"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2">
      <c r="A31" s="2" t="n"/>
      <c r="B31" s="2" t="n"/>
      <c r="C31" s="2" t="n"/>
      <c r="D31" s="2" t="n"/>
      <c r="E31" s="56" t="n"/>
      <c r="F31" s="2" t="n"/>
      <c r="G31" s="56"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2" t="n"/>
      <c r="B32" s="2" t="n"/>
      <c r="C32" s="2" t="n"/>
      <c r="D32" s="2" t="n"/>
      <c r="E32" s="56" t="n"/>
      <c r="F32" s="2" t="n"/>
      <c r="G32" s="56"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2" t="n"/>
      <c r="B33" s="2" t="n"/>
      <c r="C33" s="2" t="n"/>
      <c r="D33" s="2" t="n"/>
      <c r="E33" s="56" t="n"/>
      <c r="F33" s="2" t="n"/>
      <c r="G33" s="56"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2" t="n"/>
      <c r="B34" s="2" t="n"/>
      <c r="C34" s="2" t="n"/>
      <c r="D34" s="2" t="n"/>
      <c r="E34" s="56" t="n"/>
      <c r="F34" s="2" t="n"/>
      <c r="G34" s="56"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2" t="n"/>
      <c r="B35" s="2" t="n"/>
      <c r="C35" s="2" t="n"/>
      <c r="D35" s="2" t="n"/>
      <c r="E35" s="56" t="n"/>
      <c r="F35" s="2" t="n"/>
      <c r="G35" s="56"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2" t="n"/>
      <c r="B36" s="2" t="n"/>
      <c r="C36" s="2" t="n"/>
      <c r="D36" s="2" t="n"/>
      <c r="E36" s="56" t="n"/>
      <c r="F36" s="2" t="n"/>
      <c r="G36" s="56"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2" t="n"/>
      <c r="B37" s="2" t="n"/>
      <c r="C37" s="2" t="n"/>
      <c r="D37" s="2" t="n"/>
      <c r="E37" s="56" t="n"/>
      <c r="F37" s="2" t="n"/>
      <c r="G37" s="56"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2" t="n"/>
      <c r="B38" s="2" t="n"/>
      <c r="C38" s="2" t="n"/>
      <c r="D38" s="2" t="n"/>
      <c r="E38" s="56" t="n"/>
      <c r="F38" s="2" t="n"/>
      <c r="G38" s="56"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2" t="n"/>
      <c r="B39" s="2" t="n"/>
      <c r="C39" s="2" t="n"/>
      <c r="D39" s="2" t="n"/>
      <c r="E39" s="56" t="n"/>
      <c r="F39" s="2" t="n"/>
      <c r="G39" s="56"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2" t="n"/>
      <c r="B40" s="2" t="n"/>
      <c r="C40" s="2" t="n"/>
      <c r="D40" s="2" t="n"/>
      <c r="E40" s="56" t="n"/>
      <c r="F40" s="2" t="n"/>
      <c r="G40" s="56"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2" t="n"/>
      <c r="B41" s="2" t="n"/>
      <c r="C41" s="2" t="n"/>
      <c r="D41" s="2" t="n"/>
      <c r="E41" s="56" t="n"/>
      <c r="F41" s="2" t="n"/>
      <c r="G41" s="56"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2" t="n"/>
      <c r="B42" s="2" t="n"/>
      <c r="C42" s="2" t="n"/>
      <c r="D42" s="2" t="n"/>
      <c r="E42" s="56" t="n"/>
      <c r="F42" s="2" t="n"/>
      <c r="G42" s="56"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2" t="n"/>
      <c r="B43" s="2" t="n"/>
      <c r="C43" s="2" t="n"/>
      <c r="D43" s="2" t="n"/>
      <c r="E43" s="56" t="n"/>
      <c r="F43" s="2" t="n"/>
      <c r="G43" s="56"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2" t="n"/>
      <c r="B44" s="2" t="n"/>
      <c r="C44" s="2" t="n"/>
      <c r="D44" s="2" t="n"/>
      <c r="E44" s="56" t="n"/>
      <c r="F44" s="2" t="n"/>
      <c r="G44" s="56"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2" t="n"/>
      <c r="B45" s="2" t="n"/>
      <c r="C45" s="2" t="n"/>
      <c r="D45" s="2" t="n"/>
      <c r="E45" s="56" t="n"/>
      <c r="F45" s="2" t="n"/>
      <c r="G45" s="56"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2" t="n"/>
      <c r="B46" s="2" t="n"/>
      <c r="C46" s="2" t="n"/>
      <c r="D46" s="2" t="n"/>
      <c r="E46" s="56" t="n"/>
      <c r="F46" s="2" t="n"/>
      <c r="G46" s="56"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2" t="n"/>
      <c r="B47" s="2" t="n"/>
      <c r="C47" s="2" t="n"/>
      <c r="D47" s="2" t="n"/>
      <c r="E47" s="56" t="n"/>
      <c r="F47" s="2" t="n"/>
      <c r="G47" s="56"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2" t="n"/>
      <c r="B48" s="2" t="n"/>
      <c r="C48" s="2" t="n"/>
      <c r="D48" s="2" t="n"/>
      <c r="E48" s="56" t="n"/>
      <c r="F48" s="2" t="n"/>
      <c r="G48" s="56"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2" t="n"/>
      <c r="B49" s="2" t="n"/>
      <c r="C49" s="2" t="n"/>
      <c r="D49" s="2" t="n"/>
      <c r="E49" s="56" t="n"/>
      <c r="F49" s="2" t="n"/>
      <c r="G49" s="56"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2" t="n"/>
      <c r="B50" s="2" t="n"/>
      <c r="C50" s="2" t="n"/>
      <c r="D50" s="2" t="n"/>
      <c r="E50" s="56" t="n"/>
      <c r="F50" s="2" t="n"/>
      <c r="G50" s="56"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2" t="n"/>
      <c r="B51" s="2" t="n"/>
      <c r="C51" s="2" t="n"/>
      <c r="D51" s="2" t="n"/>
      <c r="E51" s="56" t="n"/>
      <c r="F51" s="2" t="n"/>
      <c r="G51" s="56"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2" t="n"/>
      <c r="B52" s="2" t="n"/>
      <c r="C52" s="2" t="n"/>
      <c r="D52" s="2" t="n"/>
      <c r="E52" s="56" t="n"/>
      <c r="F52" s="2" t="n"/>
      <c r="G52" s="56"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2" t="n"/>
      <c r="B53" s="2" t="n"/>
      <c r="C53" s="2" t="n"/>
      <c r="D53" s="2" t="n"/>
      <c r="E53" s="56" t="n"/>
      <c r="F53" s="2" t="n"/>
      <c r="G53" s="56"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2" t="n"/>
      <c r="B54" s="2" t="n"/>
      <c r="C54" s="2" t="n"/>
      <c r="D54" s="2" t="n"/>
      <c r="E54" s="56" t="n"/>
      <c r="F54" s="2" t="n"/>
      <c r="G54" s="56"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2" t="n"/>
      <c r="B55" s="2" t="n"/>
      <c r="C55" s="2" t="n"/>
      <c r="D55" s="2" t="n"/>
      <c r="E55" s="56" t="n"/>
      <c r="F55" s="2" t="n"/>
      <c r="G55" s="56"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2" t="n"/>
      <c r="B56" s="2" t="n"/>
      <c r="C56" s="2" t="n"/>
      <c r="D56" s="2" t="n"/>
      <c r="E56" s="56" t="n"/>
      <c r="F56" s="2" t="n"/>
      <c r="G56" s="56"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2" t="n"/>
      <c r="B57" s="2" t="n"/>
      <c r="C57" s="2" t="n"/>
      <c r="D57" s="2" t="n"/>
      <c r="E57" s="56" t="n"/>
      <c r="F57" s="2" t="n"/>
      <c r="G57" s="56"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2" t="n"/>
      <c r="B58" s="2" t="n"/>
      <c r="C58" s="2" t="n"/>
      <c r="D58" s="2" t="n"/>
      <c r="E58" s="56" t="n"/>
      <c r="F58" s="2" t="n"/>
      <c r="G58" s="56"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2" t="n"/>
      <c r="B59" s="2" t="n"/>
      <c r="C59" s="2" t="n"/>
      <c r="D59" s="2" t="n"/>
      <c r="E59" s="56" t="n"/>
      <c r="F59" s="2" t="n"/>
      <c r="G59" s="56"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2" t="n"/>
      <c r="B60" s="2" t="n"/>
      <c r="C60" s="2" t="n"/>
      <c r="D60" s="2" t="n"/>
      <c r="E60" s="56" t="n"/>
      <c r="F60" s="2" t="n"/>
      <c r="G60" s="56"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2" t="n"/>
      <c r="B61" s="2" t="n"/>
      <c r="C61" s="2" t="n"/>
      <c r="D61" s="2" t="n"/>
      <c r="E61" s="56" t="n"/>
      <c r="F61" s="2" t="n"/>
      <c r="G61" s="56"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2" t="n"/>
      <c r="B62" s="2" t="n"/>
      <c r="C62" s="2" t="n"/>
      <c r="D62" s="2" t="n"/>
      <c r="E62" s="56" t="n"/>
      <c r="F62" s="2" t="n"/>
      <c r="G62" s="56"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2" t="n"/>
      <c r="B63" s="2" t="n"/>
      <c r="C63" s="2" t="n"/>
      <c r="D63" s="2" t="n"/>
      <c r="E63" s="56" t="n"/>
      <c r="F63" s="2" t="n"/>
      <c r="G63" s="56"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2" t="n"/>
      <c r="B64" s="2" t="n"/>
      <c r="C64" s="2" t="n"/>
      <c r="D64" s="2" t="n"/>
      <c r="E64" s="56" t="n"/>
      <c r="F64" s="2" t="n"/>
      <c r="G64" s="56"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2" t="n"/>
      <c r="B65" s="2" t="n"/>
      <c r="C65" s="2" t="n"/>
      <c r="D65" s="2" t="n"/>
      <c r="E65" s="56" t="n"/>
      <c r="F65" s="2" t="n"/>
      <c r="G65" s="56"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2" t="n"/>
      <c r="B66" s="2" t="n"/>
      <c r="C66" s="2" t="n"/>
      <c r="D66" s="2" t="n"/>
      <c r="E66" s="56" t="n"/>
      <c r="F66" s="2" t="n"/>
      <c r="G66" s="56"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2" t="n"/>
      <c r="B67" s="2" t="n"/>
      <c r="C67" s="2" t="n"/>
      <c r="D67" s="2" t="n"/>
      <c r="E67" s="56" t="n"/>
      <c r="F67" s="2" t="n"/>
      <c r="G67" s="56"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2" t="n"/>
      <c r="B68" s="2" t="n"/>
      <c r="C68" s="2" t="n"/>
      <c r="D68" s="2" t="n"/>
      <c r="E68" s="56" t="n"/>
      <c r="F68" s="2" t="n"/>
      <c r="G68" s="56"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2" t="n"/>
      <c r="B69" s="2" t="n"/>
      <c r="C69" s="2" t="n"/>
      <c r="D69" s="2" t="n"/>
      <c r="E69" s="56" t="n"/>
      <c r="F69" s="2" t="n"/>
      <c r="G69" s="56"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2" t="n"/>
      <c r="B70" s="2" t="n"/>
      <c r="C70" s="2" t="n"/>
      <c r="D70" s="2" t="n"/>
      <c r="E70" s="56" t="n"/>
      <c r="F70" s="2" t="n"/>
      <c r="G70" s="56"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2" t="n"/>
      <c r="B71" s="2" t="n"/>
      <c r="C71" s="2" t="n"/>
      <c r="D71" s="2" t="n"/>
      <c r="E71" s="56" t="n"/>
      <c r="F71" s="2" t="n"/>
      <c r="G71" s="56"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2" t="n"/>
      <c r="B72" s="2" t="n"/>
      <c r="C72" s="2" t="n"/>
      <c r="D72" s="2" t="n"/>
      <c r="E72" s="56" t="n"/>
      <c r="F72" s="2" t="n"/>
      <c r="G72" s="56"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2" t="n"/>
      <c r="B73" s="2" t="n"/>
      <c r="C73" s="2" t="n"/>
      <c r="D73" s="2" t="n"/>
      <c r="E73" s="56" t="n"/>
      <c r="F73" s="2" t="n"/>
      <c r="G73" s="56"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2" t="n"/>
      <c r="B74" s="2" t="n"/>
      <c r="C74" s="2" t="n"/>
      <c r="D74" s="2" t="n"/>
      <c r="E74" s="56" t="n"/>
      <c r="F74" s="2" t="n"/>
      <c r="G74" s="56"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2" t="n"/>
      <c r="B75" s="2" t="n"/>
      <c r="C75" s="2" t="n"/>
      <c r="D75" s="2" t="n"/>
      <c r="E75" s="56" t="n"/>
      <c r="F75" s="2" t="n"/>
      <c r="G75" s="56"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2" t="n"/>
      <c r="B76" s="2" t="n"/>
      <c r="C76" s="2" t="n"/>
      <c r="D76" s="2" t="n"/>
      <c r="E76" s="56" t="n"/>
      <c r="F76" s="2" t="n"/>
      <c r="G76" s="56"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2" t="n"/>
      <c r="B77" s="2" t="n"/>
      <c r="C77" s="2" t="n"/>
      <c r="D77" s="2" t="n"/>
      <c r="E77" s="56" t="n"/>
      <c r="F77" s="2" t="n"/>
      <c r="G77" s="56"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2" t="n"/>
      <c r="B78" s="2" t="n"/>
      <c r="C78" s="2" t="n"/>
      <c r="D78" s="2" t="n"/>
      <c r="E78" s="56" t="n"/>
      <c r="F78" s="2" t="n"/>
      <c r="G78" s="56"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2" t="n"/>
      <c r="B79" s="2" t="n"/>
      <c r="C79" s="2" t="n"/>
      <c r="D79" s="2" t="n"/>
      <c r="E79" s="56" t="n"/>
      <c r="F79" s="2" t="n"/>
      <c r="G79" s="56"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2" t="n"/>
      <c r="B80" s="2" t="n"/>
      <c r="C80" s="2" t="n"/>
      <c r="D80" s="2" t="n"/>
      <c r="E80" s="56" t="n"/>
      <c r="F80" s="2" t="n"/>
      <c r="G80" s="56"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2" t="n"/>
      <c r="B81" s="2" t="n"/>
      <c r="C81" s="2" t="n"/>
      <c r="D81" s="2" t="n"/>
      <c r="E81" s="56" t="n"/>
      <c r="F81" s="2" t="n"/>
      <c r="G81" s="56"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2" t="n"/>
      <c r="B82" s="2" t="n"/>
      <c r="C82" s="2" t="n"/>
      <c r="D82" s="2" t="n"/>
      <c r="E82" s="56" t="n"/>
      <c r="F82" s="2" t="n"/>
      <c r="G82" s="56"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2" t="n"/>
      <c r="B83" s="2" t="n"/>
      <c r="C83" s="2" t="n"/>
      <c r="D83" s="2" t="n"/>
      <c r="E83" s="56" t="n"/>
      <c r="F83" s="2" t="n"/>
      <c r="G83" s="56"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2" t="n"/>
      <c r="B84" s="2" t="n"/>
      <c r="C84" s="2" t="n"/>
      <c r="D84" s="2" t="n"/>
      <c r="E84" s="56" t="n"/>
      <c r="F84" s="2" t="n"/>
      <c r="G84" s="56"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2" t="n"/>
      <c r="B85" s="2" t="n"/>
      <c r="C85" s="2" t="n"/>
      <c r="D85" s="2" t="n"/>
      <c r="E85" s="56" t="n"/>
      <c r="F85" s="2" t="n"/>
      <c r="G85" s="56"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2" t="n"/>
      <c r="B86" s="2" t="n"/>
      <c r="C86" s="2" t="n"/>
      <c r="D86" s="2" t="n"/>
      <c r="E86" s="56" t="n"/>
      <c r="F86" s="2" t="n"/>
      <c r="G86" s="56"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2" t="n"/>
      <c r="B87" s="2" t="n"/>
      <c r="C87" s="2" t="n"/>
      <c r="D87" s="2" t="n"/>
      <c r="E87" s="56" t="n"/>
      <c r="F87" s="2" t="n"/>
      <c r="G87" s="56"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2" t="n"/>
      <c r="B88" s="2" t="n"/>
      <c r="C88" s="2" t="n"/>
      <c r="D88" s="2" t="n"/>
      <c r="E88" s="56" t="n"/>
      <c r="F88" s="2" t="n"/>
      <c r="G88" s="56"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2" t="n"/>
      <c r="B89" s="2" t="n"/>
      <c r="C89" s="2" t="n"/>
      <c r="D89" s="2" t="n"/>
      <c r="E89" s="56" t="n"/>
      <c r="F89" s="2" t="n"/>
      <c r="G89" s="56"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2" t="n"/>
      <c r="B90" s="2" t="n"/>
      <c r="C90" s="2" t="n"/>
      <c r="D90" s="2" t="n"/>
      <c r="E90" s="56" t="n"/>
      <c r="F90" s="2" t="n"/>
      <c r="G90" s="56"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2" t="n"/>
      <c r="B91" s="2" t="n"/>
      <c r="C91" s="2" t="n"/>
      <c r="D91" s="2" t="n"/>
      <c r="E91" s="56" t="n"/>
      <c r="F91" s="2" t="n"/>
      <c r="G91" s="56"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2" t="n"/>
      <c r="B92" s="2" t="n"/>
      <c r="C92" s="2" t="n"/>
      <c r="D92" s="2" t="n"/>
      <c r="E92" s="56" t="n"/>
      <c r="F92" s="2" t="n"/>
      <c r="G92" s="56"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2" t="n"/>
      <c r="B93" s="2" t="n"/>
      <c r="C93" s="2" t="n"/>
      <c r="D93" s="2" t="n"/>
      <c r="E93" s="56" t="n"/>
      <c r="F93" s="2" t="n"/>
      <c r="G93" s="56"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2" t="n"/>
      <c r="B94" s="2" t="n"/>
      <c r="C94" s="2" t="n"/>
      <c r="D94" s="2" t="n"/>
      <c r="E94" s="56" t="n"/>
      <c r="F94" s="2" t="n"/>
      <c r="G94" s="56"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2" t="n"/>
      <c r="B95" s="2" t="n"/>
      <c r="C95" s="2" t="n"/>
      <c r="D95" s="2" t="n"/>
      <c r="E95" s="56" t="n"/>
      <c r="F95" s="2" t="n"/>
      <c r="G95" s="56"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2" t="n"/>
      <c r="B96" s="2" t="n"/>
      <c r="C96" s="2" t="n"/>
      <c r="D96" s="2" t="n"/>
      <c r="E96" s="56" t="n"/>
      <c r="F96" s="2" t="n"/>
      <c r="G96" s="56"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2" t="n"/>
      <c r="B97" s="2" t="n"/>
      <c r="C97" s="2" t="n"/>
      <c r="D97" s="2" t="n"/>
      <c r="E97" s="56" t="n"/>
      <c r="F97" s="2" t="n"/>
      <c r="G97" s="56"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2" t="n"/>
      <c r="B98" s="2" t="n"/>
      <c r="C98" s="2" t="n"/>
      <c r="D98" s="2" t="n"/>
      <c r="E98" s="56" t="n"/>
      <c r="F98" s="2" t="n"/>
      <c r="G98" s="56"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2" t="n"/>
      <c r="B99" s="2" t="n"/>
      <c r="C99" s="2" t="n"/>
      <c r="D99" s="2" t="n"/>
      <c r="E99" s="56" t="n"/>
      <c r="F99" s="2" t="n"/>
      <c r="G99" s="56"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2" t="n"/>
      <c r="B100" s="2" t="n"/>
      <c r="C100" s="2" t="n"/>
      <c r="D100" s="2" t="n"/>
      <c r="E100" s="56" t="n"/>
      <c r="F100" s="2" t="n"/>
      <c r="G100" s="56"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2" t="n"/>
      <c r="B101" s="2" t="n"/>
      <c r="C101" s="2" t="n"/>
      <c r="D101" s="2" t="n"/>
      <c r="E101" s="56" t="n"/>
      <c r="F101" s="2" t="n"/>
      <c r="G101" s="56"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2" t="n"/>
      <c r="B102" s="2" t="n"/>
      <c r="C102" s="2" t="n"/>
      <c r="D102" s="2" t="n"/>
      <c r="E102" s="56" t="n"/>
      <c r="F102" s="2" t="n"/>
      <c r="G102" s="56"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2" t="n"/>
      <c r="B103" s="2" t="n"/>
      <c r="C103" s="2" t="n"/>
      <c r="D103" s="2" t="n"/>
      <c r="E103" s="56" t="n"/>
      <c r="F103" s="2" t="n"/>
      <c r="G103" s="56"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2" t="n"/>
      <c r="B104" s="2" t="n"/>
      <c r="C104" s="2" t="n"/>
      <c r="D104" s="2" t="n"/>
      <c r="E104" s="56" t="n"/>
      <c r="F104" s="2" t="n"/>
      <c r="G104" s="56"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2" t="n"/>
      <c r="B105" s="2" t="n"/>
      <c r="C105" s="2" t="n"/>
      <c r="D105" s="2" t="n"/>
      <c r="E105" s="56" t="n"/>
      <c r="F105" s="2" t="n"/>
      <c r="G105" s="56"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2" t="n"/>
      <c r="B106" s="2" t="n"/>
      <c r="C106" s="2" t="n"/>
      <c r="D106" s="2" t="n"/>
      <c r="E106" s="56" t="n"/>
      <c r="F106" s="2" t="n"/>
      <c r="G106" s="56"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2" t="n"/>
      <c r="B107" s="2" t="n"/>
      <c r="C107" s="2" t="n"/>
      <c r="D107" s="2" t="n"/>
      <c r="E107" s="56" t="n"/>
      <c r="F107" s="2" t="n"/>
      <c r="G107" s="56"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2" t="n"/>
      <c r="B108" s="2" t="n"/>
      <c r="C108" s="2" t="n"/>
      <c r="D108" s="2" t="n"/>
      <c r="E108" s="56" t="n"/>
      <c r="F108" s="2" t="n"/>
      <c r="G108" s="56"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2" t="n"/>
      <c r="B109" s="2" t="n"/>
      <c r="C109" s="2" t="n"/>
      <c r="D109" s="2" t="n"/>
      <c r="E109" s="56" t="n"/>
      <c r="F109" s="2" t="n"/>
      <c r="G109" s="56"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2" t="n"/>
      <c r="B110" s="2" t="n"/>
      <c r="C110" s="2" t="n"/>
      <c r="D110" s="2" t="n"/>
      <c r="E110" s="56" t="n"/>
      <c r="F110" s="2" t="n"/>
      <c r="G110" s="56"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2" t="n"/>
      <c r="B111" s="2" t="n"/>
      <c r="C111" s="2" t="n"/>
      <c r="D111" s="2" t="n"/>
      <c r="E111" s="56" t="n"/>
      <c r="F111" s="2" t="n"/>
      <c r="G111" s="56"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2" t="n"/>
      <c r="B112" s="2" t="n"/>
      <c r="C112" s="2" t="n"/>
      <c r="D112" s="2" t="n"/>
      <c r="E112" s="56" t="n"/>
      <c r="F112" s="2" t="n"/>
      <c r="G112" s="56"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2" t="n"/>
      <c r="B113" s="2" t="n"/>
      <c r="C113" s="2" t="n"/>
      <c r="D113" s="2" t="n"/>
      <c r="E113" s="56" t="n"/>
      <c r="F113" s="2" t="n"/>
      <c r="G113" s="56"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2" t="n"/>
      <c r="B114" s="2" t="n"/>
      <c r="C114" s="2" t="n"/>
      <c r="D114" s="2" t="n"/>
      <c r="E114" s="56" t="n"/>
      <c r="F114" s="2" t="n"/>
      <c r="G114" s="56"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2" t="n"/>
      <c r="B115" s="2" t="n"/>
      <c r="C115" s="2" t="n"/>
      <c r="D115" s="2" t="n"/>
      <c r="E115" s="56" t="n"/>
      <c r="F115" s="2" t="n"/>
      <c r="G115" s="56"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2" t="n"/>
      <c r="B116" s="2" t="n"/>
      <c r="C116" s="2" t="n"/>
      <c r="D116" s="2" t="n"/>
      <c r="E116" s="56" t="n"/>
      <c r="F116" s="2" t="n"/>
      <c r="G116" s="56"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2" t="n"/>
      <c r="B117" s="2" t="n"/>
      <c r="C117" s="2" t="n"/>
      <c r="D117" s="2" t="n"/>
      <c r="E117" s="56" t="n"/>
      <c r="F117" s="2" t="n"/>
      <c r="G117" s="56"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2" t="n"/>
      <c r="B118" s="2" t="n"/>
      <c r="C118" s="2" t="n"/>
      <c r="D118" s="2" t="n"/>
      <c r="E118" s="56" t="n"/>
      <c r="F118" s="2" t="n"/>
      <c r="G118" s="56"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2" t="n"/>
      <c r="B119" s="2" t="n"/>
      <c r="C119" s="2" t="n"/>
      <c r="D119" s="2" t="n"/>
      <c r="E119" s="56" t="n"/>
      <c r="F119" s="2" t="n"/>
      <c r="G119" s="56"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2" t="n"/>
      <c r="B120" s="2" t="n"/>
      <c r="C120" s="2" t="n"/>
      <c r="D120" s="2" t="n"/>
      <c r="E120" s="56" t="n"/>
      <c r="F120" s="2" t="n"/>
      <c r="G120" s="56"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2" t="n"/>
      <c r="B121" s="2" t="n"/>
      <c r="C121" s="2" t="n"/>
      <c r="D121" s="2" t="n"/>
      <c r="E121" s="56" t="n"/>
      <c r="F121" s="2" t="n"/>
      <c r="G121" s="56"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2" t="n"/>
      <c r="B122" s="2" t="n"/>
      <c r="C122" s="2" t="n"/>
      <c r="D122" s="2" t="n"/>
      <c r="E122" s="56" t="n"/>
      <c r="F122" s="2" t="n"/>
      <c r="G122" s="56"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2" t="n"/>
      <c r="B123" s="2" t="n"/>
      <c r="C123" s="2" t="n"/>
      <c r="D123" s="2" t="n"/>
      <c r="E123" s="56" t="n"/>
      <c r="F123" s="2" t="n"/>
      <c r="G123" s="56"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2" t="n"/>
      <c r="B124" s="2" t="n"/>
      <c r="C124" s="2" t="n"/>
      <c r="D124" s="2" t="n"/>
      <c r="E124" s="56" t="n"/>
      <c r="F124" s="2" t="n"/>
      <c r="G124" s="56"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2" t="n"/>
      <c r="B125" s="2" t="n"/>
      <c r="C125" s="2" t="n"/>
      <c r="D125" s="2" t="n"/>
      <c r="E125" s="56" t="n"/>
      <c r="F125" s="2" t="n"/>
      <c r="G125" s="56"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2" t="n"/>
      <c r="B126" s="2" t="n"/>
      <c r="C126" s="2" t="n"/>
      <c r="D126" s="2" t="n"/>
      <c r="E126" s="56" t="n"/>
      <c r="F126" s="2" t="n"/>
      <c r="G126" s="56"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2" t="n"/>
      <c r="B127" s="2" t="n"/>
      <c r="C127" s="2" t="n"/>
      <c r="D127" s="2" t="n"/>
      <c r="E127" s="56" t="n"/>
      <c r="F127" s="2" t="n"/>
      <c r="G127" s="56"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2" t="n"/>
      <c r="B128" s="2" t="n"/>
      <c r="C128" s="2" t="n"/>
      <c r="D128" s="2" t="n"/>
      <c r="E128" s="56" t="n"/>
      <c r="F128" s="2" t="n"/>
      <c r="G128" s="56"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2" t="n"/>
      <c r="B129" s="2" t="n"/>
      <c r="C129" s="2" t="n"/>
      <c r="D129" s="2" t="n"/>
      <c r="E129" s="56" t="n"/>
      <c r="F129" s="2" t="n"/>
      <c r="G129" s="56"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2" t="n"/>
      <c r="B130" s="2" t="n"/>
      <c r="C130" s="2" t="n"/>
      <c r="D130" s="2" t="n"/>
      <c r="E130" s="56" t="n"/>
      <c r="F130" s="2" t="n"/>
      <c r="G130" s="56"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2" t="n"/>
      <c r="B131" s="2" t="n"/>
      <c r="C131" s="2" t="n"/>
      <c r="D131" s="2" t="n"/>
      <c r="E131" s="56" t="n"/>
      <c r="F131" s="2" t="n"/>
      <c r="G131" s="56"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2" t="n"/>
      <c r="B132" s="2" t="n"/>
      <c r="C132" s="2" t="n"/>
      <c r="D132" s="2" t="n"/>
      <c r="E132" s="56" t="n"/>
      <c r="F132" s="2" t="n"/>
      <c r="G132" s="56"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2" t="n"/>
      <c r="B133" s="2" t="n"/>
      <c r="C133" s="2" t="n"/>
      <c r="D133" s="2" t="n"/>
      <c r="E133" s="56" t="n"/>
      <c r="F133" s="2" t="n"/>
      <c r="G133" s="56"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2" t="n"/>
      <c r="B134" s="2" t="n"/>
      <c r="C134" s="2" t="n"/>
      <c r="D134" s="2" t="n"/>
      <c r="E134" s="56" t="n"/>
      <c r="F134" s="2" t="n"/>
      <c r="G134" s="56"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2" t="n"/>
      <c r="B135" s="2" t="n"/>
      <c r="C135" s="2" t="n"/>
      <c r="D135" s="2" t="n"/>
      <c r="E135" s="56" t="n"/>
      <c r="F135" s="2" t="n"/>
      <c r="G135" s="56"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2" t="n"/>
      <c r="B136" s="2" t="n"/>
      <c r="C136" s="2" t="n"/>
      <c r="D136" s="2" t="n"/>
      <c r="E136" s="56" t="n"/>
      <c r="F136" s="2" t="n"/>
      <c r="G136" s="56"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2" t="n"/>
      <c r="B137" s="2" t="n"/>
      <c r="C137" s="2" t="n"/>
      <c r="D137" s="2" t="n"/>
      <c r="E137" s="56" t="n"/>
      <c r="F137" s="2" t="n"/>
      <c r="G137" s="56"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2" t="n"/>
      <c r="B138" s="2" t="n"/>
      <c r="C138" s="2" t="n"/>
      <c r="D138" s="2" t="n"/>
      <c r="E138" s="56" t="n"/>
      <c r="F138" s="2" t="n"/>
      <c r="G138" s="56"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2" t="n"/>
      <c r="B139" s="2" t="n"/>
      <c r="C139" s="2" t="n"/>
      <c r="D139" s="2" t="n"/>
      <c r="E139" s="56" t="n"/>
      <c r="F139" s="2" t="n"/>
      <c r="G139" s="56"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2" t="n"/>
      <c r="B140" s="2" t="n"/>
      <c r="C140" s="2" t="n"/>
      <c r="D140" s="2" t="n"/>
      <c r="E140" s="56" t="n"/>
      <c r="F140" s="2" t="n"/>
      <c r="G140" s="56"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2" t="n"/>
      <c r="B141" s="2" t="n"/>
      <c r="C141" s="2" t="n"/>
      <c r="D141" s="2" t="n"/>
      <c r="E141" s="56" t="n"/>
      <c r="F141" s="2" t="n"/>
      <c r="G141" s="56"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2" t="n"/>
      <c r="B142" s="2" t="n"/>
      <c r="C142" s="2" t="n"/>
      <c r="D142" s="2" t="n"/>
      <c r="E142" s="56" t="n"/>
      <c r="F142" s="2" t="n"/>
      <c r="G142" s="56"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2" t="n"/>
      <c r="B143" s="2" t="n"/>
      <c r="C143" s="2" t="n"/>
      <c r="D143" s="2" t="n"/>
      <c r="E143" s="56" t="n"/>
      <c r="F143" s="2" t="n"/>
      <c r="G143" s="56"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2" t="n"/>
      <c r="B144" s="2" t="n"/>
      <c r="C144" s="2" t="n"/>
      <c r="D144" s="2" t="n"/>
      <c r="E144" s="56" t="n"/>
      <c r="F144" s="2" t="n"/>
      <c r="G144" s="56"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2" t="n"/>
      <c r="B145" s="2" t="n"/>
      <c r="C145" s="2" t="n"/>
      <c r="D145" s="2" t="n"/>
      <c r="E145" s="56" t="n"/>
      <c r="F145" s="2" t="n"/>
      <c r="G145" s="56"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2" t="n"/>
      <c r="B146" s="2" t="n"/>
      <c r="C146" s="2" t="n"/>
      <c r="D146" s="2" t="n"/>
      <c r="E146" s="56" t="n"/>
      <c r="F146" s="2" t="n"/>
      <c r="G146" s="56"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2" t="n"/>
      <c r="B147" s="2" t="n"/>
      <c r="C147" s="2" t="n"/>
      <c r="D147" s="2" t="n"/>
      <c r="E147" s="56" t="n"/>
      <c r="F147" s="2" t="n"/>
      <c r="G147" s="56"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2" t="n"/>
      <c r="B148" s="2" t="n"/>
      <c r="C148" s="2" t="n"/>
      <c r="D148" s="2" t="n"/>
      <c r="E148" s="56" t="n"/>
      <c r="F148" s="2" t="n"/>
      <c r="G148" s="56"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2" t="n"/>
      <c r="B149" s="2" t="n"/>
      <c r="C149" s="2" t="n"/>
      <c r="D149" s="2" t="n"/>
      <c r="E149" s="56" t="n"/>
      <c r="F149" s="2" t="n"/>
      <c r="G149" s="56"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2" t="n"/>
      <c r="B150" s="2" t="n"/>
      <c r="C150" s="2" t="n"/>
      <c r="D150" s="2" t="n"/>
      <c r="E150" s="56" t="n"/>
      <c r="F150" s="2" t="n"/>
      <c r="G150" s="56"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2" t="n"/>
      <c r="B151" s="2" t="n"/>
      <c r="C151" s="2" t="n"/>
      <c r="D151" s="2" t="n"/>
      <c r="E151" s="56" t="n"/>
      <c r="F151" s="2" t="n"/>
      <c r="G151" s="56"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2" t="n"/>
      <c r="B152" s="2" t="n"/>
      <c r="C152" s="2" t="n"/>
      <c r="D152" s="2" t="n"/>
      <c r="E152" s="56" t="n"/>
      <c r="F152" s="2" t="n"/>
      <c r="G152" s="56"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2" t="n"/>
      <c r="B153" s="2" t="n"/>
      <c r="C153" s="2" t="n"/>
      <c r="D153" s="2" t="n"/>
      <c r="E153" s="56" t="n"/>
      <c r="F153" s="2" t="n"/>
      <c r="G153" s="56"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2" t="n"/>
      <c r="B154" s="2" t="n"/>
      <c r="C154" s="2" t="n"/>
      <c r="D154" s="2" t="n"/>
      <c r="E154" s="56" t="n"/>
      <c r="F154" s="2" t="n"/>
      <c r="G154" s="56"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2" t="n"/>
      <c r="B155" s="2" t="n"/>
      <c r="C155" s="2" t="n"/>
      <c r="D155" s="2" t="n"/>
      <c r="E155" s="56" t="n"/>
      <c r="F155" s="2" t="n"/>
      <c r="G155" s="56"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2" t="n"/>
      <c r="B156" s="2" t="n"/>
      <c r="C156" s="2" t="n"/>
      <c r="D156" s="2" t="n"/>
      <c r="E156" s="56" t="n"/>
      <c r="F156" s="2" t="n"/>
      <c r="G156" s="56"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2" t="n"/>
      <c r="B157" s="2" t="n"/>
      <c r="C157" s="2" t="n"/>
      <c r="D157" s="2" t="n"/>
      <c r="E157" s="56" t="n"/>
      <c r="F157" s="2" t="n"/>
      <c r="G157" s="56"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2" t="n"/>
      <c r="B158" s="2" t="n"/>
      <c r="C158" s="2" t="n"/>
      <c r="D158" s="2" t="n"/>
      <c r="E158" s="56" t="n"/>
      <c r="F158" s="2" t="n"/>
      <c r="G158" s="56"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2" t="n"/>
      <c r="B159" s="2" t="n"/>
      <c r="C159" s="2" t="n"/>
      <c r="D159" s="2" t="n"/>
      <c r="E159" s="56" t="n"/>
      <c r="F159" s="2" t="n"/>
      <c r="G159" s="56"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2" t="n"/>
      <c r="B160" s="2" t="n"/>
      <c r="C160" s="2" t="n"/>
      <c r="D160" s="2" t="n"/>
      <c r="E160" s="56" t="n"/>
      <c r="F160" s="2" t="n"/>
      <c r="G160" s="56"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2" t="n"/>
      <c r="B161" s="2" t="n"/>
      <c r="C161" s="2" t="n"/>
      <c r="D161" s="2" t="n"/>
      <c r="E161" s="56" t="n"/>
      <c r="F161" s="2" t="n"/>
      <c r="G161" s="56"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2" t="n"/>
      <c r="B162" s="2" t="n"/>
      <c r="C162" s="2" t="n"/>
      <c r="D162" s="2" t="n"/>
      <c r="E162" s="56" t="n"/>
      <c r="F162" s="2" t="n"/>
      <c r="G162" s="56"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2" t="n"/>
      <c r="B163" s="2" t="n"/>
      <c r="C163" s="2" t="n"/>
      <c r="D163" s="2" t="n"/>
      <c r="E163" s="56" t="n"/>
      <c r="F163" s="2" t="n"/>
      <c r="G163" s="56"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2" t="n"/>
      <c r="B164" s="2" t="n"/>
      <c r="C164" s="2" t="n"/>
      <c r="D164" s="2" t="n"/>
      <c r="E164" s="56" t="n"/>
      <c r="F164" s="2" t="n"/>
      <c r="G164" s="56"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2" t="n"/>
      <c r="B165" s="2" t="n"/>
      <c r="C165" s="2" t="n"/>
      <c r="D165" s="2" t="n"/>
      <c r="E165" s="56" t="n"/>
      <c r="F165" s="2" t="n"/>
      <c r="G165" s="56"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2" t="n"/>
      <c r="B166" s="2" t="n"/>
      <c r="C166" s="2" t="n"/>
      <c r="D166" s="2" t="n"/>
      <c r="E166" s="56" t="n"/>
      <c r="F166" s="2" t="n"/>
      <c r="G166" s="56"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2" t="n"/>
      <c r="B167" s="2" t="n"/>
      <c r="C167" s="2" t="n"/>
      <c r="D167" s="2" t="n"/>
      <c r="E167" s="56" t="n"/>
      <c r="F167" s="2" t="n"/>
      <c r="G167" s="56"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2" t="n"/>
      <c r="B168" s="2" t="n"/>
      <c r="C168" s="2" t="n"/>
      <c r="D168" s="2" t="n"/>
      <c r="E168" s="56" t="n"/>
      <c r="F168" s="2" t="n"/>
      <c r="G168" s="56"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2" t="n"/>
      <c r="B169" s="2" t="n"/>
      <c r="C169" s="2" t="n"/>
      <c r="D169" s="2" t="n"/>
      <c r="E169" s="56" t="n"/>
      <c r="F169" s="2" t="n"/>
      <c r="G169" s="56"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2" t="n"/>
      <c r="B170" s="2" t="n"/>
      <c r="C170" s="2" t="n"/>
      <c r="D170" s="2" t="n"/>
      <c r="E170" s="56" t="n"/>
      <c r="F170" s="2" t="n"/>
      <c r="G170" s="56"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2" t="n"/>
      <c r="B171" s="2" t="n"/>
      <c r="C171" s="2" t="n"/>
      <c r="D171" s="2" t="n"/>
      <c r="E171" s="56" t="n"/>
      <c r="F171" s="2" t="n"/>
      <c r="G171" s="56"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2" t="n"/>
      <c r="B172" s="2" t="n"/>
      <c r="C172" s="2" t="n"/>
      <c r="D172" s="2" t="n"/>
      <c r="E172" s="56" t="n"/>
      <c r="F172" s="2" t="n"/>
      <c r="G172" s="56"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2" t="n"/>
      <c r="B173" s="2" t="n"/>
      <c r="C173" s="2" t="n"/>
      <c r="D173" s="2" t="n"/>
      <c r="E173" s="56" t="n"/>
      <c r="F173" s="2" t="n"/>
      <c r="G173" s="56"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2" t="n"/>
      <c r="B174" s="2" t="n"/>
      <c r="C174" s="2" t="n"/>
      <c r="D174" s="2" t="n"/>
      <c r="E174" s="56" t="n"/>
      <c r="F174" s="2" t="n"/>
      <c r="G174" s="56"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2" t="n"/>
      <c r="B175" s="2" t="n"/>
      <c r="C175" s="2" t="n"/>
      <c r="D175" s="2" t="n"/>
      <c r="E175" s="56" t="n"/>
      <c r="F175" s="2" t="n"/>
      <c r="G175" s="56"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2" t="n"/>
      <c r="B176" s="2" t="n"/>
      <c r="C176" s="2" t="n"/>
      <c r="D176" s="2" t="n"/>
      <c r="E176" s="56" t="n"/>
      <c r="F176" s="2" t="n"/>
      <c r="G176" s="56"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2" t="n"/>
      <c r="B177" s="2" t="n"/>
      <c r="C177" s="2" t="n"/>
      <c r="D177" s="2" t="n"/>
      <c r="E177" s="56" t="n"/>
      <c r="F177" s="2" t="n"/>
      <c r="G177" s="56"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2" t="n"/>
      <c r="B178" s="2" t="n"/>
      <c r="C178" s="2" t="n"/>
      <c r="D178" s="2" t="n"/>
      <c r="E178" s="56" t="n"/>
      <c r="F178" s="2" t="n"/>
      <c r="G178" s="56"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2" t="n"/>
      <c r="B179" s="2" t="n"/>
      <c r="C179" s="2" t="n"/>
      <c r="D179" s="2" t="n"/>
      <c r="E179" s="56" t="n"/>
      <c r="F179" s="2" t="n"/>
      <c r="G179" s="56"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2" t="n"/>
      <c r="B180" s="2" t="n"/>
      <c r="C180" s="2" t="n"/>
      <c r="D180" s="2" t="n"/>
      <c r="E180" s="56" t="n"/>
      <c r="F180" s="2" t="n"/>
      <c r="G180" s="56"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2" t="n"/>
      <c r="B181" s="2" t="n"/>
      <c r="C181" s="2" t="n"/>
      <c r="D181" s="2" t="n"/>
      <c r="E181" s="56" t="n"/>
      <c r="F181" s="2" t="n"/>
      <c r="G181" s="56"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2" t="n"/>
      <c r="B182" s="2" t="n"/>
      <c r="C182" s="2" t="n"/>
      <c r="D182" s="2" t="n"/>
      <c r="E182" s="56" t="n"/>
      <c r="F182" s="2" t="n"/>
      <c r="G182" s="56"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2" t="n"/>
      <c r="B183" s="2" t="n"/>
      <c r="C183" s="2" t="n"/>
      <c r="D183" s="2" t="n"/>
      <c r="E183" s="56" t="n"/>
      <c r="F183" s="2" t="n"/>
      <c r="G183" s="56"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2" t="n"/>
      <c r="B184" s="2" t="n"/>
      <c r="C184" s="2" t="n"/>
      <c r="D184" s="2" t="n"/>
      <c r="E184" s="56" t="n"/>
      <c r="F184" s="2" t="n"/>
      <c r="G184" s="56"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2" t="n"/>
      <c r="B185" s="2" t="n"/>
      <c r="C185" s="2" t="n"/>
      <c r="D185" s="2" t="n"/>
      <c r="E185" s="56" t="n"/>
      <c r="F185" s="2" t="n"/>
      <c r="G185" s="56"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2" t="n"/>
      <c r="B186" s="2" t="n"/>
      <c r="C186" s="2" t="n"/>
      <c r="D186" s="2" t="n"/>
      <c r="E186" s="56" t="n"/>
      <c r="F186" s="2" t="n"/>
      <c r="G186" s="56"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2" t="n"/>
      <c r="B187" s="2" t="n"/>
      <c r="C187" s="2" t="n"/>
      <c r="D187" s="2" t="n"/>
      <c r="E187" s="56" t="n"/>
      <c r="F187" s="2" t="n"/>
      <c r="G187" s="56"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2" t="n"/>
      <c r="B188" s="2" t="n"/>
      <c r="C188" s="2" t="n"/>
      <c r="D188" s="2" t="n"/>
      <c r="E188" s="56" t="n"/>
      <c r="F188" s="2" t="n"/>
      <c r="G188" s="56"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2" t="n"/>
      <c r="B189" s="2" t="n"/>
      <c r="C189" s="2" t="n"/>
      <c r="D189" s="2" t="n"/>
      <c r="E189" s="56" t="n"/>
      <c r="F189" s="2" t="n"/>
      <c r="G189" s="56"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2" t="n"/>
      <c r="B190" s="2" t="n"/>
      <c r="C190" s="2" t="n"/>
      <c r="D190" s="2" t="n"/>
      <c r="E190" s="56" t="n"/>
      <c r="F190" s="2" t="n"/>
      <c r="G190" s="56"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2" t="n"/>
      <c r="B191" s="2" t="n"/>
      <c r="C191" s="2" t="n"/>
      <c r="D191" s="2" t="n"/>
      <c r="E191" s="56" t="n"/>
      <c r="F191" s="2" t="n"/>
      <c r="G191" s="56"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2" t="n"/>
      <c r="B192" s="2" t="n"/>
      <c r="C192" s="2" t="n"/>
      <c r="D192" s="2" t="n"/>
      <c r="E192" s="56" t="n"/>
      <c r="F192" s="2" t="n"/>
      <c r="G192" s="56"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2" t="n"/>
      <c r="B193" s="2" t="n"/>
      <c r="C193" s="2" t="n"/>
      <c r="D193" s="2" t="n"/>
      <c r="E193" s="56" t="n"/>
      <c r="F193" s="2" t="n"/>
      <c r="G193" s="56"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2" t="n"/>
      <c r="B194" s="2" t="n"/>
      <c r="C194" s="2" t="n"/>
      <c r="D194" s="2" t="n"/>
      <c r="E194" s="56" t="n"/>
      <c r="F194" s="2" t="n"/>
      <c r="G194" s="56"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2" t="n"/>
      <c r="B195" s="2" t="n"/>
      <c r="C195" s="2" t="n"/>
      <c r="D195" s="2" t="n"/>
      <c r="E195" s="56" t="n"/>
      <c r="F195" s="2" t="n"/>
      <c r="G195" s="56"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2" t="n"/>
      <c r="B196" s="2" t="n"/>
      <c r="C196" s="2" t="n"/>
      <c r="D196" s="2" t="n"/>
      <c r="E196" s="56" t="n"/>
      <c r="F196" s="2" t="n"/>
      <c r="G196" s="56"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2" t="n"/>
      <c r="B197" s="2" t="n"/>
      <c r="C197" s="2" t="n"/>
      <c r="D197" s="2" t="n"/>
      <c r="E197" s="56" t="n"/>
      <c r="F197" s="2" t="n"/>
      <c r="G197" s="56"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2" t="n"/>
      <c r="B198" s="2" t="n"/>
      <c r="C198" s="2" t="n"/>
      <c r="D198" s="2" t="n"/>
      <c r="E198" s="56" t="n"/>
      <c r="F198" s="2" t="n"/>
      <c r="G198" s="56"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2" t="n"/>
      <c r="B199" s="2" t="n"/>
      <c r="C199" s="2" t="n"/>
      <c r="D199" s="2" t="n"/>
      <c r="E199" s="56" t="n"/>
      <c r="F199" s="2" t="n"/>
      <c r="G199" s="56"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2" t="n"/>
      <c r="B200" s="2" t="n"/>
      <c r="C200" s="2" t="n"/>
      <c r="D200" s="2" t="n"/>
      <c r="E200" s="56" t="n"/>
      <c r="F200" s="2" t="n"/>
      <c r="G200" s="56"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2" t="n"/>
      <c r="B201" s="2" t="n"/>
      <c r="C201" s="2" t="n"/>
      <c r="D201" s="2" t="n"/>
      <c r="E201" s="56" t="n"/>
      <c r="F201" s="2" t="n"/>
      <c r="G201" s="56"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2" t="n"/>
      <c r="B202" s="2" t="n"/>
      <c r="C202" s="2" t="n"/>
      <c r="D202" s="2" t="n"/>
      <c r="E202" s="56" t="n"/>
      <c r="F202" s="2" t="n"/>
      <c r="G202" s="56"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2" t="n"/>
      <c r="B203" s="2" t="n"/>
      <c r="C203" s="2" t="n"/>
      <c r="D203" s="2" t="n"/>
      <c r="E203" s="56" t="n"/>
      <c r="F203" s="2" t="n"/>
      <c r="G203" s="56"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2" t="n"/>
      <c r="B204" s="2" t="n"/>
      <c r="C204" s="2" t="n"/>
      <c r="D204" s="2" t="n"/>
      <c r="E204" s="56" t="n"/>
      <c r="F204" s="2" t="n"/>
      <c r="G204" s="56"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2" t="n"/>
      <c r="B205" s="2" t="n"/>
      <c r="C205" s="2" t="n"/>
      <c r="D205" s="2" t="n"/>
      <c r="E205" s="56" t="n"/>
      <c r="F205" s="2" t="n"/>
      <c r="G205" s="56"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2" t="n"/>
      <c r="B206" s="2" t="n"/>
      <c r="C206" s="2" t="n"/>
      <c r="D206" s="2" t="n"/>
      <c r="E206" s="56" t="n"/>
      <c r="F206" s="2" t="n"/>
      <c r="G206" s="56"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2" t="n"/>
      <c r="B207" s="2" t="n"/>
      <c r="C207" s="2" t="n"/>
      <c r="D207" s="2" t="n"/>
      <c r="E207" s="56" t="n"/>
      <c r="F207" s="2" t="n"/>
      <c r="G207" s="56"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2" t="n"/>
      <c r="B208" s="2" t="n"/>
      <c r="C208" s="2" t="n"/>
      <c r="D208" s="2" t="n"/>
      <c r="E208" s="56" t="n"/>
      <c r="F208" s="2" t="n"/>
      <c r="G208" s="56"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2" t="n"/>
      <c r="B209" s="2" t="n"/>
      <c r="C209" s="2" t="n"/>
      <c r="D209" s="2" t="n"/>
      <c r="E209" s="56" t="n"/>
      <c r="F209" s="2" t="n"/>
      <c r="G209" s="56"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2" t="n"/>
      <c r="B210" s="2" t="n"/>
      <c r="C210" s="2" t="n"/>
      <c r="D210" s="2" t="n"/>
      <c r="E210" s="56" t="n"/>
      <c r="F210" s="2" t="n"/>
      <c r="G210" s="56"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2" t="n"/>
      <c r="B211" s="2" t="n"/>
      <c r="C211" s="2" t="n"/>
      <c r="D211" s="2" t="n"/>
      <c r="E211" s="56" t="n"/>
      <c r="F211" s="2" t="n"/>
      <c r="G211" s="56"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2" t="n"/>
      <c r="B212" s="2" t="n"/>
      <c r="C212" s="2" t="n"/>
      <c r="D212" s="2" t="n"/>
      <c r="E212" s="56" t="n"/>
      <c r="F212" s="2" t="n"/>
      <c r="G212" s="56"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2" t="n"/>
      <c r="B213" s="2" t="n"/>
      <c r="C213" s="2" t="n"/>
      <c r="D213" s="2" t="n"/>
      <c r="E213" s="56" t="n"/>
      <c r="F213" s="2" t="n"/>
      <c r="G213" s="56"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2" t="n"/>
      <c r="B214" s="2" t="n"/>
      <c r="C214" s="2" t="n"/>
      <c r="D214" s="2" t="n"/>
      <c r="E214" s="56" t="n"/>
      <c r="F214" s="2" t="n"/>
      <c r="G214" s="56"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2" t="n"/>
      <c r="B215" s="2" t="n"/>
      <c r="C215" s="2" t="n"/>
      <c r="D215" s="2" t="n"/>
      <c r="E215" s="56" t="n"/>
      <c r="F215" s="2" t="n"/>
      <c r="G215" s="56"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2" t="n"/>
      <c r="B216" s="2" t="n"/>
      <c r="C216" s="2" t="n"/>
      <c r="D216" s="2" t="n"/>
      <c r="E216" s="56" t="n"/>
      <c r="F216" s="2" t="n"/>
      <c r="G216" s="56"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2" t="n"/>
      <c r="B217" s="2" t="n"/>
      <c r="C217" s="2" t="n"/>
      <c r="D217" s="2" t="n"/>
      <c r="E217" s="56" t="n"/>
      <c r="F217" s="2" t="n"/>
      <c r="G217" s="56"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2" t="n"/>
      <c r="B218" s="2" t="n"/>
      <c r="C218" s="2" t="n"/>
      <c r="D218" s="2" t="n"/>
      <c r="E218" s="56" t="n"/>
      <c r="F218" s="2" t="n"/>
      <c r="G218" s="56"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2" t="n"/>
      <c r="B219" s="2" t="n"/>
      <c r="C219" s="2" t="n"/>
      <c r="D219" s="2" t="n"/>
      <c r="E219" s="56" t="n"/>
      <c r="F219" s="2" t="n"/>
      <c r="G219" s="56"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2" t="n"/>
      <c r="B220" s="2" t="n"/>
      <c r="C220" s="2" t="n"/>
      <c r="D220" s="2" t="n"/>
      <c r="E220" s="56" t="n"/>
      <c r="F220" s="2" t="n"/>
      <c r="G220" s="56"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56" t="n"/>
      <c r="F221" s="2" t="n"/>
      <c r="G221" s="56"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56" t="n"/>
      <c r="F222" s="2" t="n"/>
      <c r="G222" s="56"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56" t="n"/>
      <c r="F223" s="2" t="n"/>
      <c r="G223" s="56"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56" t="n"/>
      <c r="F224" s="2" t="n"/>
      <c r="G224" s="56"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56" t="n"/>
      <c r="F225" s="2" t="n"/>
      <c r="G225" s="56"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56" t="n"/>
      <c r="F226" s="2" t="n"/>
      <c r="G226" s="56"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56" t="n"/>
      <c r="F227" s="2" t="n"/>
      <c r="G227" s="56"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56" t="n"/>
      <c r="F228" s="2" t="n"/>
      <c r="G228" s="56"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56" t="n"/>
      <c r="F229" s="2" t="n"/>
      <c r="G229" s="56"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56" t="n"/>
      <c r="F230" s="2" t="n"/>
      <c r="G230" s="56"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56" t="n"/>
      <c r="F231" s="2" t="n"/>
      <c r="G231" s="56"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56" t="n"/>
      <c r="F232" s="2" t="n"/>
      <c r="G232" s="56"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56" t="n"/>
      <c r="F233" s="2" t="n"/>
      <c r="G233" s="56"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56" t="n"/>
      <c r="F234" s="2" t="n"/>
      <c r="G234" s="56"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56" t="n"/>
      <c r="F235" s="2" t="n"/>
      <c r="G235" s="56"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56" t="n"/>
      <c r="F236" s="2" t="n"/>
      <c r="G236" s="56"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56" t="n"/>
      <c r="F237" s="2" t="n"/>
      <c r="G237" s="56"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56" t="n"/>
      <c r="F238" s="2" t="n"/>
      <c r="G238" s="56"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56" t="n"/>
      <c r="F239" s="2" t="n"/>
      <c r="G239" s="56"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56" t="n"/>
      <c r="F240" s="2" t="n"/>
      <c r="G240" s="56"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56" t="n"/>
      <c r="F241" s="2" t="n"/>
      <c r="G241" s="56"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56" t="n"/>
      <c r="F242" s="2" t="n"/>
      <c r="G242" s="56"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56" t="n"/>
      <c r="F243" s="2" t="n"/>
      <c r="G243" s="56"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56" t="n"/>
      <c r="F244" s="2" t="n"/>
      <c r="G244" s="56"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56" t="n"/>
      <c r="F245" s="2" t="n"/>
      <c r="G245" s="56"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56" t="n"/>
      <c r="F246" s="2" t="n"/>
      <c r="G246" s="56"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56" t="n"/>
      <c r="F247" s="2" t="n"/>
      <c r="G247" s="56"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56" t="n"/>
      <c r="F248" s="2" t="n"/>
      <c r="G248" s="56"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56" t="n"/>
      <c r="F249" s="2" t="n"/>
      <c r="G249" s="56"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56" t="n"/>
      <c r="F250" s="2" t="n"/>
      <c r="G250" s="56"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56" t="n"/>
      <c r="F251" s="2" t="n"/>
      <c r="G251" s="56"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56" t="n"/>
      <c r="F252" s="2" t="n"/>
      <c r="G252" s="56"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56" t="n"/>
      <c r="F253" s="2" t="n"/>
      <c r="G253" s="56"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56" t="n"/>
      <c r="F254" s="2" t="n"/>
      <c r="G254" s="56"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56" t="n"/>
      <c r="F255" s="2" t="n"/>
      <c r="G255" s="56"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56" t="n"/>
      <c r="F256" s="2" t="n"/>
      <c r="G256" s="56"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56" t="n"/>
      <c r="F257" s="2" t="n"/>
      <c r="G257" s="56"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56" t="n"/>
      <c r="F258" s="2" t="n"/>
      <c r="G258" s="56"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56" t="n"/>
      <c r="F259" s="2" t="n"/>
      <c r="G259" s="56"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56" t="n"/>
      <c r="F260" s="2" t="n"/>
      <c r="G260" s="56"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56" t="n"/>
      <c r="F261" s="2" t="n"/>
      <c r="G261" s="56"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56" t="n"/>
      <c r="F262" s="2" t="n"/>
      <c r="G262" s="56"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56" t="n"/>
      <c r="F263" s="2" t="n"/>
      <c r="G263" s="56"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56" t="n"/>
      <c r="F264" s="2" t="n"/>
      <c r="G264" s="56"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56" t="n"/>
      <c r="F265" s="2" t="n"/>
      <c r="G265" s="56"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56" t="n"/>
      <c r="F266" s="2" t="n"/>
      <c r="G266" s="56"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56" t="n"/>
      <c r="F267" s="2" t="n"/>
      <c r="G267" s="56"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56" t="n"/>
      <c r="F268" s="2" t="n"/>
      <c r="G268" s="56"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56" t="n"/>
      <c r="F269" s="2" t="n"/>
      <c r="G269" s="56"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56" t="n"/>
      <c r="F270" s="2" t="n"/>
      <c r="G270" s="56"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56" t="n"/>
      <c r="F271" s="2" t="n"/>
      <c r="G271" s="56"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56" t="n"/>
      <c r="F272" s="2" t="n"/>
      <c r="G272" s="56"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56" t="n"/>
      <c r="F273" s="2" t="n"/>
      <c r="G273" s="56"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56" t="n"/>
      <c r="F274" s="2" t="n"/>
      <c r="G274" s="56"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56" t="n"/>
      <c r="F275" s="2" t="n"/>
      <c r="G275" s="56"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56" t="n"/>
      <c r="F276" s="2" t="n"/>
      <c r="G276" s="56"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56" t="n"/>
      <c r="F277" s="2" t="n"/>
      <c r="G277" s="56"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56" t="n"/>
      <c r="F278" s="2" t="n"/>
      <c r="G278" s="56"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56" t="n"/>
      <c r="F279" s="2" t="n"/>
      <c r="G279" s="56"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56" t="n"/>
      <c r="F280" s="2" t="n"/>
      <c r="G280" s="56"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56" t="n"/>
      <c r="F281" s="2" t="n"/>
      <c r="G281" s="56"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56" t="n"/>
      <c r="F282" s="2" t="n"/>
      <c r="G282" s="56"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56" t="n"/>
      <c r="F283" s="2" t="n"/>
      <c r="G283" s="56"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56" t="n"/>
      <c r="F284" s="2" t="n"/>
      <c r="G284" s="56"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56" t="n"/>
      <c r="F285" s="2" t="n"/>
      <c r="G285" s="56"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56" t="n"/>
      <c r="F286" s="2" t="n"/>
      <c r="G286" s="56"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56" t="n"/>
      <c r="F287" s="2" t="n"/>
      <c r="G287" s="56"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56" t="n"/>
      <c r="F288" s="2" t="n"/>
      <c r="G288" s="56"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56" t="n"/>
      <c r="F289" s="2" t="n"/>
      <c r="G289" s="56"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56" t="n"/>
      <c r="F290" s="2" t="n"/>
      <c r="G290" s="56"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56" t="n"/>
      <c r="F291" s="2" t="n"/>
      <c r="G291" s="56"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56" t="n"/>
      <c r="F292" s="2" t="n"/>
      <c r="G292" s="56"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56" t="n"/>
      <c r="F293" s="2" t="n"/>
      <c r="G293" s="56"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56" t="n"/>
      <c r="F294" s="2" t="n"/>
      <c r="G294" s="56"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56" t="n"/>
      <c r="F295" s="2" t="n"/>
      <c r="G295" s="56"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56" t="n"/>
      <c r="F296" s="2" t="n"/>
      <c r="G296" s="56"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56" t="n"/>
      <c r="F297" s="2" t="n"/>
      <c r="G297" s="56"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56" t="n"/>
      <c r="F298" s="2" t="n"/>
      <c r="G298" s="56"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56" t="n"/>
      <c r="F299" s="2" t="n"/>
      <c r="G299" s="56"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56" t="n"/>
      <c r="F300" s="2" t="n"/>
      <c r="G300" s="56"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56" t="n"/>
      <c r="F301" s="2" t="n"/>
      <c r="G301" s="56"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56" t="n"/>
      <c r="F302" s="2" t="n"/>
      <c r="G302" s="56"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56" t="n"/>
      <c r="F303" s="2" t="n"/>
      <c r="G303" s="56"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56" t="n"/>
      <c r="F304" s="2" t="n"/>
      <c r="G304" s="56"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56" t="n"/>
      <c r="F305" s="2" t="n"/>
      <c r="G305" s="56"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56" t="n"/>
      <c r="F306" s="2" t="n"/>
      <c r="G306" s="56"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56" t="n"/>
      <c r="F307" s="2" t="n"/>
      <c r="G307" s="56"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56" t="n"/>
      <c r="F308" s="2" t="n"/>
      <c r="G308" s="56"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56" t="n"/>
      <c r="F309" s="2" t="n"/>
      <c r="G309" s="56"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56" t="n"/>
      <c r="F310" s="2" t="n"/>
      <c r="G310" s="56"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56" t="n"/>
      <c r="F311" s="2" t="n"/>
      <c r="G311" s="56"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56" t="n"/>
      <c r="F312" s="2" t="n"/>
      <c r="G312" s="56"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56" t="n"/>
      <c r="F313" s="2" t="n"/>
      <c r="G313" s="56"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56" t="n"/>
      <c r="F314" s="2" t="n"/>
      <c r="G314" s="56"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56" t="n"/>
      <c r="F315" s="2" t="n"/>
      <c r="G315" s="56"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56" t="n"/>
      <c r="F316" s="2" t="n"/>
      <c r="G316" s="56"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56" t="n"/>
      <c r="F317" s="2" t="n"/>
      <c r="G317" s="56"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56" t="n"/>
      <c r="F318" s="2" t="n"/>
      <c r="G318" s="56"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56" t="n"/>
      <c r="F319" s="2" t="n"/>
      <c r="G319" s="56"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56" t="n"/>
      <c r="F320" s="2" t="n"/>
      <c r="G320" s="56"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56" t="n"/>
      <c r="F321" s="2" t="n"/>
      <c r="G321" s="56"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56" t="n"/>
      <c r="F322" s="2" t="n"/>
      <c r="G322" s="56"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56" t="n"/>
      <c r="F323" s="2" t="n"/>
      <c r="G323" s="56"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56" t="n"/>
      <c r="F324" s="2" t="n"/>
      <c r="G324" s="56"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56" t="n"/>
      <c r="F325" s="2" t="n"/>
      <c r="G325" s="56"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56" t="n"/>
      <c r="F326" s="2" t="n"/>
      <c r="G326" s="56"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56" t="n"/>
      <c r="F327" s="2" t="n"/>
      <c r="G327" s="56"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56" t="n"/>
      <c r="F328" s="2" t="n"/>
      <c r="G328" s="56"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56" t="n"/>
      <c r="F329" s="2" t="n"/>
      <c r="G329" s="56"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56" t="n"/>
      <c r="F330" s="2" t="n"/>
      <c r="G330" s="56"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56" t="n"/>
      <c r="F331" s="2" t="n"/>
      <c r="G331" s="56"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56" t="n"/>
      <c r="F332" s="2" t="n"/>
      <c r="G332" s="56"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56" t="n"/>
      <c r="F333" s="2" t="n"/>
      <c r="G333" s="56"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56" t="n"/>
      <c r="F334" s="2" t="n"/>
      <c r="G334" s="56"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56" t="n"/>
      <c r="F335" s="2" t="n"/>
      <c r="G335" s="56"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56" t="n"/>
      <c r="F336" s="2" t="n"/>
      <c r="G336" s="56"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56" t="n"/>
      <c r="F337" s="2" t="n"/>
      <c r="G337" s="56"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56" t="n"/>
      <c r="F338" s="2" t="n"/>
      <c r="G338" s="56"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56" t="n"/>
      <c r="F339" s="2" t="n"/>
      <c r="G339" s="56"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56" t="n"/>
      <c r="F340" s="2" t="n"/>
      <c r="G340" s="56"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56" t="n"/>
      <c r="F341" s="2" t="n"/>
      <c r="G341" s="56"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56" t="n"/>
      <c r="F342" s="2" t="n"/>
      <c r="G342" s="56"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56" t="n"/>
      <c r="F343" s="2" t="n"/>
      <c r="G343" s="56"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56" t="n"/>
      <c r="F344" s="2" t="n"/>
      <c r="G344" s="56"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56" t="n"/>
      <c r="F345" s="2" t="n"/>
      <c r="G345" s="56"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56" t="n"/>
      <c r="F346" s="2" t="n"/>
      <c r="G346" s="56"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56" t="n"/>
      <c r="F347" s="2" t="n"/>
      <c r="G347" s="56"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56" t="n"/>
      <c r="F348" s="2" t="n"/>
      <c r="G348" s="56"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56" t="n"/>
      <c r="F349" s="2" t="n"/>
      <c r="G349" s="56"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56" t="n"/>
      <c r="F350" s="2" t="n"/>
      <c r="G350" s="56"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56" t="n"/>
      <c r="F351" s="2" t="n"/>
      <c r="G351" s="56"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56" t="n"/>
      <c r="F352" s="2" t="n"/>
      <c r="G352" s="56"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56" t="n"/>
      <c r="F353" s="2" t="n"/>
      <c r="G353" s="56"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56" t="n"/>
      <c r="F354" s="2" t="n"/>
      <c r="G354" s="56"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56" t="n"/>
      <c r="F355" s="2" t="n"/>
      <c r="G355" s="56"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56" t="n"/>
      <c r="F356" s="2" t="n"/>
      <c r="G356" s="56"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56" t="n"/>
      <c r="F357" s="2" t="n"/>
      <c r="G357" s="56"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56" t="n"/>
      <c r="F358" s="2" t="n"/>
      <c r="G358" s="56"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56" t="n"/>
      <c r="F359" s="2" t="n"/>
      <c r="G359" s="56"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56" t="n"/>
      <c r="F360" s="2" t="n"/>
      <c r="G360" s="56"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56" t="n"/>
      <c r="F361" s="2" t="n"/>
      <c r="G361" s="56"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56" t="n"/>
      <c r="F362" s="2" t="n"/>
      <c r="G362" s="56"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56" t="n"/>
      <c r="F363" s="2" t="n"/>
      <c r="G363" s="56"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56" t="n"/>
      <c r="F364" s="2" t="n"/>
      <c r="G364" s="56"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56" t="n"/>
      <c r="F365" s="2" t="n"/>
      <c r="G365" s="56"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56" t="n"/>
      <c r="F366" s="2" t="n"/>
      <c r="G366" s="56"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56" t="n"/>
      <c r="F367" s="2" t="n"/>
      <c r="G367" s="56"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56" t="n"/>
      <c r="F368" s="2" t="n"/>
      <c r="G368" s="56"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56" t="n"/>
      <c r="F369" s="2" t="n"/>
      <c r="G369" s="56"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56" t="n"/>
      <c r="F370" s="2" t="n"/>
      <c r="G370" s="56"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56" t="n"/>
      <c r="F371" s="2" t="n"/>
      <c r="G371" s="56"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56" t="n"/>
      <c r="F372" s="2" t="n"/>
      <c r="G372" s="56"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56" t="n"/>
      <c r="F373" s="2" t="n"/>
      <c r="G373" s="56"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56" t="n"/>
      <c r="F374" s="2" t="n"/>
      <c r="G374" s="56"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56" t="n"/>
      <c r="F375" s="2" t="n"/>
      <c r="G375" s="56"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56" t="n"/>
      <c r="F376" s="2" t="n"/>
      <c r="G376" s="56"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56" t="n"/>
      <c r="F377" s="2" t="n"/>
      <c r="G377" s="56"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56" t="n"/>
      <c r="F378" s="2" t="n"/>
      <c r="G378" s="56"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56" t="n"/>
      <c r="F379" s="2" t="n"/>
      <c r="G379" s="56"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56" t="n"/>
      <c r="F380" s="2" t="n"/>
      <c r="G380" s="56"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56" t="n"/>
      <c r="F381" s="2" t="n"/>
      <c r="G381" s="56"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56" t="n"/>
      <c r="F382" s="2" t="n"/>
      <c r="G382" s="56"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56" t="n"/>
      <c r="F383" s="2" t="n"/>
      <c r="G383" s="56"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56" t="n"/>
      <c r="F384" s="2" t="n"/>
      <c r="G384" s="56"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56" t="n"/>
      <c r="F385" s="2" t="n"/>
      <c r="G385" s="56"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56" t="n"/>
      <c r="F386" s="2" t="n"/>
      <c r="G386" s="56"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56" t="n"/>
      <c r="F387" s="2" t="n"/>
      <c r="G387" s="56"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56" t="n"/>
      <c r="F388" s="2" t="n"/>
      <c r="G388" s="56"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56" t="n"/>
      <c r="F389" s="2" t="n"/>
      <c r="G389" s="56"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56" t="n"/>
      <c r="F390" s="2" t="n"/>
      <c r="G390" s="56"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56" t="n"/>
      <c r="F391" s="2" t="n"/>
      <c r="G391" s="56"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56" t="n"/>
      <c r="F392" s="2" t="n"/>
      <c r="G392" s="56"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56" t="n"/>
      <c r="F393" s="2" t="n"/>
      <c r="G393" s="56"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56" t="n"/>
      <c r="F394" s="2" t="n"/>
      <c r="G394" s="56"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56" t="n"/>
      <c r="F395" s="2" t="n"/>
      <c r="G395" s="56"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56" t="n"/>
      <c r="F396" s="2" t="n"/>
      <c r="G396" s="56"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56" t="n"/>
      <c r="F397" s="2" t="n"/>
      <c r="G397" s="56"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56" t="n"/>
      <c r="F398" s="2" t="n"/>
      <c r="G398" s="56"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56" t="n"/>
      <c r="F399" s="2" t="n"/>
      <c r="G399" s="56"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56" t="n"/>
      <c r="F400" s="2" t="n"/>
      <c r="G400" s="56"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56" t="n"/>
      <c r="F401" s="2" t="n"/>
      <c r="G401" s="56"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56" t="n"/>
      <c r="F402" s="2" t="n"/>
      <c r="G402" s="56"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56" t="n"/>
      <c r="F403" s="2" t="n"/>
      <c r="G403" s="56"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56" t="n"/>
      <c r="F404" s="2" t="n"/>
      <c r="G404" s="56"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56" t="n"/>
      <c r="F405" s="2" t="n"/>
      <c r="G405" s="56"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56" t="n"/>
      <c r="F406" s="2" t="n"/>
      <c r="G406" s="56"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56" t="n"/>
      <c r="F407" s="2" t="n"/>
      <c r="G407" s="56"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56" t="n"/>
      <c r="F408" s="2" t="n"/>
      <c r="G408" s="56"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56" t="n"/>
      <c r="F409" s="2" t="n"/>
      <c r="G409" s="56"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56" t="n"/>
      <c r="F410" s="2" t="n"/>
      <c r="G410" s="56"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56" t="n"/>
      <c r="F411" s="2" t="n"/>
      <c r="G411" s="56"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56" t="n"/>
      <c r="F412" s="2" t="n"/>
      <c r="G412" s="56"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56" t="n"/>
      <c r="F413" s="2" t="n"/>
      <c r="G413" s="56"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56" t="n"/>
      <c r="F414" s="2" t="n"/>
      <c r="G414" s="56"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56" t="n"/>
      <c r="F415" s="2" t="n"/>
      <c r="G415" s="56"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56" t="n"/>
      <c r="F416" s="2" t="n"/>
      <c r="G416" s="56"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56" t="n"/>
      <c r="F417" s="2" t="n"/>
      <c r="G417" s="56"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56" t="n"/>
      <c r="F418" s="2" t="n"/>
      <c r="G418" s="56"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56" t="n"/>
      <c r="F419" s="2" t="n"/>
      <c r="G419" s="56"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56" t="n"/>
      <c r="F420" s="2" t="n"/>
      <c r="G420" s="56"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56" t="n"/>
      <c r="F421" s="2" t="n"/>
      <c r="G421" s="56"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56" t="n"/>
      <c r="F422" s="2" t="n"/>
      <c r="G422" s="56"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56" t="n"/>
      <c r="F423" s="2" t="n"/>
      <c r="G423" s="56"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56" t="n"/>
      <c r="F424" s="2" t="n"/>
      <c r="G424" s="56"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56" t="n"/>
      <c r="F425" s="2" t="n"/>
      <c r="G425" s="56"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56" t="n"/>
      <c r="F426" s="2" t="n"/>
      <c r="G426" s="56"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56" t="n"/>
      <c r="F427" s="2" t="n"/>
      <c r="G427" s="56"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56" t="n"/>
      <c r="F428" s="2" t="n"/>
      <c r="G428" s="56"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56" t="n"/>
      <c r="F429" s="2" t="n"/>
      <c r="G429" s="56"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56" t="n"/>
      <c r="F430" s="2" t="n"/>
      <c r="G430" s="56"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56" t="n"/>
      <c r="F431" s="2" t="n"/>
      <c r="G431" s="56"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56" t="n"/>
      <c r="F432" s="2" t="n"/>
      <c r="G432" s="56"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56" t="n"/>
      <c r="F433" s="2" t="n"/>
      <c r="G433" s="56"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56" t="n"/>
      <c r="F434" s="2" t="n"/>
      <c r="G434" s="56"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56" t="n"/>
      <c r="F435" s="2" t="n"/>
      <c r="G435" s="56"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56" t="n"/>
      <c r="F436" s="2" t="n"/>
      <c r="G436" s="56"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56" t="n"/>
      <c r="F437" s="2" t="n"/>
      <c r="G437" s="56"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56" t="n"/>
      <c r="F438" s="2" t="n"/>
      <c r="G438" s="56"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56" t="n"/>
      <c r="F439" s="2" t="n"/>
      <c r="G439" s="56"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56" t="n"/>
      <c r="F440" s="2" t="n"/>
      <c r="G440" s="56"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56" t="n"/>
      <c r="F441" s="2" t="n"/>
      <c r="G441" s="56"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56" t="n"/>
      <c r="F442" s="2" t="n"/>
      <c r="G442" s="56"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56" t="n"/>
      <c r="F443" s="2" t="n"/>
      <c r="G443" s="56"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56" t="n"/>
      <c r="F444" s="2" t="n"/>
      <c r="G444" s="56"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56" t="n"/>
      <c r="F445" s="2" t="n"/>
      <c r="G445" s="56"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56" t="n"/>
      <c r="F446" s="2" t="n"/>
      <c r="G446" s="56"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56" t="n"/>
      <c r="F447" s="2" t="n"/>
      <c r="G447" s="56"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56" t="n"/>
      <c r="F448" s="2" t="n"/>
      <c r="G448" s="56"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56" t="n"/>
      <c r="F449" s="2" t="n"/>
      <c r="G449" s="56"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56" t="n"/>
      <c r="F450" s="2" t="n"/>
      <c r="G450" s="56"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56" t="n"/>
      <c r="F451" s="2" t="n"/>
      <c r="G451" s="56"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56" t="n"/>
      <c r="F452" s="2" t="n"/>
      <c r="G452" s="56"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56" t="n"/>
      <c r="F453" s="2" t="n"/>
      <c r="G453" s="56"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56" t="n"/>
      <c r="F454" s="2" t="n"/>
      <c r="G454" s="56"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56" t="n"/>
      <c r="F455" s="2" t="n"/>
      <c r="G455" s="56"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56" t="n"/>
      <c r="F456" s="2" t="n"/>
      <c r="G456" s="56"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56" t="n"/>
      <c r="F457" s="2" t="n"/>
      <c r="G457" s="56"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56" t="n"/>
      <c r="F458" s="2" t="n"/>
      <c r="G458" s="56"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56" t="n"/>
      <c r="F459" s="2" t="n"/>
      <c r="G459" s="56"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56" t="n"/>
      <c r="F460" s="2" t="n"/>
      <c r="G460" s="56"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56" t="n"/>
      <c r="F461" s="2" t="n"/>
      <c r="G461" s="56"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56" t="n"/>
      <c r="F462" s="2" t="n"/>
      <c r="G462" s="56"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56" t="n"/>
      <c r="F463" s="2" t="n"/>
      <c r="G463" s="56"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56" t="n"/>
      <c r="F464" s="2" t="n"/>
      <c r="G464" s="56"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56" t="n"/>
      <c r="F465" s="2" t="n"/>
      <c r="G465" s="56"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56" t="n"/>
      <c r="F466" s="2" t="n"/>
      <c r="G466" s="56"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56" t="n"/>
      <c r="F467" s="2" t="n"/>
      <c r="G467" s="56"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56" t="n"/>
      <c r="F468" s="2" t="n"/>
      <c r="G468" s="56"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56" t="n"/>
      <c r="F469" s="2" t="n"/>
      <c r="G469" s="56"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56" t="n"/>
      <c r="F470" s="2" t="n"/>
      <c r="G470" s="56"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56" t="n"/>
      <c r="F471" s="2" t="n"/>
      <c r="G471" s="56"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56" t="n"/>
      <c r="F472" s="2" t="n"/>
      <c r="G472" s="56"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56" t="n"/>
      <c r="F473" s="2" t="n"/>
      <c r="G473" s="56"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56" t="n"/>
      <c r="F474" s="2" t="n"/>
      <c r="G474" s="56"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56" t="n"/>
      <c r="F475" s="2" t="n"/>
      <c r="G475" s="56"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56" t="n"/>
      <c r="F476" s="2" t="n"/>
      <c r="G476" s="56"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56" t="n"/>
      <c r="F477" s="2" t="n"/>
      <c r="G477" s="56"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56" t="n"/>
      <c r="F478" s="2" t="n"/>
      <c r="G478" s="56"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56" t="n"/>
      <c r="F479" s="2" t="n"/>
      <c r="G479" s="56"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56" t="n"/>
      <c r="F480" s="2" t="n"/>
      <c r="G480" s="56"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56" t="n"/>
      <c r="F481" s="2" t="n"/>
      <c r="G481" s="56"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56" t="n"/>
      <c r="F482" s="2" t="n"/>
      <c r="G482" s="56"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56" t="n"/>
      <c r="F483" s="2" t="n"/>
      <c r="G483" s="56"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56" t="n"/>
      <c r="F484" s="2" t="n"/>
      <c r="G484" s="56"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56" t="n"/>
      <c r="F485" s="2" t="n"/>
      <c r="G485" s="56"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56" t="n"/>
      <c r="F486" s="2" t="n"/>
      <c r="G486" s="56"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56" t="n"/>
      <c r="F487" s="2" t="n"/>
      <c r="G487" s="56"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56" t="n"/>
      <c r="F488" s="2" t="n"/>
      <c r="G488" s="56"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56" t="n"/>
      <c r="F489" s="2" t="n"/>
      <c r="G489" s="56"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56" t="n"/>
      <c r="F490" s="2" t="n"/>
      <c r="G490" s="56"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56" t="n"/>
      <c r="F491" s="2" t="n"/>
      <c r="G491" s="56"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56" t="n"/>
      <c r="F492" s="2" t="n"/>
      <c r="G492" s="56"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56" t="n"/>
      <c r="F493" s="2" t="n"/>
      <c r="G493" s="56"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56" t="n"/>
      <c r="F494" s="2" t="n"/>
      <c r="G494" s="56"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56" t="n"/>
      <c r="F495" s="2" t="n"/>
      <c r="G495" s="56"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56" t="n"/>
      <c r="F496" s="2" t="n"/>
      <c r="G496" s="56"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56" t="n"/>
      <c r="F497" s="2" t="n"/>
      <c r="G497" s="56"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56" t="n"/>
      <c r="F498" s="2" t="n"/>
      <c r="G498" s="56"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56" t="n"/>
      <c r="F499" s="2" t="n"/>
      <c r="G499" s="56"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56" t="n"/>
      <c r="F500" s="2" t="n"/>
      <c r="G500" s="56"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56" t="n"/>
      <c r="F501" s="2" t="n"/>
      <c r="G501" s="56"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56" t="n"/>
      <c r="F502" s="2" t="n"/>
      <c r="G502" s="56"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56" t="n"/>
      <c r="F503" s="2" t="n"/>
      <c r="G503" s="56"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56" t="n"/>
      <c r="F504" s="2" t="n"/>
      <c r="G504" s="56"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56" t="n"/>
      <c r="F505" s="2" t="n"/>
      <c r="G505" s="56"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56" t="n"/>
      <c r="F506" s="2" t="n"/>
      <c r="G506" s="56"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56" t="n"/>
      <c r="F507" s="2" t="n"/>
      <c r="G507" s="56"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56" t="n"/>
      <c r="F508" s="2" t="n"/>
      <c r="G508" s="56"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56" t="n"/>
      <c r="F509" s="2" t="n"/>
      <c r="G509" s="56"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56" t="n"/>
      <c r="F510" s="2" t="n"/>
      <c r="G510" s="56"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56" t="n"/>
      <c r="F511" s="2" t="n"/>
      <c r="G511" s="56"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56" t="n"/>
      <c r="F512" s="2" t="n"/>
      <c r="G512" s="56"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56" t="n"/>
      <c r="F513" s="2" t="n"/>
      <c r="G513" s="56"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56" t="n"/>
      <c r="F514" s="2" t="n"/>
      <c r="G514" s="56"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56" t="n"/>
      <c r="F515" s="2" t="n"/>
      <c r="G515" s="56"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56" t="n"/>
      <c r="F516" s="2" t="n"/>
      <c r="G516" s="56"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56" t="n"/>
      <c r="F517" s="2" t="n"/>
      <c r="G517" s="56"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56" t="n"/>
      <c r="F518" s="2" t="n"/>
      <c r="G518" s="56"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56" t="n"/>
      <c r="F519" s="2" t="n"/>
      <c r="G519" s="56"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56" t="n"/>
      <c r="F520" s="2" t="n"/>
      <c r="G520" s="56"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56" t="n"/>
      <c r="F521" s="2" t="n"/>
      <c r="G521" s="56"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56" t="n"/>
      <c r="F522" s="2" t="n"/>
      <c r="G522" s="56"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56" t="n"/>
      <c r="F523" s="2" t="n"/>
      <c r="G523" s="56"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56" t="n"/>
      <c r="F524" s="2" t="n"/>
      <c r="G524" s="56"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56" t="n"/>
      <c r="F525" s="2" t="n"/>
      <c r="G525" s="56"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56" t="n"/>
      <c r="F526" s="2" t="n"/>
      <c r="G526" s="56"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56" t="n"/>
      <c r="F527" s="2" t="n"/>
      <c r="G527" s="56"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56" t="n"/>
      <c r="F528" s="2" t="n"/>
      <c r="G528" s="56"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56" t="n"/>
      <c r="F529" s="2" t="n"/>
      <c r="G529" s="56"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56" t="n"/>
      <c r="F530" s="2" t="n"/>
      <c r="G530" s="56"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56" t="n"/>
      <c r="F531" s="2" t="n"/>
      <c r="G531" s="56"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56" t="n"/>
      <c r="F532" s="2" t="n"/>
      <c r="G532" s="56"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56" t="n"/>
      <c r="F533" s="2" t="n"/>
      <c r="G533" s="56"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56" t="n"/>
      <c r="F534" s="2" t="n"/>
      <c r="G534" s="56"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56" t="n"/>
      <c r="F535" s="2" t="n"/>
      <c r="G535" s="56"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56" t="n"/>
      <c r="F536" s="2" t="n"/>
      <c r="G536" s="56"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56" t="n"/>
      <c r="F537" s="2" t="n"/>
      <c r="G537" s="56"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56" t="n"/>
      <c r="F538" s="2" t="n"/>
      <c r="G538" s="56"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56" t="n"/>
      <c r="F539" s="2" t="n"/>
      <c r="G539" s="56"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56" t="n"/>
      <c r="F540" s="2" t="n"/>
      <c r="G540" s="56"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56" t="n"/>
      <c r="F541" s="2" t="n"/>
      <c r="G541" s="56"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56" t="n"/>
      <c r="F542" s="2" t="n"/>
      <c r="G542" s="56"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56" t="n"/>
      <c r="F543" s="2" t="n"/>
      <c r="G543" s="56"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56" t="n"/>
      <c r="F544" s="2" t="n"/>
      <c r="G544" s="56"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56" t="n"/>
      <c r="F545" s="2" t="n"/>
      <c r="G545" s="56"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56" t="n"/>
      <c r="F546" s="2" t="n"/>
      <c r="G546" s="56"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56" t="n"/>
      <c r="F547" s="2" t="n"/>
      <c r="G547" s="56"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56" t="n"/>
      <c r="F548" s="2" t="n"/>
      <c r="G548" s="56"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56" t="n"/>
      <c r="F549" s="2" t="n"/>
      <c r="G549" s="56"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56" t="n"/>
      <c r="F550" s="2" t="n"/>
      <c r="G550" s="56"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56" t="n"/>
      <c r="F551" s="2" t="n"/>
      <c r="G551" s="56"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56" t="n"/>
      <c r="F552" s="2" t="n"/>
      <c r="G552" s="56"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56" t="n"/>
      <c r="F553" s="2" t="n"/>
      <c r="G553" s="56"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56" t="n"/>
      <c r="F554" s="2" t="n"/>
      <c r="G554" s="56"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56" t="n"/>
      <c r="F555" s="2" t="n"/>
      <c r="G555" s="56"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56" t="n"/>
      <c r="F556" s="2" t="n"/>
      <c r="G556" s="56"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56" t="n"/>
      <c r="F557" s="2" t="n"/>
      <c r="G557" s="56"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56" t="n"/>
      <c r="F558" s="2" t="n"/>
      <c r="G558" s="56"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56" t="n"/>
      <c r="F559" s="2" t="n"/>
      <c r="G559" s="56"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56" t="n"/>
      <c r="F560" s="2" t="n"/>
      <c r="G560" s="56"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56" t="n"/>
      <c r="F561" s="2" t="n"/>
      <c r="G561" s="56"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56" t="n"/>
      <c r="F562" s="2" t="n"/>
      <c r="G562" s="56"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56" t="n"/>
      <c r="F563" s="2" t="n"/>
      <c r="G563" s="56"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56" t="n"/>
      <c r="F564" s="2" t="n"/>
      <c r="G564" s="56"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56" t="n"/>
      <c r="F565" s="2" t="n"/>
      <c r="G565" s="56"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56" t="n"/>
      <c r="F566" s="2" t="n"/>
      <c r="G566" s="56"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56" t="n"/>
      <c r="F567" s="2" t="n"/>
      <c r="G567" s="56"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56" t="n"/>
      <c r="F568" s="2" t="n"/>
      <c r="G568" s="56"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56" t="n"/>
      <c r="F569" s="2" t="n"/>
      <c r="G569" s="56"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56" t="n"/>
      <c r="F570" s="2" t="n"/>
      <c r="G570" s="56"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56" t="n"/>
      <c r="F571" s="2" t="n"/>
      <c r="G571" s="56"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56" t="n"/>
      <c r="F572" s="2" t="n"/>
      <c r="G572" s="56"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56" t="n"/>
      <c r="F573" s="2" t="n"/>
      <c r="G573" s="56"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56" t="n"/>
      <c r="F574" s="2" t="n"/>
      <c r="G574" s="56"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56" t="n"/>
      <c r="F575" s="2" t="n"/>
      <c r="G575" s="56"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56" t="n"/>
      <c r="F576" s="2" t="n"/>
      <c r="G576" s="56"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56" t="n"/>
      <c r="F577" s="2" t="n"/>
      <c r="G577" s="56"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56" t="n"/>
      <c r="F578" s="2" t="n"/>
      <c r="G578" s="56"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56" t="n"/>
      <c r="F579" s="2" t="n"/>
      <c r="G579" s="56"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56" t="n"/>
      <c r="F580" s="2" t="n"/>
      <c r="G580" s="56"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56" t="n"/>
      <c r="F581" s="2" t="n"/>
      <c r="G581" s="56"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56" t="n"/>
      <c r="F582" s="2" t="n"/>
      <c r="G582" s="56"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56" t="n"/>
      <c r="F583" s="2" t="n"/>
      <c r="G583" s="56"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56" t="n"/>
      <c r="F584" s="2" t="n"/>
      <c r="G584" s="56"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56" t="n"/>
      <c r="F585" s="2" t="n"/>
      <c r="G585" s="56"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56" t="n"/>
      <c r="F586" s="2" t="n"/>
      <c r="G586" s="56"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56" t="n"/>
      <c r="F587" s="2" t="n"/>
      <c r="G587" s="56"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56" t="n"/>
      <c r="F588" s="2" t="n"/>
      <c r="G588" s="56"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56" t="n"/>
      <c r="F589" s="2" t="n"/>
      <c r="G589" s="56"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56" t="n"/>
      <c r="F590" s="2" t="n"/>
      <c r="G590" s="56"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56" t="n"/>
      <c r="F591" s="2" t="n"/>
      <c r="G591" s="56"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56" t="n"/>
      <c r="F592" s="2" t="n"/>
      <c r="G592" s="56"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56" t="n"/>
      <c r="F593" s="2" t="n"/>
      <c r="G593" s="56"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56" t="n"/>
      <c r="F594" s="2" t="n"/>
      <c r="G594" s="56"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56" t="n"/>
      <c r="F595" s="2" t="n"/>
      <c r="G595" s="56"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56" t="n"/>
      <c r="F596" s="2" t="n"/>
      <c r="G596" s="56"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56" t="n"/>
      <c r="F597" s="2" t="n"/>
      <c r="G597" s="56"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56" t="n"/>
      <c r="F598" s="2" t="n"/>
      <c r="G598" s="56"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56" t="n"/>
      <c r="F599" s="2" t="n"/>
      <c r="G599" s="56"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56" t="n"/>
      <c r="F600" s="2" t="n"/>
      <c r="G600" s="56"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56" t="n"/>
      <c r="F601" s="2" t="n"/>
      <c r="G601" s="56"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56" t="n"/>
      <c r="F602" s="2" t="n"/>
      <c r="G602" s="56"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56" t="n"/>
      <c r="F603" s="2" t="n"/>
      <c r="G603" s="56"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56" t="n"/>
      <c r="F604" s="2" t="n"/>
      <c r="G604" s="56"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56" t="n"/>
      <c r="F605" s="2" t="n"/>
      <c r="G605" s="56"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56" t="n"/>
      <c r="F606" s="2" t="n"/>
      <c r="G606" s="56"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56" t="n"/>
      <c r="F607" s="2" t="n"/>
      <c r="G607" s="56"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56" t="n"/>
      <c r="F608" s="2" t="n"/>
      <c r="G608" s="56"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56" t="n"/>
      <c r="F609" s="2" t="n"/>
      <c r="G609" s="56"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56" t="n"/>
      <c r="F610" s="2" t="n"/>
      <c r="G610" s="56"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56" t="n"/>
      <c r="F611" s="2" t="n"/>
      <c r="G611" s="56"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56" t="n"/>
      <c r="F612" s="2" t="n"/>
      <c r="G612" s="56"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56" t="n"/>
      <c r="F613" s="2" t="n"/>
      <c r="G613" s="56"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56" t="n"/>
      <c r="F614" s="2" t="n"/>
      <c r="G614" s="56"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56" t="n"/>
      <c r="F615" s="2" t="n"/>
      <c r="G615" s="56"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56" t="n"/>
      <c r="F616" s="2" t="n"/>
      <c r="G616" s="56"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56" t="n"/>
      <c r="F617" s="2" t="n"/>
      <c r="G617" s="56"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56" t="n"/>
      <c r="F618" s="2" t="n"/>
      <c r="G618" s="56"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56" t="n"/>
      <c r="F619" s="2" t="n"/>
      <c r="G619" s="56"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56" t="n"/>
      <c r="F620" s="2" t="n"/>
      <c r="G620" s="56"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56" t="n"/>
      <c r="F621" s="2" t="n"/>
      <c r="G621" s="56"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56" t="n"/>
      <c r="F622" s="2" t="n"/>
      <c r="G622" s="56"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56" t="n"/>
      <c r="F623" s="2" t="n"/>
      <c r="G623" s="56"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56" t="n"/>
      <c r="F624" s="2" t="n"/>
      <c r="G624" s="56"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56" t="n"/>
      <c r="F625" s="2" t="n"/>
      <c r="G625" s="56"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56" t="n"/>
      <c r="F626" s="2" t="n"/>
      <c r="G626" s="56"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56" t="n"/>
      <c r="F627" s="2" t="n"/>
      <c r="G627" s="56"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56" t="n"/>
      <c r="F628" s="2" t="n"/>
      <c r="G628" s="56"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56" t="n"/>
      <c r="F629" s="2" t="n"/>
      <c r="G629" s="56"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56" t="n"/>
      <c r="F630" s="2" t="n"/>
      <c r="G630" s="56"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56" t="n"/>
      <c r="F631" s="2" t="n"/>
      <c r="G631" s="56"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56" t="n"/>
      <c r="F632" s="2" t="n"/>
      <c r="G632" s="56"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56" t="n"/>
      <c r="F633" s="2" t="n"/>
      <c r="G633" s="56"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56" t="n"/>
      <c r="F634" s="2" t="n"/>
      <c r="G634" s="56"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56" t="n"/>
      <c r="F635" s="2" t="n"/>
      <c r="G635" s="56"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56" t="n"/>
      <c r="F636" s="2" t="n"/>
      <c r="G636" s="56"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56" t="n"/>
      <c r="F637" s="2" t="n"/>
      <c r="G637" s="56"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56" t="n"/>
      <c r="F638" s="2" t="n"/>
      <c r="G638" s="56"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56" t="n"/>
      <c r="F639" s="2" t="n"/>
      <c r="G639" s="56"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56" t="n"/>
      <c r="F640" s="2" t="n"/>
      <c r="G640" s="56"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56" t="n"/>
      <c r="F641" s="2" t="n"/>
      <c r="G641" s="56"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56" t="n"/>
      <c r="F642" s="2" t="n"/>
      <c r="G642" s="56"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56" t="n"/>
      <c r="F643" s="2" t="n"/>
      <c r="G643" s="56"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56" t="n"/>
      <c r="F644" s="2" t="n"/>
      <c r="G644" s="56"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56" t="n"/>
      <c r="F645" s="2" t="n"/>
      <c r="G645" s="56"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56" t="n"/>
      <c r="F646" s="2" t="n"/>
      <c r="G646" s="56"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56" t="n"/>
      <c r="F647" s="2" t="n"/>
      <c r="G647" s="56"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56" t="n"/>
      <c r="F648" s="2" t="n"/>
      <c r="G648" s="56"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56" t="n"/>
      <c r="F649" s="2" t="n"/>
      <c r="G649" s="56"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56" t="n"/>
      <c r="F650" s="2" t="n"/>
      <c r="G650" s="56"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56" t="n"/>
      <c r="F651" s="2" t="n"/>
      <c r="G651" s="56"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56" t="n"/>
      <c r="F652" s="2" t="n"/>
      <c r="G652" s="56"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56" t="n"/>
      <c r="F653" s="2" t="n"/>
      <c r="G653" s="56"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56" t="n"/>
      <c r="F654" s="2" t="n"/>
      <c r="G654" s="56"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56" t="n"/>
      <c r="F655" s="2" t="n"/>
      <c r="G655" s="56"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56" t="n"/>
      <c r="F656" s="2" t="n"/>
      <c r="G656" s="56"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56" t="n"/>
      <c r="F657" s="2" t="n"/>
      <c r="G657" s="56"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56" t="n"/>
      <c r="F658" s="2" t="n"/>
      <c r="G658" s="56"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56" t="n"/>
      <c r="F659" s="2" t="n"/>
      <c r="G659" s="56"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56" t="n"/>
      <c r="F660" s="2" t="n"/>
      <c r="G660" s="56"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56" t="n"/>
      <c r="F661" s="2" t="n"/>
      <c r="G661" s="56"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56" t="n"/>
      <c r="F662" s="2" t="n"/>
      <c r="G662" s="56"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56" t="n"/>
      <c r="F663" s="2" t="n"/>
      <c r="G663" s="56"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56" t="n"/>
      <c r="F664" s="2" t="n"/>
      <c r="G664" s="56"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56" t="n"/>
      <c r="F665" s="2" t="n"/>
      <c r="G665" s="56"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56" t="n"/>
      <c r="F666" s="2" t="n"/>
      <c r="G666" s="56"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56" t="n"/>
      <c r="F667" s="2" t="n"/>
      <c r="G667" s="56"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56" t="n"/>
      <c r="F668" s="2" t="n"/>
      <c r="G668" s="56"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56" t="n"/>
      <c r="F669" s="2" t="n"/>
      <c r="G669" s="56"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56" t="n"/>
      <c r="F670" s="2" t="n"/>
      <c r="G670" s="56"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56" t="n"/>
      <c r="F671" s="2" t="n"/>
      <c r="G671" s="56"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56" t="n"/>
      <c r="F672" s="2" t="n"/>
      <c r="G672" s="56"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56" t="n"/>
      <c r="F673" s="2" t="n"/>
      <c r="G673" s="56"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56" t="n"/>
      <c r="F674" s="2" t="n"/>
      <c r="G674" s="56"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56" t="n"/>
      <c r="F675" s="2" t="n"/>
      <c r="G675" s="56"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56" t="n"/>
      <c r="F676" s="2" t="n"/>
      <c r="G676" s="56"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56" t="n"/>
      <c r="F677" s="2" t="n"/>
      <c r="G677" s="56"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56" t="n"/>
      <c r="F678" s="2" t="n"/>
      <c r="G678" s="56"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56" t="n"/>
      <c r="F679" s="2" t="n"/>
      <c r="G679" s="56"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56" t="n"/>
      <c r="F680" s="2" t="n"/>
      <c r="G680" s="56"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56" t="n"/>
      <c r="F681" s="2" t="n"/>
      <c r="G681" s="56"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56" t="n"/>
      <c r="F682" s="2" t="n"/>
      <c r="G682" s="56"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56" t="n"/>
      <c r="F683" s="2" t="n"/>
      <c r="G683" s="56"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56" t="n"/>
      <c r="F684" s="2" t="n"/>
      <c r="G684" s="56"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56" t="n"/>
      <c r="F685" s="2" t="n"/>
      <c r="G685" s="56"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56" t="n"/>
      <c r="F686" s="2" t="n"/>
      <c r="G686" s="56"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56" t="n"/>
      <c r="F687" s="2" t="n"/>
      <c r="G687" s="56"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56" t="n"/>
      <c r="F688" s="2" t="n"/>
      <c r="G688" s="56"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56" t="n"/>
      <c r="F689" s="2" t="n"/>
      <c r="G689" s="56"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56" t="n"/>
      <c r="F690" s="2" t="n"/>
      <c r="G690" s="56"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56" t="n"/>
      <c r="F691" s="2" t="n"/>
      <c r="G691" s="56"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56" t="n"/>
      <c r="F692" s="2" t="n"/>
      <c r="G692" s="56"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56" t="n"/>
      <c r="F693" s="2" t="n"/>
      <c r="G693" s="56"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56" t="n"/>
      <c r="F694" s="2" t="n"/>
      <c r="G694" s="56"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56" t="n"/>
      <c r="F695" s="2" t="n"/>
      <c r="G695" s="56"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56" t="n"/>
      <c r="F696" s="2" t="n"/>
      <c r="G696" s="56"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56" t="n"/>
      <c r="F697" s="2" t="n"/>
      <c r="G697" s="56"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56" t="n"/>
      <c r="F698" s="2" t="n"/>
      <c r="G698" s="56"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56" t="n"/>
      <c r="F699" s="2" t="n"/>
      <c r="G699" s="56"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56" t="n"/>
      <c r="F700" s="2" t="n"/>
      <c r="G700" s="56"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56" t="n"/>
      <c r="F701" s="2" t="n"/>
      <c r="G701" s="56"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56" t="n"/>
      <c r="F702" s="2" t="n"/>
      <c r="G702" s="56"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56" t="n"/>
      <c r="F703" s="2" t="n"/>
      <c r="G703" s="56"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56" t="n"/>
      <c r="F704" s="2" t="n"/>
      <c r="G704" s="56"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56" t="n"/>
      <c r="F705" s="2" t="n"/>
      <c r="G705" s="56"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56" t="n"/>
      <c r="F706" s="2" t="n"/>
      <c r="G706" s="56"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56" t="n"/>
      <c r="F707" s="2" t="n"/>
      <c r="G707" s="56"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56" t="n"/>
      <c r="F708" s="2" t="n"/>
      <c r="G708" s="56"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56" t="n"/>
      <c r="F709" s="2" t="n"/>
      <c r="G709" s="56"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56" t="n"/>
      <c r="F710" s="2" t="n"/>
      <c r="G710" s="56"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56" t="n"/>
      <c r="F711" s="2" t="n"/>
      <c r="G711" s="56"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56" t="n"/>
      <c r="F712" s="2" t="n"/>
      <c r="G712" s="56"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56" t="n"/>
      <c r="F713" s="2" t="n"/>
      <c r="G713" s="56"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56" t="n"/>
      <c r="F714" s="2" t="n"/>
      <c r="G714" s="56"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56" t="n"/>
      <c r="F715" s="2" t="n"/>
      <c r="G715" s="56"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56" t="n"/>
      <c r="F716" s="2" t="n"/>
      <c r="G716" s="56"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56" t="n"/>
      <c r="F717" s="2" t="n"/>
      <c r="G717" s="56"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56" t="n"/>
      <c r="F718" s="2" t="n"/>
      <c r="G718" s="56"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56" t="n"/>
      <c r="F719" s="2" t="n"/>
      <c r="G719" s="56"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56" t="n"/>
      <c r="F720" s="2" t="n"/>
      <c r="G720" s="56"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56" t="n"/>
      <c r="F721" s="2" t="n"/>
      <c r="G721" s="56"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56" t="n"/>
      <c r="F722" s="2" t="n"/>
      <c r="G722" s="56"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56" t="n"/>
      <c r="F723" s="2" t="n"/>
      <c r="G723" s="56"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56" t="n"/>
      <c r="F724" s="2" t="n"/>
      <c r="G724" s="56"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56" t="n"/>
      <c r="F725" s="2" t="n"/>
      <c r="G725" s="56"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56" t="n"/>
      <c r="F726" s="2" t="n"/>
      <c r="G726" s="56"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56" t="n"/>
      <c r="F727" s="2" t="n"/>
      <c r="G727" s="56"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56" t="n"/>
      <c r="F728" s="2" t="n"/>
      <c r="G728" s="56"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56" t="n"/>
      <c r="F729" s="2" t="n"/>
      <c r="G729" s="56"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56" t="n"/>
      <c r="F730" s="2" t="n"/>
      <c r="G730" s="56"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56" t="n"/>
      <c r="F731" s="2" t="n"/>
      <c r="G731" s="56"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56" t="n"/>
      <c r="F732" s="2" t="n"/>
      <c r="G732" s="56"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56" t="n"/>
      <c r="F733" s="2" t="n"/>
      <c r="G733" s="56"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56" t="n"/>
      <c r="F734" s="2" t="n"/>
      <c r="G734" s="56"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56" t="n"/>
      <c r="F735" s="2" t="n"/>
      <c r="G735" s="56"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56" t="n"/>
      <c r="F736" s="2" t="n"/>
      <c r="G736" s="56"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56" t="n"/>
      <c r="F737" s="2" t="n"/>
      <c r="G737" s="56"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56" t="n"/>
      <c r="F738" s="2" t="n"/>
      <c r="G738" s="56"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56" t="n"/>
      <c r="F739" s="2" t="n"/>
      <c r="G739" s="56"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56" t="n"/>
      <c r="F740" s="2" t="n"/>
      <c r="G740" s="56"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56" t="n"/>
      <c r="F741" s="2" t="n"/>
      <c r="G741" s="56"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56" t="n"/>
      <c r="F742" s="2" t="n"/>
      <c r="G742" s="56"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56" t="n"/>
      <c r="F743" s="2" t="n"/>
      <c r="G743" s="56"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56" t="n"/>
      <c r="F744" s="2" t="n"/>
      <c r="G744" s="56"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56" t="n"/>
      <c r="F745" s="2" t="n"/>
      <c r="G745" s="56"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56" t="n"/>
      <c r="F746" s="2" t="n"/>
      <c r="G746" s="56"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56" t="n"/>
      <c r="F747" s="2" t="n"/>
      <c r="G747" s="56"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56" t="n"/>
      <c r="F748" s="2" t="n"/>
      <c r="G748" s="56"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56" t="n"/>
      <c r="F749" s="2" t="n"/>
      <c r="G749" s="56"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56" t="n"/>
      <c r="F750" s="2" t="n"/>
      <c r="G750" s="56"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56" t="n"/>
      <c r="F751" s="2" t="n"/>
      <c r="G751" s="56"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56" t="n"/>
      <c r="F752" s="2" t="n"/>
      <c r="G752" s="56"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56" t="n"/>
      <c r="F753" s="2" t="n"/>
      <c r="G753" s="56"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56" t="n"/>
      <c r="F754" s="2" t="n"/>
      <c r="G754" s="56"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56" t="n"/>
      <c r="F755" s="2" t="n"/>
      <c r="G755" s="56"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56" t="n"/>
      <c r="F756" s="2" t="n"/>
      <c r="G756" s="56"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56" t="n"/>
      <c r="F757" s="2" t="n"/>
      <c r="G757" s="56"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56" t="n"/>
      <c r="F758" s="2" t="n"/>
      <c r="G758" s="56"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56" t="n"/>
      <c r="F759" s="2" t="n"/>
      <c r="G759" s="56"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56" t="n"/>
      <c r="F760" s="2" t="n"/>
      <c r="G760" s="56"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56" t="n"/>
      <c r="F761" s="2" t="n"/>
      <c r="G761" s="56"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56" t="n"/>
      <c r="F762" s="2" t="n"/>
      <c r="G762" s="56"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56" t="n"/>
      <c r="F763" s="2" t="n"/>
      <c r="G763" s="56"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56" t="n"/>
      <c r="F764" s="2" t="n"/>
      <c r="G764" s="56"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56" t="n"/>
      <c r="F765" s="2" t="n"/>
      <c r="G765" s="56"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56" t="n"/>
      <c r="F766" s="2" t="n"/>
      <c r="G766" s="56"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56" t="n"/>
      <c r="F767" s="2" t="n"/>
      <c r="G767" s="56"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56" t="n"/>
      <c r="F768" s="2" t="n"/>
      <c r="G768" s="56"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56" t="n"/>
      <c r="F769" s="2" t="n"/>
      <c r="G769" s="56"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56" t="n"/>
      <c r="F770" s="2" t="n"/>
      <c r="G770" s="56"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56" t="n"/>
      <c r="F771" s="2" t="n"/>
      <c r="G771" s="56"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56" t="n"/>
      <c r="F772" s="2" t="n"/>
      <c r="G772" s="56"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56" t="n"/>
      <c r="F773" s="2" t="n"/>
      <c r="G773" s="56"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56" t="n"/>
      <c r="F774" s="2" t="n"/>
      <c r="G774" s="56"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56" t="n"/>
      <c r="F775" s="2" t="n"/>
      <c r="G775" s="56"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56" t="n"/>
      <c r="F776" s="2" t="n"/>
      <c r="G776" s="56"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56" t="n"/>
      <c r="F777" s="2" t="n"/>
      <c r="G777" s="56"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56" t="n"/>
      <c r="F778" s="2" t="n"/>
      <c r="G778" s="56"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56" t="n"/>
      <c r="F779" s="2" t="n"/>
      <c r="G779" s="56"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56" t="n"/>
      <c r="F780" s="2" t="n"/>
      <c r="G780" s="56"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56" t="n"/>
      <c r="F781" s="2" t="n"/>
      <c r="G781" s="56"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56" t="n"/>
      <c r="F782" s="2" t="n"/>
      <c r="G782" s="56"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56" t="n"/>
      <c r="F783" s="2" t="n"/>
      <c r="G783" s="56"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56" t="n"/>
      <c r="F784" s="2" t="n"/>
      <c r="G784" s="56"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56" t="n"/>
      <c r="F785" s="2" t="n"/>
      <c r="G785" s="56"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56" t="n"/>
      <c r="F786" s="2" t="n"/>
      <c r="G786" s="56"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56" t="n"/>
      <c r="F787" s="2" t="n"/>
      <c r="G787" s="56"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56" t="n"/>
      <c r="F788" s="2" t="n"/>
      <c r="G788" s="56"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56" t="n"/>
      <c r="F789" s="2" t="n"/>
      <c r="G789" s="56"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56" t="n"/>
      <c r="F790" s="2" t="n"/>
      <c r="G790" s="56"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56" t="n"/>
      <c r="F791" s="2" t="n"/>
      <c r="G791" s="56"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56" t="n"/>
      <c r="F792" s="2" t="n"/>
      <c r="G792" s="56"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56" t="n"/>
      <c r="F793" s="2" t="n"/>
      <c r="G793" s="56"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56" t="n"/>
      <c r="F794" s="2" t="n"/>
      <c r="G794" s="56"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56" t="n"/>
      <c r="F795" s="2" t="n"/>
      <c r="G795" s="56"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56" t="n"/>
      <c r="F796" s="2" t="n"/>
      <c r="G796" s="56"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56" t="n"/>
      <c r="F797" s="2" t="n"/>
      <c r="G797" s="56"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56" t="n"/>
      <c r="F798" s="2" t="n"/>
      <c r="G798" s="56"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56" t="n"/>
      <c r="F799" s="2" t="n"/>
      <c r="G799" s="56"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56" t="n"/>
      <c r="F800" s="2" t="n"/>
      <c r="G800" s="56"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56" t="n"/>
      <c r="F801" s="2" t="n"/>
      <c r="G801" s="56"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56" t="n"/>
      <c r="F802" s="2" t="n"/>
      <c r="G802" s="56"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56" t="n"/>
      <c r="F803" s="2" t="n"/>
      <c r="G803" s="56"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56" t="n"/>
      <c r="F804" s="2" t="n"/>
      <c r="G804" s="56"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56" t="n"/>
      <c r="F805" s="2" t="n"/>
      <c r="G805" s="56"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56" t="n"/>
      <c r="F806" s="2" t="n"/>
      <c r="G806" s="56"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56" t="n"/>
      <c r="F807" s="2" t="n"/>
      <c r="G807" s="56"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56" t="n"/>
      <c r="F808" s="2" t="n"/>
      <c r="G808" s="56"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56" t="n"/>
      <c r="F809" s="2" t="n"/>
      <c r="G809" s="56"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56" t="n"/>
      <c r="F810" s="2" t="n"/>
      <c r="G810" s="56"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56" t="n"/>
      <c r="F811" s="2" t="n"/>
      <c r="G811" s="56"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56" t="n"/>
      <c r="F812" s="2" t="n"/>
      <c r="G812" s="56"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56" t="n"/>
      <c r="F813" s="2" t="n"/>
      <c r="G813" s="56"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56" t="n"/>
      <c r="F814" s="2" t="n"/>
      <c r="G814" s="56"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56" t="n"/>
      <c r="F815" s="2" t="n"/>
      <c r="G815" s="56"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56" t="n"/>
      <c r="F816" s="2" t="n"/>
      <c r="G816" s="56"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56" t="n"/>
      <c r="F817" s="2" t="n"/>
      <c r="G817" s="56"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56" t="n"/>
      <c r="F818" s="2" t="n"/>
      <c r="G818" s="56"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56" t="n"/>
      <c r="F819" s="2" t="n"/>
      <c r="G819" s="56"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56" t="n"/>
      <c r="F820" s="2" t="n"/>
      <c r="G820" s="56"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56" t="n"/>
      <c r="F821" s="2" t="n"/>
      <c r="G821" s="56"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56" t="n"/>
      <c r="F822" s="2" t="n"/>
      <c r="G822" s="56"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56" t="n"/>
      <c r="F823" s="2" t="n"/>
      <c r="G823" s="56"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56" t="n"/>
      <c r="F824" s="2" t="n"/>
      <c r="G824" s="56"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56" t="n"/>
      <c r="F825" s="2" t="n"/>
      <c r="G825" s="56"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56" t="n"/>
      <c r="F826" s="2" t="n"/>
      <c r="G826" s="56"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56" t="n"/>
      <c r="F827" s="2" t="n"/>
      <c r="G827" s="56"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56" t="n"/>
      <c r="F828" s="2" t="n"/>
      <c r="G828" s="56"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56" t="n"/>
      <c r="F829" s="2" t="n"/>
      <c r="G829" s="56"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56" t="n"/>
      <c r="F830" s="2" t="n"/>
      <c r="G830" s="56"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56" t="n"/>
      <c r="F831" s="2" t="n"/>
      <c r="G831" s="56"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56" t="n"/>
      <c r="F832" s="2" t="n"/>
      <c r="G832" s="56"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56" t="n"/>
      <c r="F833" s="2" t="n"/>
      <c r="G833" s="56"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56" t="n"/>
      <c r="F834" s="2" t="n"/>
      <c r="G834" s="56"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56" t="n"/>
      <c r="F835" s="2" t="n"/>
      <c r="G835" s="56"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56" t="n"/>
      <c r="F836" s="2" t="n"/>
      <c r="G836" s="56"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56" t="n"/>
      <c r="F837" s="2" t="n"/>
      <c r="G837" s="56"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56" t="n"/>
      <c r="F838" s="2" t="n"/>
      <c r="G838" s="56"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56" t="n"/>
      <c r="F839" s="2" t="n"/>
      <c r="G839" s="56"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56" t="n"/>
      <c r="F840" s="2" t="n"/>
      <c r="G840" s="56"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56" t="n"/>
      <c r="F841" s="2" t="n"/>
      <c r="G841" s="56"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56" t="n"/>
      <c r="F842" s="2" t="n"/>
      <c r="G842" s="56"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56" t="n"/>
      <c r="F843" s="2" t="n"/>
      <c r="G843" s="56"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56" t="n"/>
      <c r="F844" s="2" t="n"/>
      <c r="G844" s="56"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56" t="n"/>
      <c r="F845" s="2" t="n"/>
      <c r="G845" s="56"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56" t="n"/>
      <c r="F846" s="2" t="n"/>
      <c r="G846" s="56"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56" t="n"/>
      <c r="F847" s="2" t="n"/>
      <c r="G847" s="56"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56" t="n"/>
      <c r="F848" s="2" t="n"/>
      <c r="G848" s="56"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56" t="n"/>
      <c r="F849" s="2" t="n"/>
      <c r="G849" s="56"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56" t="n"/>
      <c r="F850" s="2" t="n"/>
      <c r="G850" s="56"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56" t="n"/>
      <c r="F851" s="2" t="n"/>
      <c r="G851" s="56"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56" t="n"/>
      <c r="F852" s="2" t="n"/>
      <c r="G852" s="56"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56" t="n"/>
      <c r="F853" s="2" t="n"/>
      <c r="G853" s="56"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56" t="n"/>
      <c r="F854" s="2" t="n"/>
      <c r="G854" s="56"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56" t="n"/>
      <c r="F855" s="2" t="n"/>
      <c r="G855" s="56"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56" t="n"/>
      <c r="F856" s="2" t="n"/>
      <c r="G856" s="56"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56" t="n"/>
      <c r="F857" s="2" t="n"/>
      <c r="G857" s="56"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56" t="n"/>
      <c r="F858" s="2" t="n"/>
      <c r="G858" s="56"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56" t="n"/>
      <c r="F859" s="2" t="n"/>
      <c r="G859" s="56"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56" t="n"/>
      <c r="F860" s="2" t="n"/>
      <c r="G860" s="56"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56" t="n"/>
      <c r="F861" s="2" t="n"/>
      <c r="G861" s="56"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56" t="n"/>
      <c r="F862" s="2" t="n"/>
      <c r="G862" s="56"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56" t="n"/>
      <c r="F863" s="2" t="n"/>
      <c r="G863" s="56"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56" t="n"/>
      <c r="F864" s="2" t="n"/>
      <c r="G864" s="56"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56" t="n"/>
      <c r="F865" s="2" t="n"/>
      <c r="G865" s="56"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56" t="n"/>
      <c r="F866" s="2" t="n"/>
      <c r="G866" s="56"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56" t="n"/>
      <c r="F867" s="2" t="n"/>
      <c r="G867" s="56"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56" t="n"/>
      <c r="F868" s="2" t="n"/>
      <c r="G868" s="56"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56" t="n"/>
      <c r="F869" s="2" t="n"/>
      <c r="G869" s="56"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56" t="n"/>
      <c r="F870" s="2" t="n"/>
      <c r="G870" s="56"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56" t="n"/>
      <c r="F871" s="2" t="n"/>
      <c r="G871" s="56"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56" t="n"/>
      <c r="F872" s="2" t="n"/>
      <c r="G872" s="56"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56" t="n"/>
      <c r="F873" s="2" t="n"/>
      <c r="G873" s="56"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56" t="n"/>
      <c r="F874" s="2" t="n"/>
      <c r="G874" s="56"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56" t="n"/>
      <c r="F875" s="2" t="n"/>
      <c r="G875" s="56"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56" t="n"/>
      <c r="F876" s="2" t="n"/>
      <c r="G876" s="56"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56" t="n"/>
      <c r="F877" s="2" t="n"/>
      <c r="G877" s="56"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56" t="n"/>
      <c r="F878" s="2" t="n"/>
      <c r="G878" s="56"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56" t="n"/>
      <c r="F879" s="2" t="n"/>
      <c r="G879" s="56"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56" t="n"/>
      <c r="F880" s="2" t="n"/>
      <c r="G880" s="56"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56" t="n"/>
      <c r="F881" s="2" t="n"/>
      <c r="G881" s="56"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56" t="n"/>
      <c r="F882" s="2" t="n"/>
      <c r="G882" s="56"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56" t="n"/>
      <c r="F883" s="2" t="n"/>
      <c r="G883" s="56"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56" t="n"/>
      <c r="F884" s="2" t="n"/>
      <c r="G884" s="56"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56" t="n"/>
      <c r="F885" s="2" t="n"/>
      <c r="G885" s="56"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56" t="n"/>
      <c r="F886" s="2" t="n"/>
      <c r="G886" s="56"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56" t="n"/>
      <c r="F887" s="2" t="n"/>
      <c r="G887" s="56"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56" t="n"/>
      <c r="F888" s="2" t="n"/>
      <c r="G888" s="56"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56" t="n"/>
      <c r="F889" s="2" t="n"/>
      <c r="G889" s="56"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56" t="n"/>
      <c r="F890" s="2" t="n"/>
      <c r="G890" s="56"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56" t="n"/>
      <c r="F891" s="2" t="n"/>
      <c r="G891" s="56"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56" t="n"/>
      <c r="F892" s="2" t="n"/>
      <c r="G892" s="56"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56" t="n"/>
      <c r="F893" s="2" t="n"/>
      <c r="G893" s="56"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56" t="n"/>
      <c r="F894" s="2" t="n"/>
      <c r="G894" s="56"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56" t="n"/>
      <c r="F895" s="2" t="n"/>
      <c r="G895" s="56"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56" t="n"/>
      <c r="F896" s="2" t="n"/>
      <c r="G896" s="56"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56" t="n"/>
      <c r="F897" s="2" t="n"/>
      <c r="G897" s="56"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56" t="n"/>
      <c r="F898" s="2" t="n"/>
      <c r="G898" s="56"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56" t="n"/>
      <c r="F899" s="2" t="n"/>
      <c r="G899" s="56"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56" t="n"/>
      <c r="F900" s="2" t="n"/>
      <c r="G900" s="56"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56" t="n"/>
      <c r="F901" s="2" t="n"/>
      <c r="G901" s="56"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56" t="n"/>
      <c r="F902" s="2" t="n"/>
      <c r="G902" s="56"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56" t="n"/>
      <c r="F903" s="2" t="n"/>
      <c r="G903" s="56"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56" t="n"/>
      <c r="F904" s="2" t="n"/>
      <c r="G904" s="56"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56" t="n"/>
      <c r="F905" s="2" t="n"/>
      <c r="G905" s="56"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56" t="n"/>
      <c r="F906" s="2" t="n"/>
      <c r="G906" s="56"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56" t="n"/>
      <c r="F907" s="2" t="n"/>
      <c r="G907" s="56"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56" t="n"/>
      <c r="F908" s="2" t="n"/>
      <c r="G908" s="56"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56" t="n"/>
      <c r="F909" s="2" t="n"/>
      <c r="G909" s="56"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56" t="n"/>
      <c r="F910" s="2" t="n"/>
      <c r="G910" s="56"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56" t="n"/>
      <c r="F911" s="2" t="n"/>
      <c r="G911" s="56"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56" t="n"/>
      <c r="F912" s="2" t="n"/>
      <c r="G912" s="56"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56" t="n"/>
      <c r="F913" s="2" t="n"/>
      <c r="G913" s="56"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56" t="n"/>
      <c r="F914" s="2" t="n"/>
      <c r="G914" s="56"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56" t="n"/>
      <c r="F915" s="2" t="n"/>
      <c r="G915" s="56"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56" t="n"/>
      <c r="F916" s="2" t="n"/>
      <c r="G916" s="56"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56" t="n"/>
      <c r="F917" s="2" t="n"/>
      <c r="G917" s="56"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56" t="n"/>
      <c r="F918" s="2" t="n"/>
      <c r="G918" s="56"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56" t="n"/>
      <c r="F919" s="2" t="n"/>
      <c r="G919" s="56"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56" t="n"/>
      <c r="F920" s="2" t="n"/>
      <c r="G920" s="56"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56" t="n"/>
      <c r="F921" s="2" t="n"/>
      <c r="G921" s="56"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56" t="n"/>
      <c r="F922" s="2" t="n"/>
      <c r="G922" s="56"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56" t="n"/>
      <c r="F923" s="2" t="n"/>
      <c r="G923" s="56"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56" t="n"/>
      <c r="F924" s="2" t="n"/>
      <c r="G924" s="56"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56" t="n"/>
      <c r="F925" s="2" t="n"/>
      <c r="G925" s="56"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56" t="n"/>
      <c r="F926" s="2" t="n"/>
      <c r="G926" s="56"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56" t="n"/>
      <c r="F927" s="2" t="n"/>
      <c r="G927" s="56"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56" t="n"/>
      <c r="F928" s="2" t="n"/>
      <c r="G928" s="56"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56" t="n"/>
      <c r="F929" s="2" t="n"/>
      <c r="G929" s="56"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56" t="n"/>
      <c r="F930" s="2" t="n"/>
      <c r="G930" s="56"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56" t="n"/>
      <c r="F931" s="2" t="n"/>
      <c r="G931" s="56"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56" t="n"/>
      <c r="F932" s="2" t="n"/>
      <c r="G932" s="56"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56" t="n"/>
      <c r="F933" s="2" t="n"/>
      <c r="G933" s="56"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56" t="n"/>
      <c r="F934" s="2" t="n"/>
      <c r="G934" s="56"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56" t="n"/>
      <c r="F935" s="2" t="n"/>
      <c r="G935" s="56"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56" t="n"/>
      <c r="F936" s="2" t="n"/>
      <c r="G936" s="56"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56" t="n"/>
      <c r="F937" s="2" t="n"/>
      <c r="G937" s="56"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56" t="n"/>
      <c r="F938" s="2" t="n"/>
      <c r="G938" s="56"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56" t="n"/>
      <c r="F939" s="2" t="n"/>
      <c r="G939" s="56"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56" t="n"/>
      <c r="F940" s="2" t="n"/>
      <c r="G940" s="56"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56" t="n"/>
      <c r="F941" s="2" t="n"/>
      <c r="G941" s="56"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56" t="n"/>
      <c r="F942" s="2" t="n"/>
      <c r="G942" s="56"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56" t="n"/>
      <c r="F943" s="2" t="n"/>
      <c r="G943" s="56"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56" t="n"/>
      <c r="F944" s="2" t="n"/>
      <c r="G944" s="56"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56" t="n"/>
      <c r="F945" s="2" t="n"/>
      <c r="G945" s="56"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56" t="n"/>
      <c r="F946" s="2" t="n"/>
      <c r="G946" s="56"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56" t="n"/>
      <c r="F947" s="2" t="n"/>
      <c r="G947" s="56"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56" t="n"/>
      <c r="F948" s="2" t="n"/>
      <c r="G948" s="56"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56" t="n"/>
      <c r="F949" s="2" t="n"/>
      <c r="G949" s="56"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56" t="n"/>
      <c r="F950" s="2" t="n"/>
      <c r="G950" s="56"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56" t="n"/>
      <c r="F951" s="2" t="n"/>
      <c r="G951" s="56"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56" t="n"/>
      <c r="F952" s="2" t="n"/>
      <c r="G952" s="56"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56" t="n"/>
      <c r="F953" s="2" t="n"/>
      <c r="G953" s="56"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56" t="n"/>
      <c r="F954" s="2" t="n"/>
      <c r="G954" s="56"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56" t="n"/>
      <c r="F955" s="2" t="n"/>
      <c r="G955" s="56"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56" t="n"/>
      <c r="F956" s="2" t="n"/>
      <c r="G956" s="56"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56" t="n"/>
      <c r="F957" s="2" t="n"/>
      <c r="G957" s="56"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56" t="n"/>
      <c r="F958" s="2" t="n"/>
      <c r="G958" s="56"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56" t="n"/>
      <c r="F959" s="2" t="n"/>
      <c r="G959" s="56"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56" t="n"/>
      <c r="F960" s="2" t="n"/>
      <c r="G960" s="56"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56" t="n"/>
      <c r="F961" s="2" t="n"/>
      <c r="G961" s="56"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56" t="n"/>
      <c r="F962" s="2" t="n"/>
      <c r="G962" s="56"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56" t="n"/>
      <c r="F963" s="2" t="n"/>
      <c r="G963" s="56"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56" t="n"/>
      <c r="F964" s="2" t="n"/>
      <c r="G964" s="56"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56" t="n"/>
      <c r="F965" s="2" t="n"/>
      <c r="G965" s="56"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56" t="n"/>
      <c r="F966" s="2" t="n"/>
      <c r="G966" s="56"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56" t="n"/>
      <c r="F967" s="2" t="n"/>
      <c r="G967" s="56"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56" t="n"/>
      <c r="F968" s="2" t="n"/>
      <c r="G968" s="56"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56" t="n"/>
      <c r="F969" s="2" t="n"/>
      <c r="G969" s="56"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56" t="n"/>
      <c r="F970" s="2" t="n"/>
      <c r="G970" s="56"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56" t="n"/>
      <c r="F971" s="2" t="n"/>
      <c r="G971" s="56"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56" t="n"/>
      <c r="F972" s="2" t="n"/>
      <c r="G972" s="56"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56" t="n"/>
      <c r="F973" s="2" t="n"/>
      <c r="G973" s="56"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56" t="n"/>
      <c r="F974" s="2" t="n"/>
      <c r="G974" s="56"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56" t="n"/>
      <c r="F975" s="2" t="n"/>
      <c r="G975" s="56"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56" t="n"/>
      <c r="F976" s="2" t="n"/>
      <c r="G976" s="56"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56" t="n"/>
      <c r="F977" s="2" t="n"/>
      <c r="G977" s="56"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56" t="n"/>
      <c r="F978" s="2" t="n"/>
      <c r="G978" s="56"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56" t="n"/>
      <c r="F979" s="2" t="n"/>
      <c r="G979" s="56"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56" t="n"/>
      <c r="F980" s="2" t="n"/>
      <c r="G980" s="56"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56" t="n"/>
      <c r="F981" s="2" t="n"/>
      <c r="G981" s="56"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56" t="n"/>
      <c r="F982" s="2" t="n"/>
      <c r="G982" s="56"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56" t="n"/>
      <c r="F983" s="2" t="n"/>
      <c r="G983" s="56"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56" t="n"/>
      <c r="F984" s="2" t="n"/>
      <c r="G984" s="56"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56" t="n"/>
      <c r="F985" s="2" t="n"/>
      <c r="G985" s="56"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56" t="n"/>
      <c r="F986" s="2" t="n"/>
      <c r="G986" s="56"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56" t="n"/>
      <c r="F987" s="2" t="n"/>
      <c r="G987" s="56"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56" t="n"/>
      <c r="F988" s="2" t="n"/>
      <c r="G988" s="56"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56" t="n"/>
      <c r="F989" s="2" t="n"/>
      <c r="G989" s="56"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56" t="n"/>
      <c r="F990" s="2" t="n"/>
      <c r="G990" s="56"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56" t="n"/>
      <c r="F991" s="2" t="n"/>
      <c r="G991" s="56"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56" t="n"/>
      <c r="F992" s="2" t="n"/>
      <c r="G992" s="56"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56" t="n"/>
      <c r="F993" s="2" t="n"/>
      <c r="G993" s="56"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56" t="n"/>
      <c r="F994" s="2" t="n"/>
      <c r="G994" s="56"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56" t="n"/>
      <c r="F995" s="2" t="n"/>
      <c r="G995" s="56"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56" t="n"/>
      <c r="F996" s="2" t="n"/>
      <c r="G996" s="56"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56" t="n"/>
      <c r="F997" s="2" t="n"/>
      <c r="G997" s="56"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56" t="n"/>
      <c r="F998" s="2" t="n"/>
      <c r="G998" s="56"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56" t="n"/>
      <c r="F999" s="2" t="n"/>
      <c r="G999" s="56"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56" t="n"/>
      <c r="F1000" s="2" t="n"/>
      <c r="G1000" s="56"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Z1000"/>
  <pageMargins left="0.75" right="0.75" top="1" bottom="1" header="0" footer="0"/>
  <pageSetup orientation="landscape"/>
</worksheet>
</file>

<file path=xl/worksheets/sheet9.xml><?xml version="1.0" encoding="utf-8"?>
<worksheet xmlns="http://schemas.openxmlformats.org/spreadsheetml/2006/main">
  <sheetPr>
    <tabColor rgb="008A8578"/>
    <outlinePr summaryBelow="1" summaryRight="1"/>
    <pageSetUpPr/>
  </sheetPr>
  <dimension ref="A1:Z1004"/>
  <sheetViews>
    <sheetView workbookViewId="0">
      <pane ySplit="1" topLeftCell="A2" activePane="bottomLeft" state="frozen"/>
      <selection pane="bottomLeft" activeCell="B3" sqref="B3"/>
    </sheetView>
  </sheetViews>
  <sheetFormatPr baseColWidth="8" defaultColWidth="14.43" defaultRowHeight="15" customHeight="1"/>
  <cols>
    <col width="42" customWidth="1" style="42" min="1" max="1"/>
    <col width="16" customWidth="1" style="42" min="2" max="2"/>
    <col width="18" customWidth="1" style="42" min="3" max="3"/>
    <col width="42" customWidth="1" style="42" min="4" max="4"/>
    <col width="45" customWidth="1" style="42" min="5" max="5"/>
    <col width="8.57" customWidth="1" style="42" min="6" max="6"/>
  </cols>
  <sheetData>
    <row r="1" ht="30" customHeight="1" s="42">
      <c r="A1" s="52" t="inlineStr">
        <is>
          <t>Idea</t>
        </is>
      </c>
      <c r="B1" s="52" t="inlineStr">
        <is>
          <t>Format</t>
        </is>
      </c>
      <c r="C1" s="52" t="inlineStr">
        <is>
          <t>Pillar</t>
        </is>
      </c>
      <c r="D1" s="52" t="inlineStr">
        <is>
          <t>Hook</t>
        </is>
      </c>
      <c r="E1" s="52" t="inlineStr">
        <is>
          <t>Notes</t>
        </is>
      </c>
      <c r="F1" s="58" t="n"/>
      <c r="G1" s="58" t="n"/>
      <c r="H1" s="58" t="n"/>
      <c r="I1" s="58" t="n"/>
      <c r="J1" s="58" t="n"/>
      <c r="K1" s="58" t="n"/>
      <c r="L1" s="58" t="n"/>
      <c r="M1" s="58" t="n"/>
      <c r="N1" s="58" t="n"/>
      <c r="O1" s="58" t="n"/>
      <c r="P1" s="58" t="n"/>
      <c r="Q1" s="58" t="n"/>
      <c r="R1" s="58" t="n"/>
      <c r="S1" s="58" t="n"/>
      <c r="T1" s="58" t="n"/>
      <c r="U1" s="58" t="n"/>
      <c r="V1" s="58" t="n"/>
      <c r="W1" s="58" t="n"/>
      <c r="X1" s="58" t="n"/>
      <c r="Y1" s="58" t="n"/>
      <c r="Z1" s="58" t="n"/>
    </row>
    <row r="2" ht="15" customHeight="1" s="42">
      <c r="A2" s="29" t="inlineStr">
        <is>
          <t>Price transparency: what it actually costs</t>
        </is>
      </c>
      <c r="B2" s="29" t="inlineStr">
        <is>
          <t>Carousel</t>
        </is>
      </c>
      <c r="C2" s="29" t="inlineStr">
        <is>
          <t>Trust &amp; Proof</t>
        </is>
      </c>
      <c r="D2" s="29" t="inlineStr">
        <is>
          <t>Let's talk prices. For real.</t>
        </is>
      </c>
      <c r="E2" s="29" t="inlineStr">
        <is>
          <t>From playbook. Strong differentiator, almost nobody does it</t>
        </is>
      </c>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42">
      <c r="A3" s="29" t="inlineStr">
        <is>
          <t>Progress series: 3 sessions, one client</t>
        </is>
      </c>
      <c r="B3" s="29" t="inlineStr">
        <is>
          <t>Carousel</t>
        </is>
      </c>
      <c r="C3" s="29" t="inlineStr">
        <is>
          <t>Trust &amp; Proof</t>
        </is>
      </c>
      <c r="D3" s="29" t="inlineStr">
        <is>
          <t>3 sessions. Watch what happened.</t>
        </is>
      </c>
      <c r="E3" s="29" t="inlineStr">
        <is>
          <t>Needs client consent and photos over time</t>
        </is>
      </c>
      <c r="F3" s="2" t="n"/>
      <c r="G3" s="2" t="n"/>
      <c r="H3" s="2" t="n"/>
      <c r="I3" s="2" t="n"/>
      <c r="J3" s="2" t="n"/>
      <c r="K3" s="2" t="n"/>
      <c r="L3" s="2" t="n"/>
      <c r="M3" s="2" t="n"/>
      <c r="N3" s="2" t="n"/>
      <c r="O3" s="2" t="n"/>
      <c r="P3" s="2" t="n"/>
      <c r="Q3" s="2" t="n"/>
      <c r="R3" s="2" t="n"/>
      <c r="S3" s="2" t="n"/>
      <c r="T3" s="2" t="n"/>
      <c r="U3" s="2" t="n"/>
      <c r="V3" s="2" t="n"/>
      <c r="W3" s="2" t="n"/>
      <c r="X3" s="2" t="n"/>
      <c r="Y3" s="2" t="n"/>
      <c r="Z3" s="2" t="n"/>
    </row>
    <row r="4" ht="15" customHeight="1" s="42">
      <c r="A4" s="29" t="inlineStr">
        <is>
          <t>Under-eye filler: the honest truth</t>
        </is>
      </c>
      <c r="B4" s="29" t="inlineStr">
        <is>
          <t>Carousel</t>
        </is>
      </c>
      <c r="C4" s="29" t="inlineStr">
        <is>
          <t>Education</t>
        </is>
      </c>
      <c r="D4" s="29" t="inlineStr">
        <is>
          <t>The most requested, most misunderstood treatment.</t>
        </is>
      </c>
      <c r="E4" s="29" t="inlineStr">
        <is>
          <t>Scheduled Nov 9</t>
        </is>
      </c>
      <c r="F4" s="2" t="n"/>
      <c r="G4" s="2" t="n"/>
      <c r="H4" s="2" t="n"/>
      <c r="I4" s="2" t="n"/>
      <c r="J4" s="2" t="n"/>
      <c r="K4" s="2" t="n"/>
      <c r="L4" s="2" t="n"/>
      <c r="M4" s="2" t="n"/>
      <c r="N4" s="2" t="n"/>
      <c r="O4" s="2" t="n"/>
      <c r="P4" s="2" t="n"/>
      <c r="Q4" s="2" t="n"/>
      <c r="R4" s="2" t="n"/>
      <c r="S4" s="2" t="n"/>
      <c r="T4" s="2" t="n"/>
      <c r="U4" s="2" t="n"/>
      <c r="V4" s="2" t="n"/>
      <c r="W4" s="2" t="n"/>
      <c r="X4" s="2" t="n"/>
      <c r="Y4" s="2" t="n"/>
      <c r="Z4" s="2" t="n"/>
    </row>
    <row r="5" ht="15" customHeight="1" s="42">
      <c r="A5" s="29" t="inlineStr">
        <is>
          <t>Men and Botox: the fastest growing clients</t>
        </is>
      </c>
      <c r="B5" s="29" t="inlineStr">
        <is>
          <t>Carousel</t>
        </is>
      </c>
      <c r="C5" s="29" t="inlineStr">
        <is>
          <t>Education</t>
        </is>
      </c>
      <c r="D5" s="29" t="inlineStr">
        <is>
          <t>Brotox is not a trend. It is a Tuesday.</t>
        </is>
      </c>
      <c r="E5" s="29" t="inlineStr">
        <is>
          <t>Scheduled Oct 26</t>
        </is>
      </c>
      <c r="F5" s="2" t="n"/>
      <c r="G5" s="2" t="n"/>
      <c r="H5" s="2" t="n"/>
      <c r="I5" s="2" t="n"/>
      <c r="J5" s="2" t="n"/>
      <c r="K5" s="2" t="n"/>
      <c r="L5" s="2" t="n"/>
      <c r="M5" s="2" t="n"/>
      <c r="N5" s="2" t="n"/>
      <c r="O5" s="2" t="n"/>
      <c r="P5" s="2" t="n"/>
      <c r="Q5" s="2" t="n"/>
      <c r="R5" s="2" t="n"/>
      <c r="S5" s="2" t="n"/>
      <c r="T5" s="2" t="n"/>
      <c r="U5" s="2" t="n"/>
      <c r="V5" s="2" t="n"/>
      <c r="W5" s="2" t="n"/>
      <c r="X5" s="2" t="n"/>
      <c r="Y5" s="2" t="n"/>
      <c r="Z5" s="2" t="n"/>
    </row>
    <row r="6" ht="15" customHeight="1" s="42">
      <c r="A6" s="29" t="inlineStr">
        <is>
          <t>What filters did to beauty standards</t>
        </is>
      </c>
      <c r="B6" s="29" t="inlineStr">
        <is>
          <t>Carousel</t>
        </is>
      </c>
      <c r="C6" s="29" t="inlineStr">
        <is>
          <t>Trust &amp; Proof</t>
        </is>
      </c>
      <c r="D6" s="29" t="inlineStr">
        <is>
          <t>Your face is not supposed to look like a filter.</t>
        </is>
      </c>
      <c r="E6" s="29" t="inlineStr">
        <is>
          <t>Emotional, highly shareable</t>
        </is>
      </c>
      <c r="F6" s="2" t="n"/>
      <c r="G6" s="2" t="n"/>
      <c r="H6" s="2" t="n"/>
      <c r="I6" s="2" t="n"/>
      <c r="J6" s="2" t="n"/>
      <c r="K6" s="2" t="n"/>
      <c r="L6" s="2" t="n"/>
      <c r="M6" s="2" t="n"/>
      <c r="N6" s="2" t="n"/>
      <c r="O6" s="2" t="n"/>
      <c r="P6" s="2" t="n"/>
      <c r="Q6" s="2" t="n"/>
      <c r="R6" s="2" t="n"/>
      <c r="S6" s="2" t="n"/>
      <c r="T6" s="2" t="n"/>
      <c r="U6" s="2" t="n"/>
      <c r="V6" s="2" t="n"/>
      <c r="W6" s="2" t="n"/>
      <c r="X6" s="2" t="n"/>
      <c r="Y6" s="2" t="n"/>
      <c r="Z6" s="2" t="n"/>
    </row>
    <row r="7" ht="15" customHeight="1" s="42">
      <c r="A7" s="29" t="inlineStr">
        <is>
          <t>Skincare before injectables: the right order</t>
        </is>
      </c>
      <c r="B7" s="29" t="inlineStr">
        <is>
          <t>Carousel</t>
        </is>
      </c>
      <c r="C7" s="29" t="inlineStr">
        <is>
          <t>Education</t>
        </is>
      </c>
      <c r="D7" s="29" t="inlineStr">
        <is>
          <t>Do this before you spend a dollar on filler.</t>
        </is>
      </c>
      <c r="E7" s="29" t="inlineStr">
        <is>
          <t>Scheduled Nov 23</t>
        </is>
      </c>
      <c r="F7" s="2" t="n"/>
      <c r="G7" s="2" t="n"/>
      <c r="H7" s="2" t="n"/>
      <c r="I7" s="2" t="n"/>
      <c r="J7" s="2" t="n"/>
      <c r="K7" s="2" t="n"/>
      <c r="L7" s="2" t="n"/>
      <c r="M7" s="2" t="n"/>
      <c r="N7" s="2" t="n"/>
      <c r="O7" s="2" t="n"/>
      <c r="P7" s="2" t="n"/>
      <c r="Q7" s="2" t="n"/>
      <c r="R7" s="2" t="n"/>
      <c r="S7" s="2" t="n"/>
      <c r="T7" s="2" t="n"/>
      <c r="U7" s="2" t="n"/>
      <c r="V7" s="2" t="n"/>
      <c r="W7" s="2" t="n"/>
      <c r="X7" s="2" t="n"/>
      <c r="Y7" s="2" t="n"/>
      <c r="Z7" s="2" t="n"/>
    </row>
    <row r="8" ht="15" customHeight="1" s="42">
      <c r="A8" s="29" t="inlineStr">
        <is>
          <t>IG Live: Ask Me Anything</t>
        </is>
      </c>
      <c r="B8" s="29" t="inlineStr">
        <is>
          <t>Live + Reel clips</t>
        </is>
      </c>
      <c r="C8" s="29" t="inlineStr">
        <is>
          <t>Personality &amp; BTS</t>
        </is>
      </c>
      <c r="D8" s="29" t="inlineStr">
        <is>
          <t>Monthly live Q&amp;A, clip the best answers into reels</t>
        </is>
      </c>
      <c r="E8" s="29" t="inlineStr">
        <is>
          <t>Each live produces 3-5 reels</t>
        </is>
      </c>
      <c r="F8" s="2" t="n"/>
      <c r="G8" s="2" t="n"/>
      <c r="H8" s="2" t="n"/>
      <c r="I8" s="2" t="n"/>
      <c r="J8" s="2" t="n"/>
      <c r="K8" s="2" t="n"/>
      <c r="L8" s="2" t="n"/>
      <c r="M8" s="2" t="n"/>
      <c r="N8" s="2" t="n"/>
      <c r="O8" s="2" t="n"/>
      <c r="P8" s="2" t="n"/>
      <c r="Q8" s="2" t="n"/>
      <c r="R8" s="2" t="n"/>
      <c r="S8" s="2" t="n"/>
      <c r="T8" s="2" t="n"/>
      <c r="U8" s="2" t="n"/>
      <c r="V8" s="2" t="n"/>
      <c r="W8" s="2" t="n"/>
      <c r="X8" s="2" t="n"/>
      <c r="Y8" s="2" t="n"/>
      <c r="Z8" s="2" t="n"/>
    </row>
    <row r="9" ht="15" customHeight="1" s="42">
      <c r="A9" s="29" t="inlineStr">
        <is>
          <t>Duet or stitch a Botox myth video</t>
        </is>
      </c>
      <c r="B9" s="29" t="inlineStr">
        <is>
          <t>TikTok / Reel</t>
        </is>
      </c>
      <c r="C9" s="29" t="inlineStr">
        <is>
          <t>Education</t>
        </is>
      </c>
      <c r="D9" s="29" t="inlineStr">
        <is>
          <t>React to viral misinformation with facts</t>
        </is>
      </c>
      <c r="E9" s="29" t="inlineStr">
        <is>
          <t>TikTok native format, high reach</t>
        </is>
      </c>
      <c r="F9" s="2" t="n"/>
      <c r="G9" s="2" t="n"/>
      <c r="H9" s="2" t="n"/>
      <c r="I9" s="2" t="n"/>
      <c r="J9" s="2" t="n"/>
      <c r="K9" s="2" t="n"/>
      <c r="L9" s="2" t="n"/>
      <c r="M9" s="2" t="n"/>
      <c r="N9" s="2" t="n"/>
      <c r="O9" s="2" t="n"/>
      <c r="P9" s="2" t="n"/>
      <c r="Q9" s="2" t="n"/>
      <c r="R9" s="2" t="n"/>
      <c r="S9" s="2" t="n"/>
      <c r="T9" s="2" t="n"/>
      <c r="U9" s="2" t="n"/>
      <c r="V9" s="2" t="n"/>
      <c r="W9" s="2" t="n"/>
      <c r="X9" s="2" t="n"/>
      <c r="Y9" s="2" t="n"/>
      <c r="Z9" s="2" t="n"/>
    </row>
    <row r="10" ht="15" customHeight="1" s="42">
      <c r="A10" s="29" t="inlineStr">
        <is>
          <t>Get ready with me: injector edition</t>
        </is>
      </c>
      <c r="B10" s="29" t="inlineStr">
        <is>
          <t>Reel / TikTok</t>
        </is>
      </c>
      <c r="C10" s="29" t="inlineStr">
        <is>
          <t>Personality &amp; BTS</t>
        </is>
      </c>
      <c r="D10" s="29" t="inlineStr">
        <is>
          <t>GRWM for a day of consults</t>
        </is>
      </c>
      <c r="E10" s="29" t="inlineStr">
        <is>
          <t>Trending format</t>
        </is>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15" customHeight="1" s="42">
      <c r="A11" s="29" t="inlineStr">
        <is>
          <t>Before your event checklist</t>
        </is>
      </c>
      <c r="B11" s="29" t="inlineStr">
        <is>
          <t>Reel</t>
        </is>
      </c>
      <c r="C11" s="29" t="inlineStr">
        <is>
          <t>Promo &amp; CTA</t>
        </is>
      </c>
      <c r="D11" s="29" t="inlineStr">
        <is>
          <t>Wedding or reunion coming? Watch this first.</t>
        </is>
      </c>
      <c r="E11" s="29" t="inlineStr">
        <is>
          <t>Evergreen, re-post seasonally</t>
        </is>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1" t="inlineStr">
        <is>
          <t>Is Filler Right for You? An Honest Checklist</t>
        </is>
      </c>
      <c r="B12" s="11" t="inlineStr">
        <is>
          <t>Carousel</t>
        </is>
      </c>
      <c r="C12" s="11" t="inlineStr">
        <is>
          <t>Trust &amp; Proof</t>
        </is>
      </c>
      <c r="D12" s="11" t="inlineStr">
        <is>
          <t>Not everyone is a candidate. Here is how to know.</t>
        </is>
      </c>
      <c r="E12" s="11" t="inlineStr">
        <is>
          <t>Displaced from Oct 15 by the real-results carousel. Strong topic, reschedule</t>
        </is>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1" t="inlineStr">
        <is>
          <t>Quote: Subtle Is the New Dramatic</t>
        </is>
      </c>
      <c r="B13" s="11" t="inlineStr">
        <is>
          <t>Single Image</t>
        </is>
      </c>
      <c r="C13" s="11" t="inlineStr">
        <is>
          <t>Trust &amp; Proof</t>
        </is>
      </c>
      <c r="D13" s="11" t="inlineStr">
        <is>
          <t>The best work whispers.</t>
        </is>
      </c>
      <c r="E13" s="11" t="inlineStr">
        <is>
          <t>Oct 10 now runs this line over a real result instead of a plain quote card</t>
        </is>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1" t="inlineStr">
        <is>
          <t>The Clinic Is Holiday Ready</t>
        </is>
      </c>
      <c r="B14" s="11" t="inlineStr">
        <is>
          <t>Single Image</t>
        </is>
      </c>
      <c r="C14" s="11" t="inlineStr">
        <is>
          <t>Personality &amp; BTS</t>
        </is>
      </c>
      <c r="D14" s="11" t="inlineStr">
        <is>
          <t>Glow-up season is officially open.</t>
        </is>
      </c>
      <c r="E14" s="11" t="inlineStr">
        <is>
          <t>Displaced from Nov 6 by the every-angle carousel. Needs a clinic photo anyway</t>
        </is>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1" t="inlineStr">
        <is>
          <t>Pair D before and after</t>
        </is>
      </c>
      <c r="B15" s="11" t="inlineStr">
        <is>
          <t>Before/After</t>
        </is>
      </c>
      <c r="C15" s="11" t="inlineStr">
        <is>
          <t>Trust &amp; Proof</t>
        </is>
      </c>
      <c r="D15" s="11" t="inlineStr">
        <is>
          <t>Subtle lip border refinement.</t>
        </is>
      </c>
      <c r="E15" s="11" t="inlineStr">
        <is>
          <t>img_1444 / img_1447. HOLD: Cleo to confirm which is the before</t>
        </is>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41" t="n"/>
      <c r="B16" s="41" t="n"/>
      <c r="C16" s="41" t="n"/>
      <c r="D16" s="41" t="n"/>
      <c r="E16" s="55"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41" t="n"/>
      <c r="B17" s="41" t="n"/>
      <c r="C17" s="41" t="n"/>
      <c r="D17" s="41" t="n"/>
      <c r="E17" s="55"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1" t="n"/>
      <c r="B18" s="41" t="n"/>
      <c r="C18" s="41" t="n"/>
      <c r="D18" s="41" t="n"/>
      <c r="E18" s="55"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41" t="n"/>
      <c r="B19" s="41" t="n"/>
      <c r="C19" s="41" t="n"/>
      <c r="D19" s="41" t="n"/>
      <c r="E19" s="55"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41" t="n"/>
      <c r="B20" s="41" t="n"/>
      <c r="C20" s="41" t="n"/>
      <c r="D20" s="41" t="n"/>
      <c r="E20" s="55"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2">
      <c r="A21" s="41" t="n"/>
      <c r="B21" s="41" t="n"/>
      <c r="C21" s="41" t="n"/>
      <c r="D21" s="41" t="n"/>
      <c r="E21" s="55"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2">
      <c r="A22" s="41" t="n"/>
      <c r="B22" s="41" t="n"/>
      <c r="C22" s="41" t="n"/>
      <c r="D22" s="41" t="n"/>
      <c r="E22" s="55"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2">
      <c r="A23" s="41" t="n"/>
      <c r="B23" s="41" t="n"/>
      <c r="C23" s="41" t="n"/>
      <c r="D23" s="41" t="n"/>
      <c r="E23" s="55"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2">
      <c r="A24" s="41" t="n"/>
      <c r="B24" s="41" t="n"/>
      <c r="C24" s="41" t="n"/>
      <c r="D24" s="41" t="n"/>
      <c r="E24" s="55"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2">
      <c r="A25" s="41" t="n"/>
      <c r="B25" s="41" t="n"/>
      <c r="C25" s="41" t="n"/>
      <c r="D25" s="41" t="n"/>
      <c r="E25" s="55"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2">
      <c r="A26" s="41" t="n"/>
      <c r="B26" s="41" t="n"/>
      <c r="C26" s="41" t="n"/>
      <c r="D26" s="41" t="n"/>
      <c r="E26" s="55"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2">
      <c r="A27" s="41" t="n"/>
      <c r="B27" s="41" t="n"/>
      <c r="C27" s="41" t="n"/>
      <c r="D27" s="41" t="n"/>
      <c r="E27" s="55"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41" t="n"/>
      <c r="B28" s="41" t="n"/>
      <c r="C28" s="41" t="n"/>
      <c r="D28" s="41" t="n"/>
      <c r="E28" s="55"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41" t="n"/>
      <c r="B29" s="41" t="n"/>
      <c r="C29" s="41" t="n"/>
      <c r="D29" s="41" t="n"/>
      <c r="E29" s="55"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2">
      <c r="A30" s="41" t="n"/>
      <c r="B30" s="41" t="n"/>
      <c r="C30" s="41" t="n"/>
      <c r="D30" s="41" t="n"/>
      <c r="E30" s="55"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2">
      <c r="A31" s="41" t="n"/>
      <c r="B31" s="41" t="n"/>
      <c r="C31" s="41" t="n"/>
      <c r="D31" s="41" t="n"/>
      <c r="E31" s="55"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41" t="n"/>
      <c r="B32" s="41" t="n"/>
      <c r="C32" s="41" t="n"/>
      <c r="D32" s="41" t="n"/>
      <c r="E32" s="55"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41" t="n"/>
      <c r="B33" s="41" t="n"/>
      <c r="C33" s="41" t="n"/>
      <c r="D33" s="41" t="n"/>
      <c r="E33" s="55"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41" t="n"/>
      <c r="B34" s="41" t="n"/>
      <c r="C34" s="41" t="n"/>
      <c r="D34" s="41" t="n"/>
      <c r="E34" s="55"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41" t="n"/>
      <c r="B35" s="41" t="n"/>
      <c r="C35" s="41" t="n"/>
      <c r="D35" s="41" t="n"/>
      <c r="E35" s="55"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41" t="n"/>
      <c r="B36" s="41" t="n"/>
      <c r="C36" s="41" t="n"/>
      <c r="D36" s="41" t="n"/>
      <c r="E36" s="55"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41" t="n"/>
      <c r="B37" s="41" t="n"/>
      <c r="C37" s="41" t="n"/>
      <c r="D37" s="41" t="n"/>
      <c r="E37" s="55"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41" t="n"/>
      <c r="B38" s="41" t="n"/>
      <c r="C38" s="41" t="n"/>
      <c r="D38" s="41" t="n"/>
      <c r="E38" s="55"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41" t="n"/>
      <c r="B39" s="41" t="n"/>
      <c r="C39" s="41" t="n"/>
      <c r="D39" s="41" t="n"/>
      <c r="E39" s="55"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41" t="n"/>
      <c r="B40" s="41" t="n"/>
      <c r="C40" s="41" t="n"/>
      <c r="D40" s="41" t="n"/>
      <c r="E40" s="55"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41" t="n"/>
      <c r="B41" s="41" t="n"/>
      <c r="C41" s="41" t="n"/>
      <c r="D41" s="41" t="n"/>
      <c r="E41" s="55"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41" t="n"/>
      <c r="B42" s="41" t="n"/>
      <c r="C42" s="41" t="n"/>
      <c r="D42" s="41" t="n"/>
      <c r="E42" s="55"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41" t="n"/>
      <c r="B43" s="41" t="n"/>
      <c r="C43" s="41" t="n"/>
      <c r="D43" s="41" t="n"/>
      <c r="E43" s="55"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41" t="n"/>
      <c r="B44" s="41" t="n"/>
      <c r="C44" s="41" t="n"/>
      <c r="D44" s="41" t="n"/>
      <c r="E44" s="55"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41" t="n"/>
      <c r="B45" s="41" t="n"/>
      <c r="C45" s="41" t="n"/>
      <c r="D45" s="41" t="n"/>
      <c r="E45" s="55"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41" t="n"/>
      <c r="B46" s="41" t="n"/>
      <c r="C46" s="41" t="n"/>
      <c r="D46" s="41" t="n"/>
      <c r="E46" s="55"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41" t="n"/>
      <c r="B47" s="41" t="n"/>
      <c r="C47" s="41" t="n"/>
      <c r="D47" s="41" t="n"/>
      <c r="E47" s="55"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41" t="n"/>
      <c r="B48" s="41" t="n"/>
      <c r="C48" s="41" t="n"/>
      <c r="D48" s="41" t="n"/>
      <c r="E48" s="55"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41" t="n"/>
      <c r="B49" s="41" t="n"/>
      <c r="C49" s="41" t="n"/>
      <c r="D49" s="41" t="n"/>
      <c r="E49" s="55"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41" t="n"/>
      <c r="B50" s="41" t="n"/>
      <c r="C50" s="41" t="n"/>
      <c r="D50" s="41" t="n"/>
      <c r="E50" s="55"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41" t="n"/>
      <c r="B51" s="41" t="n"/>
      <c r="C51" s="41" t="n"/>
      <c r="D51" s="41" t="n"/>
      <c r="E51" s="55"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41" t="n"/>
      <c r="B52" s="41" t="n"/>
      <c r="C52" s="41" t="n"/>
      <c r="D52" s="41" t="n"/>
      <c r="E52" s="55"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41" t="n"/>
      <c r="B53" s="41" t="n"/>
      <c r="C53" s="41" t="n"/>
      <c r="D53" s="41" t="n"/>
      <c r="E53" s="55"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41" t="n"/>
      <c r="B54" s="41" t="n"/>
      <c r="C54" s="41" t="n"/>
      <c r="D54" s="41" t="n"/>
      <c r="E54" s="55"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41" t="n"/>
      <c r="B55" s="41" t="n"/>
      <c r="C55" s="41" t="n"/>
      <c r="D55" s="41" t="n"/>
      <c r="E55" s="55"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41" t="n"/>
      <c r="B56" s="41" t="n"/>
      <c r="C56" s="41" t="n"/>
      <c r="D56" s="41" t="n"/>
      <c r="E56" s="55"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41" t="n"/>
      <c r="B57" s="41" t="n"/>
      <c r="C57" s="41" t="n"/>
      <c r="D57" s="41" t="n"/>
      <c r="E57" s="55"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41" t="n"/>
      <c r="B58" s="41" t="n"/>
      <c r="C58" s="41" t="n"/>
      <c r="D58" s="41" t="n"/>
      <c r="E58" s="55"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41" t="n"/>
      <c r="B59" s="41" t="n"/>
      <c r="C59" s="41" t="n"/>
      <c r="D59" s="41" t="n"/>
      <c r="E59" s="55"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41" t="n"/>
      <c r="B60" s="41" t="n"/>
      <c r="C60" s="41" t="n"/>
      <c r="D60" s="41" t="n"/>
      <c r="E60" s="55"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41" t="n"/>
      <c r="B61" s="41" t="n"/>
      <c r="C61" s="41" t="n"/>
      <c r="D61" s="41" t="n"/>
      <c r="E61" s="55"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41" t="n"/>
      <c r="B62" s="41" t="n"/>
      <c r="C62" s="41" t="n"/>
      <c r="D62" s="41" t="n"/>
      <c r="E62" s="55"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41" t="n"/>
      <c r="B63" s="41" t="n"/>
      <c r="C63" s="41" t="n"/>
      <c r="D63" s="41" t="n"/>
      <c r="E63" s="55"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41" t="n"/>
      <c r="B64" s="41" t="n"/>
      <c r="C64" s="41" t="n"/>
      <c r="D64" s="41" t="n"/>
      <c r="E64" s="55"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41" t="n"/>
      <c r="B65" s="41" t="n"/>
      <c r="C65" s="41" t="n"/>
      <c r="D65" s="41" t="n"/>
      <c r="E65" s="55"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41" t="n"/>
      <c r="B66" s="41" t="n"/>
      <c r="C66" s="41" t="n"/>
      <c r="D66" s="41" t="n"/>
      <c r="E66" s="55"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41" t="n"/>
      <c r="B67" s="41" t="n"/>
      <c r="C67" s="41" t="n"/>
      <c r="D67" s="41" t="n"/>
      <c r="E67" s="55"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41" t="n"/>
      <c r="B68" s="41" t="n"/>
      <c r="C68" s="41" t="n"/>
      <c r="D68" s="41" t="n"/>
      <c r="E68" s="55"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41" t="n"/>
      <c r="B69" s="41" t="n"/>
      <c r="C69" s="41" t="n"/>
      <c r="D69" s="41" t="n"/>
      <c r="E69" s="55"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41" t="n"/>
      <c r="B70" s="41" t="n"/>
      <c r="C70" s="41" t="n"/>
      <c r="D70" s="41" t="n"/>
      <c r="E70" s="55"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41" t="n"/>
      <c r="B71" s="41" t="n"/>
      <c r="C71" s="41" t="n"/>
      <c r="D71" s="41" t="n"/>
      <c r="E71" s="55"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41" t="n"/>
      <c r="B72" s="41" t="n"/>
      <c r="C72" s="41" t="n"/>
      <c r="D72" s="41" t="n"/>
      <c r="E72" s="55"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41" t="n"/>
      <c r="B73" s="41" t="n"/>
      <c r="C73" s="41" t="n"/>
      <c r="D73" s="41" t="n"/>
      <c r="E73" s="55"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41" t="n"/>
      <c r="B74" s="41" t="n"/>
      <c r="C74" s="41" t="n"/>
      <c r="D74" s="41" t="n"/>
      <c r="E74" s="55"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41" t="n"/>
      <c r="B75" s="41" t="n"/>
      <c r="C75" s="41" t="n"/>
      <c r="D75" s="41" t="n"/>
      <c r="E75" s="55"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41" t="n"/>
      <c r="B76" s="41" t="n"/>
      <c r="C76" s="41" t="n"/>
      <c r="D76" s="41" t="n"/>
      <c r="E76" s="55"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41" t="n"/>
      <c r="B77" s="41" t="n"/>
      <c r="C77" s="41" t="n"/>
      <c r="D77" s="41" t="n"/>
      <c r="E77" s="55"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41" t="n"/>
      <c r="B78" s="41" t="n"/>
      <c r="C78" s="41" t="n"/>
      <c r="D78" s="41" t="n"/>
      <c r="E78" s="55"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41" t="n"/>
      <c r="B79" s="41" t="n"/>
      <c r="C79" s="41" t="n"/>
      <c r="D79" s="41" t="n"/>
      <c r="E79" s="55"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41" t="n"/>
      <c r="B80" s="41" t="n"/>
      <c r="C80" s="41" t="n"/>
      <c r="D80" s="41" t="n"/>
      <c r="E80" s="55"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41" t="n"/>
      <c r="B81" s="41" t="n"/>
      <c r="C81" s="41" t="n"/>
      <c r="D81" s="41" t="n"/>
      <c r="E81" s="55"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41" t="n"/>
      <c r="B82" s="41" t="n"/>
      <c r="C82" s="41" t="n"/>
      <c r="D82" s="41" t="n"/>
      <c r="E82" s="55"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41" t="n"/>
      <c r="B83" s="41" t="n"/>
      <c r="C83" s="41" t="n"/>
      <c r="D83" s="41" t="n"/>
      <c r="E83" s="55"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41" t="n"/>
      <c r="B84" s="41" t="n"/>
      <c r="C84" s="41" t="n"/>
      <c r="D84" s="41" t="n"/>
      <c r="E84" s="55"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41" t="n"/>
      <c r="B85" s="41" t="n"/>
      <c r="C85" s="41" t="n"/>
      <c r="D85" s="41" t="n"/>
      <c r="E85" s="55"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41" t="n"/>
      <c r="B86" s="41" t="n"/>
      <c r="C86" s="41" t="n"/>
      <c r="D86" s="41" t="n"/>
      <c r="E86" s="55"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41" t="n"/>
      <c r="B87" s="41" t="n"/>
      <c r="C87" s="41" t="n"/>
      <c r="D87" s="41" t="n"/>
      <c r="E87" s="55"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41" t="n"/>
      <c r="B88" s="41" t="n"/>
      <c r="C88" s="41" t="n"/>
      <c r="D88" s="41" t="n"/>
      <c r="E88" s="55"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41" t="n"/>
      <c r="B89" s="41" t="n"/>
      <c r="C89" s="41" t="n"/>
      <c r="D89" s="41" t="n"/>
      <c r="E89" s="55"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41" t="n"/>
      <c r="B90" s="41" t="n"/>
      <c r="C90" s="41" t="n"/>
      <c r="D90" s="41" t="n"/>
      <c r="E90" s="55"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41" t="n"/>
      <c r="B91" s="41" t="n"/>
      <c r="C91" s="41" t="n"/>
      <c r="D91" s="41" t="n"/>
      <c r="E91" s="55"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41" t="n"/>
      <c r="B92" s="41" t="n"/>
      <c r="C92" s="41" t="n"/>
      <c r="D92" s="41" t="n"/>
      <c r="E92" s="55"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41" t="n"/>
      <c r="B93" s="41" t="n"/>
      <c r="C93" s="41" t="n"/>
      <c r="D93" s="41" t="n"/>
      <c r="E93" s="55"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41" t="n"/>
      <c r="B94" s="41" t="n"/>
      <c r="C94" s="41" t="n"/>
      <c r="D94" s="41" t="n"/>
      <c r="E94" s="55"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41" t="n"/>
      <c r="B95" s="41" t="n"/>
      <c r="C95" s="41" t="n"/>
      <c r="D95" s="41" t="n"/>
      <c r="E95" s="55"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41" t="n"/>
      <c r="B96" s="41" t="n"/>
      <c r="C96" s="41" t="n"/>
      <c r="D96" s="41" t="n"/>
      <c r="E96" s="55"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41" t="n"/>
      <c r="B97" s="41" t="n"/>
      <c r="C97" s="41" t="n"/>
      <c r="D97" s="41" t="n"/>
      <c r="E97" s="55"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41" t="n"/>
      <c r="B98" s="41" t="n"/>
      <c r="C98" s="41" t="n"/>
      <c r="D98" s="41" t="n"/>
      <c r="E98" s="55"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41" t="n"/>
      <c r="B99" s="41" t="n"/>
      <c r="C99" s="41" t="n"/>
      <c r="D99" s="41" t="n"/>
      <c r="E99" s="55"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41" t="n"/>
      <c r="B100" s="41" t="n"/>
      <c r="C100" s="41" t="n"/>
      <c r="D100" s="41" t="n"/>
      <c r="E100" s="55"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41" t="n"/>
      <c r="B101" s="41" t="n"/>
      <c r="C101" s="41" t="n"/>
      <c r="D101" s="41" t="n"/>
      <c r="E101" s="55"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41" t="n"/>
      <c r="B102" s="41" t="n"/>
      <c r="C102" s="41" t="n"/>
      <c r="D102" s="41" t="n"/>
      <c r="E102" s="55"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41" t="n"/>
      <c r="B103" s="41" t="n"/>
      <c r="C103" s="41" t="n"/>
      <c r="D103" s="41" t="n"/>
      <c r="E103" s="55"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41" t="n"/>
      <c r="B104" s="41" t="n"/>
      <c r="C104" s="41" t="n"/>
      <c r="D104" s="41" t="n"/>
      <c r="E104" s="55"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41" t="n"/>
      <c r="B105" s="41" t="n"/>
      <c r="C105" s="41" t="n"/>
      <c r="D105" s="41" t="n"/>
      <c r="E105" s="55"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41" t="n"/>
      <c r="B106" s="41" t="n"/>
      <c r="C106" s="41" t="n"/>
      <c r="D106" s="41" t="n"/>
      <c r="E106" s="55"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41" t="n"/>
      <c r="B107" s="41" t="n"/>
      <c r="C107" s="41" t="n"/>
      <c r="D107" s="41" t="n"/>
      <c r="E107" s="55"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41" t="n"/>
      <c r="B108" s="41" t="n"/>
      <c r="C108" s="41" t="n"/>
      <c r="D108" s="41" t="n"/>
      <c r="E108" s="55"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41" t="n"/>
      <c r="B109" s="41" t="n"/>
      <c r="C109" s="41" t="n"/>
      <c r="D109" s="41" t="n"/>
      <c r="E109" s="55"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41" t="n"/>
      <c r="B110" s="41" t="n"/>
      <c r="C110" s="41" t="n"/>
      <c r="D110" s="41" t="n"/>
      <c r="E110" s="55"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41" t="n"/>
      <c r="B111" s="41" t="n"/>
      <c r="C111" s="41" t="n"/>
      <c r="D111" s="41" t="n"/>
      <c r="E111" s="55"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41" t="n"/>
      <c r="B112" s="41" t="n"/>
      <c r="C112" s="41" t="n"/>
      <c r="D112" s="41" t="n"/>
      <c r="E112" s="55"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41" t="n"/>
      <c r="B113" s="41" t="n"/>
      <c r="C113" s="41" t="n"/>
      <c r="D113" s="41" t="n"/>
      <c r="E113" s="55"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41" t="n"/>
      <c r="B114" s="41" t="n"/>
      <c r="C114" s="41" t="n"/>
      <c r="D114" s="41" t="n"/>
      <c r="E114" s="55"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41" t="n"/>
      <c r="B115" s="41" t="n"/>
      <c r="C115" s="41" t="n"/>
      <c r="D115" s="41" t="n"/>
      <c r="E115" s="55"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41" t="n"/>
      <c r="B116" s="41" t="n"/>
      <c r="C116" s="41" t="n"/>
      <c r="D116" s="41" t="n"/>
      <c r="E116" s="55"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41" t="n"/>
      <c r="B117" s="41" t="n"/>
      <c r="C117" s="41" t="n"/>
      <c r="D117" s="41" t="n"/>
      <c r="E117" s="55"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41" t="n"/>
      <c r="B118" s="41" t="n"/>
      <c r="C118" s="41" t="n"/>
      <c r="D118" s="41" t="n"/>
      <c r="E118" s="55"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41" t="n"/>
      <c r="B119" s="41" t="n"/>
      <c r="C119" s="41" t="n"/>
      <c r="D119" s="41" t="n"/>
      <c r="E119" s="55"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41" t="n"/>
      <c r="B120" s="41" t="n"/>
      <c r="C120" s="41" t="n"/>
      <c r="D120" s="41" t="n"/>
      <c r="E120" s="55"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41" t="n"/>
      <c r="B121" s="41" t="n"/>
      <c r="C121" s="41" t="n"/>
      <c r="D121" s="41" t="n"/>
      <c r="E121" s="55"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41" t="n"/>
      <c r="B122" s="41" t="n"/>
      <c r="C122" s="41" t="n"/>
      <c r="D122" s="41" t="n"/>
      <c r="E122" s="55"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41" t="n"/>
      <c r="B123" s="41" t="n"/>
      <c r="C123" s="41" t="n"/>
      <c r="D123" s="41" t="n"/>
      <c r="E123" s="55"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41" t="n"/>
      <c r="B124" s="41" t="n"/>
      <c r="C124" s="41" t="n"/>
      <c r="D124" s="41" t="n"/>
      <c r="E124" s="55"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41" t="n"/>
      <c r="B125" s="41" t="n"/>
      <c r="C125" s="41" t="n"/>
      <c r="D125" s="41" t="n"/>
      <c r="E125" s="55"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41" t="n"/>
      <c r="B126" s="41" t="n"/>
      <c r="C126" s="41" t="n"/>
      <c r="D126" s="41" t="n"/>
      <c r="E126" s="55"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41" t="n"/>
      <c r="B127" s="41" t="n"/>
      <c r="C127" s="41" t="n"/>
      <c r="D127" s="41" t="n"/>
      <c r="E127" s="55"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41" t="n"/>
      <c r="B128" s="41" t="n"/>
      <c r="C128" s="41" t="n"/>
      <c r="D128" s="41" t="n"/>
      <c r="E128" s="55"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41" t="n"/>
      <c r="B129" s="41" t="n"/>
      <c r="C129" s="41" t="n"/>
      <c r="D129" s="41" t="n"/>
      <c r="E129" s="55"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41" t="n"/>
      <c r="B130" s="41" t="n"/>
      <c r="C130" s="41" t="n"/>
      <c r="D130" s="41" t="n"/>
      <c r="E130" s="55"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41" t="n"/>
      <c r="B131" s="41" t="n"/>
      <c r="C131" s="41" t="n"/>
      <c r="D131" s="41" t="n"/>
      <c r="E131" s="55"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41" t="n"/>
      <c r="B132" s="41" t="n"/>
      <c r="C132" s="41" t="n"/>
      <c r="D132" s="41" t="n"/>
      <c r="E132" s="55"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41" t="n"/>
      <c r="B133" s="41" t="n"/>
      <c r="C133" s="41" t="n"/>
      <c r="D133" s="41" t="n"/>
      <c r="E133" s="55"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41" t="n"/>
      <c r="B134" s="41" t="n"/>
      <c r="C134" s="41" t="n"/>
      <c r="D134" s="41" t="n"/>
      <c r="E134" s="55"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41" t="n"/>
      <c r="B135" s="41" t="n"/>
      <c r="C135" s="41" t="n"/>
      <c r="D135" s="41" t="n"/>
      <c r="E135" s="55"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41" t="n"/>
      <c r="B136" s="41" t="n"/>
      <c r="C136" s="41" t="n"/>
      <c r="D136" s="41" t="n"/>
      <c r="E136" s="55"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41" t="n"/>
      <c r="B137" s="41" t="n"/>
      <c r="C137" s="41" t="n"/>
      <c r="D137" s="41" t="n"/>
      <c r="E137" s="55"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41" t="n"/>
      <c r="B138" s="41" t="n"/>
      <c r="C138" s="41" t="n"/>
      <c r="D138" s="41" t="n"/>
      <c r="E138" s="55"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41" t="n"/>
      <c r="B139" s="41" t="n"/>
      <c r="C139" s="41" t="n"/>
      <c r="D139" s="41" t="n"/>
      <c r="E139" s="55"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41" t="n"/>
      <c r="B140" s="41" t="n"/>
      <c r="C140" s="41" t="n"/>
      <c r="D140" s="41" t="n"/>
      <c r="E140" s="55"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41" t="n"/>
      <c r="B141" s="41" t="n"/>
      <c r="C141" s="41" t="n"/>
      <c r="D141" s="41" t="n"/>
      <c r="E141" s="55"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41" t="n"/>
      <c r="B142" s="41" t="n"/>
      <c r="C142" s="41" t="n"/>
      <c r="D142" s="41" t="n"/>
      <c r="E142" s="55"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41" t="n"/>
      <c r="B143" s="41" t="n"/>
      <c r="C143" s="41" t="n"/>
      <c r="D143" s="41" t="n"/>
      <c r="E143" s="55"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41" t="n"/>
      <c r="B144" s="41" t="n"/>
      <c r="C144" s="41" t="n"/>
      <c r="D144" s="41" t="n"/>
      <c r="E144" s="55"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41" t="n"/>
      <c r="B145" s="41" t="n"/>
      <c r="C145" s="41" t="n"/>
      <c r="D145" s="41" t="n"/>
      <c r="E145" s="55"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41" t="n"/>
      <c r="B146" s="41" t="n"/>
      <c r="C146" s="41" t="n"/>
      <c r="D146" s="41" t="n"/>
      <c r="E146" s="55"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41" t="n"/>
      <c r="B147" s="41" t="n"/>
      <c r="C147" s="41" t="n"/>
      <c r="D147" s="41" t="n"/>
      <c r="E147" s="55"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41" t="n"/>
      <c r="B148" s="41" t="n"/>
      <c r="C148" s="41" t="n"/>
      <c r="D148" s="41" t="n"/>
      <c r="E148" s="55"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41" t="n"/>
      <c r="B149" s="41" t="n"/>
      <c r="C149" s="41" t="n"/>
      <c r="D149" s="41" t="n"/>
      <c r="E149" s="55"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41" t="n"/>
      <c r="B150" s="41" t="n"/>
      <c r="C150" s="41" t="n"/>
      <c r="D150" s="41" t="n"/>
      <c r="E150" s="55"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41" t="n"/>
      <c r="B151" s="41" t="n"/>
      <c r="C151" s="41" t="n"/>
      <c r="D151" s="41" t="n"/>
      <c r="E151" s="55"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41" t="n"/>
      <c r="B152" s="41" t="n"/>
      <c r="C152" s="41" t="n"/>
      <c r="D152" s="41" t="n"/>
      <c r="E152" s="55"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41" t="n"/>
      <c r="B153" s="41" t="n"/>
      <c r="C153" s="41" t="n"/>
      <c r="D153" s="41" t="n"/>
      <c r="E153" s="55"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41" t="n"/>
      <c r="B154" s="41" t="n"/>
      <c r="C154" s="41" t="n"/>
      <c r="D154" s="41" t="n"/>
      <c r="E154" s="55"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41" t="n"/>
      <c r="B155" s="41" t="n"/>
      <c r="C155" s="41" t="n"/>
      <c r="D155" s="41" t="n"/>
      <c r="E155" s="55"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41" t="n"/>
      <c r="B156" s="41" t="n"/>
      <c r="C156" s="41" t="n"/>
      <c r="D156" s="41" t="n"/>
      <c r="E156" s="55"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41" t="n"/>
      <c r="B157" s="41" t="n"/>
      <c r="C157" s="41" t="n"/>
      <c r="D157" s="41" t="n"/>
      <c r="E157" s="55"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41" t="n"/>
      <c r="B158" s="41" t="n"/>
      <c r="C158" s="41" t="n"/>
      <c r="D158" s="41" t="n"/>
      <c r="E158" s="55"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41" t="n"/>
      <c r="B159" s="41" t="n"/>
      <c r="C159" s="41" t="n"/>
      <c r="D159" s="41" t="n"/>
      <c r="E159" s="55"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41" t="n"/>
      <c r="B160" s="41" t="n"/>
      <c r="C160" s="41" t="n"/>
      <c r="D160" s="41" t="n"/>
      <c r="E160" s="55"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41" t="n"/>
      <c r="B161" s="41" t="n"/>
      <c r="C161" s="41" t="n"/>
      <c r="D161" s="41" t="n"/>
      <c r="E161" s="55"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41" t="n"/>
      <c r="B162" s="41" t="n"/>
      <c r="C162" s="41" t="n"/>
      <c r="D162" s="41" t="n"/>
      <c r="E162" s="55"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41" t="n"/>
      <c r="B163" s="41" t="n"/>
      <c r="C163" s="41" t="n"/>
      <c r="D163" s="41" t="n"/>
      <c r="E163" s="55"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41" t="n"/>
      <c r="B164" s="41" t="n"/>
      <c r="C164" s="41" t="n"/>
      <c r="D164" s="41" t="n"/>
      <c r="E164" s="55"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41" t="n"/>
      <c r="B165" s="41" t="n"/>
      <c r="C165" s="41" t="n"/>
      <c r="D165" s="41" t="n"/>
      <c r="E165" s="55"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41" t="n"/>
      <c r="B166" s="41" t="n"/>
      <c r="C166" s="41" t="n"/>
      <c r="D166" s="41" t="n"/>
      <c r="E166" s="55"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41" t="n"/>
      <c r="B167" s="41" t="n"/>
      <c r="C167" s="41" t="n"/>
      <c r="D167" s="41" t="n"/>
      <c r="E167" s="55"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41" t="n"/>
      <c r="B168" s="41" t="n"/>
      <c r="C168" s="41" t="n"/>
      <c r="D168" s="41" t="n"/>
      <c r="E168" s="55"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41" t="n"/>
      <c r="B169" s="41" t="n"/>
      <c r="C169" s="41" t="n"/>
      <c r="D169" s="41" t="n"/>
      <c r="E169" s="55"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41" t="n"/>
      <c r="B170" s="41" t="n"/>
      <c r="C170" s="41" t="n"/>
      <c r="D170" s="41" t="n"/>
      <c r="E170" s="55"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41" t="n"/>
      <c r="B171" s="41" t="n"/>
      <c r="C171" s="41" t="n"/>
      <c r="D171" s="41" t="n"/>
      <c r="E171" s="55"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41" t="n"/>
      <c r="B172" s="41" t="n"/>
      <c r="C172" s="41" t="n"/>
      <c r="D172" s="41" t="n"/>
      <c r="E172" s="55"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41" t="n"/>
      <c r="B173" s="41" t="n"/>
      <c r="C173" s="41" t="n"/>
      <c r="D173" s="41" t="n"/>
      <c r="E173" s="55"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41" t="n"/>
      <c r="B174" s="41" t="n"/>
      <c r="C174" s="41" t="n"/>
      <c r="D174" s="41" t="n"/>
      <c r="E174" s="55"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41" t="n"/>
      <c r="B175" s="41" t="n"/>
      <c r="C175" s="41" t="n"/>
      <c r="D175" s="41" t="n"/>
      <c r="E175" s="55"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41" t="n"/>
      <c r="B176" s="41" t="n"/>
      <c r="C176" s="41" t="n"/>
      <c r="D176" s="41" t="n"/>
      <c r="E176" s="55"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41" t="n"/>
      <c r="B177" s="41" t="n"/>
      <c r="C177" s="41" t="n"/>
      <c r="D177" s="41" t="n"/>
      <c r="E177" s="55"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41" t="n"/>
      <c r="B178" s="41" t="n"/>
      <c r="C178" s="41" t="n"/>
      <c r="D178" s="41" t="n"/>
      <c r="E178" s="55"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41" t="n"/>
      <c r="B179" s="41" t="n"/>
      <c r="C179" s="41" t="n"/>
      <c r="D179" s="41" t="n"/>
      <c r="E179" s="55"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41" t="n"/>
      <c r="B180" s="41" t="n"/>
      <c r="C180" s="41" t="n"/>
      <c r="D180" s="41" t="n"/>
      <c r="E180" s="55"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41" t="n"/>
      <c r="B181" s="41" t="n"/>
      <c r="C181" s="41" t="n"/>
      <c r="D181" s="41" t="n"/>
      <c r="E181" s="55"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41" t="n"/>
      <c r="B182" s="41" t="n"/>
      <c r="C182" s="41" t="n"/>
      <c r="D182" s="41" t="n"/>
      <c r="E182" s="55"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41" t="n"/>
      <c r="B183" s="41" t="n"/>
      <c r="C183" s="41" t="n"/>
      <c r="D183" s="41" t="n"/>
      <c r="E183" s="55"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41" t="n"/>
      <c r="B184" s="41" t="n"/>
      <c r="C184" s="41" t="n"/>
      <c r="D184" s="41" t="n"/>
      <c r="E184" s="55"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41" t="n"/>
      <c r="B185" s="41" t="n"/>
      <c r="C185" s="41" t="n"/>
      <c r="D185" s="41" t="n"/>
      <c r="E185" s="55"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41" t="n"/>
      <c r="B186" s="41" t="n"/>
      <c r="C186" s="41" t="n"/>
      <c r="D186" s="41" t="n"/>
      <c r="E186" s="55"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41" t="n"/>
      <c r="B187" s="41" t="n"/>
      <c r="C187" s="41" t="n"/>
      <c r="D187" s="41" t="n"/>
      <c r="E187" s="55"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41" t="n"/>
      <c r="B188" s="41" t="n"/>
      <c r="C188" s="41" t="n"/>
      <c r="D188" s="41" t="n"/>
      <c r="E188" s="55"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41" t="n"/>
      <c r="B189" s="41" t="n"/>
      <c r="C189" s="41" t="n"/>
      <c r="D189" s="41" t="n"/>
      <c r="E189" s="55"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41" t="n"/>
      <c r="B190" s="41" t="n"/>
      <c r="C190" s="41" t="n"/>
      <c r="D190" s="41" t="n"/>
      <c r="E190" s="55"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41" t="n"/>
      <c r="B191" s="41" t="n"/>
      <c r="C191" s="41" t="n"/>
      <c r="D191" s="41" t="n"/>
      <c r="E191" s="55"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41" t="n"/>
      <c r="B192" s="41" t="n"/>
      <c r="C192" s="41" t="n"/>
      <c r="D192" s="41" t="n"/>
      <c r="E192" s="55"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41" t="n"/>
      <c r="B193" s="41" t="n"/>
      <c r="C193" s="41" t="n"/>
      <c r="D193" s="41" t="n"/>
      <c r="E193" s="55"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41" t="n"/>
      <c r="B194" s="41" t="n"/>
      <c r="C194" s="41" t="n"/>
      <c r="D194" s="41" t="n"/>
      <c r="E194" s="55"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41" t="n"/>
      <c r="B195" s="41" t="n"/>
      <c r="C195" s="41" t="n"/>
      <c r="D195" s="41" t="n"/>
      <c r="E195" s="55"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41" t="n"/>
      <c r="B196" s="41" t="n"/>
      <c r="C196" s="41" t="n"/>
      <c r="D196" s="41" t="n"/>
      <c r="E196" s="55"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41" t="n"/>
      <c r="B197" s="41" t="n"/>
      <c r="C197" s="41" t="n"/>
      <c r="D197" s="41" t="n"/>
      <c r="E197" s="55"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41" t="n"/>
      <c r="B198" s="41" t="n"/>
      <c r="C198" s="41" t="n"/>
      <c r="D198" s="41" t="n"/>
      <c r="E198" s="55"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41" t="n"/>
      <c r="B199" s="41" t="n"/>
      <c r="C199" s="41" t="n"/>
      <c r="D199" s="41" t="n"/>
      <c r="E199" s="55"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41" t="n"/>
      <c r="B200" s="41" t="n"/>
      <c r="C200" s="41" t="n"/>
      <c r="D200" s="41" t="n"/>
      <c r="E200" s="55"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41" t="n"/>
      <c r="B201" s="41" t="n"/>
      <c r="C201" s="41" t="n"/>
      <c r="D201" s="41" t="n"/>
      <c r="E201" s="55"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41" t="n"/>
      <c r="B202" s="41" t="n"/>
      <c r="C202" s="41" t="n"/>
      <c r="D202" s="41" t="n"/>
      <c r="E202" s="55"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41" t="n"/>
      <c r="B203" s="41" t="n"/>
      <c r="C203" s="41" t="n"/>
      <c r="D203" s="41" t="n"/>
      <c r="E203" s="55"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41" t="n"/>
      <c r="B204" s="41" t="n"/>
      <c r="C204" s="41" t="n"/>
      <c r="D204" s="41" t="n"/>
      <c r="E204" s="55"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41" t="n"/>
      <c r="B205" s="41" t="n"/>
      <c r="C205" s="41" t="n"/>
      <c r="D205" s="41" t="n"/>
      <c r="E205" s="55"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41" t="n"/>
      <c r="B206" s="41" t="n"/>
      <c r="C206" s="41" t="n"/>
      <c r="D206" s="41" t="n"/>
      <c r="E206" s="55"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41" t="n"/>
      <c r="B207" s="41" t="n"/>
      <c r="C207" s="41" t="n"/>
      <c r="D207" s="41" t="n"/>
      <c r="E207" s="55"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41" t="n"/>
      <c r="B208" s="41" t="n"/>
      <c r="C208" s="41" t="n"/>
      <c r="D208" s="41" t="n"/>
      <c r="E208" s="55"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41" t="n"/>
      <c r="B209" s="41" t="n"/>
      <c r="C209" s="41" t="n"/>
      <c r="D209" s="41" t="n"/>
      <c r="E209" s="55"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41" t="n"/>
      <c r="B210" s="41" t="n"/>
      <c r="C210" s="41" t="n"/>
      <c r="D210" s="41" t="n"/>
      <c r="E210" s="55"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41" t="n"/>
      <c r="B211" s="41" t="n"/>
      <c r="C211" s="41" t="n"/>
      <c r="D211" s="41" t="n"/>
      <c r="E211" s="55"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41" t="n"/>
      <c r="B212" s="41" t="n"/>
      <c r="C212" s="41" t="n"/>
      <c r="D212" s="41" t="n"/>
      <c r="E212" s="55"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41" t="n"/>
      <c r="B213" s="41" t="n"/>
      <c r="C213" s="41" t="n"/>
      <c r="D213" s="41" t="n"/>
      <c r="E213" s="55"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41" t="n"/>
      <c r="B214" s="41" t="n"/>
      <c r="C214" s="41" t="n"/>
      <c r="D214" s="41" t="n"/>
      <c r="E214" s="55"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41" t="n"/>
      <c r="B215" s="41" t="n"/>
      <c r="C215" s="41" t="n"/>
      <c r="D215" s="41" t="n"/>
      <c r="E215" s="55"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41" t="n"/>
      <c r="B216" s="41" t="n"/>
      <c r="C216" s="41" t="n"/>
      <c r="D216" s="41" t="n"/>
      <c r="E216" s="55"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41" t="n"/>
      <c r="B217" s="41" t="n"/>
      <c r="C217" s="41" t="n"/>
      <c r="D217" s="41" t="n"/>
      <c r="E217" s="55"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41" t="n"/>
      <c r="B218" s="41" t="n"/>
      <c r="C218" s="41" t="n"/>
      <c r="D218" s="41" t="n"/>
      <c r="E218" s="55"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41" t="n"/>
      <c r="B219" s="41" t="n"/>
      <c r="C219" s="41" t="n"/>
      <c r="D219" s="41" t="n"/>
      <c r="E219" s="55"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41" t="n"/>
      <c r="B220" s="41" t="n"/>
      <c r="C220" s="41" t="n"/>
      <c r="D220" s="41" t="n"/>
      <c r="E220" s="55"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56"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56"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56"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56"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56"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56"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56"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56"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56"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56"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56"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56"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56"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56"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56"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56"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56"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56"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56"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56"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56"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56"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56"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56"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56"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56"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56"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56"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56"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56"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56"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56"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56"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56"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56"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56"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56"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56"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56"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56"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56"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56"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56"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56"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56"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56"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56"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56"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56"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56"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56"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56"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56"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56"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56"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56"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56"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56"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56"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56"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56"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56"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56"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56"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56"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56"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56"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56"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56"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56"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56"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56"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56"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56"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56"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56"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56"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56"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56"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56"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56"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56"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56"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56"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56"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56"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56"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56"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56"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56"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56"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56"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56"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56"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56"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56"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56"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56"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56"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56"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56"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56"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56"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56"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56"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56"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56"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56"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56"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56"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56"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56"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56"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56"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56"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56"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56"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56"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56"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56"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56"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56"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56"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56"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56"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56"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56"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56"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56"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56"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56"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56"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56"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56"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56"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56"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56"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56"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56"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56"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56"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56"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56"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56"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56"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56"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56"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56"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56"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56"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56"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56"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56"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56"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56"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56"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56"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56"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56"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56"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56"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56"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56"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56"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56"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56"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56"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56"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56"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56"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56"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56"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56"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56"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56"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56"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56"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56"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56"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56"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56"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56"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56"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56"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56"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56"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56"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56"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56"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56"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56"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56"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56"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56"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56"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56"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56"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56"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56"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56"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56"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56"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56"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56"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56"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56"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56"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56"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56"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56"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56"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56"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56"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56"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56"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56"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56"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56"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56"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56"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56"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56"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56"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56"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56"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56"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56"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56"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56"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56"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56"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56"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56"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56"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56"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56"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56"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56"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56"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56"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56"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56"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56"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56"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56"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56"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56"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56"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56"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56"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56"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56"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56"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56"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56"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56"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56"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56"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56"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56"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56"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56"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56"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56"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56"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56"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56"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56"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56"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56"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56"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56"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56"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56"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56"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56"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56"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56"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56"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56"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56"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56"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56"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56"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56"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56"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56"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56"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56"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56"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56"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56"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56"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56"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56"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56"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56"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56"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56"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56"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56"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56"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56"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56"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56"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56"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56"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56"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56"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56"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56"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56"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56"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56"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56"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56"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56"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56"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56"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56"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56"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56"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56"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56"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56"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56"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56"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56"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56"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56"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56"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56"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56"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56"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56"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56"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56"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56"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56"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56"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56"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56"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56"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56"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56"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56"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56"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56"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56"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56"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56"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56"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56"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56"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56"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56"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56"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56"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56"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56"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56"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56"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56"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56"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56"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56"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56"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56"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56"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56"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56"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56"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56"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56"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56"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56"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56"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56"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56"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56"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56"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56"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56"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56"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56"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56"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56"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56"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56"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56"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56"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56"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56"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56"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56"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56"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56"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56"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56"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56"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56"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56"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56"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56"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56"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56"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56"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56"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56"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56"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56"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56"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56"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56"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56"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56"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56"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56"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56"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56"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56"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56"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56"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56"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56"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56"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56"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56"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56"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56"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56"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56"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56"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56"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56"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56"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56"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56"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56"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56"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56"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56"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56"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56"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56"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56"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56"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56"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56"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56"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56"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56"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56"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56"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56"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56"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56"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56"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56"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56"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56"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56"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56"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56"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56"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56"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56"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56"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56"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56"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56"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56"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56"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56"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56"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56"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56"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56"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56"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56"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56"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56"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56"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56"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56"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56"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56"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56"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56"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56"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56"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56"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56"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56"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56"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56"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56"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56"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56"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56"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56"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56"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56"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56"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56"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56"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56"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56"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56"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56"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56"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56"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56"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56"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56"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56"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56"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56"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56"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56"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56"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56"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56"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56"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56"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56"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56"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56"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56"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56"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56"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56"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56"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56"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56"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56"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56"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56"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56"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56"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56"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56"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56"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56"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56"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56"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56"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56"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56"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56"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56"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56"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56"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56"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56"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56"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56"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56"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56"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56"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56"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56"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56"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56"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56"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56"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56"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56"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56"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56"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56"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56"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56"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56"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56"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56"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56"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56"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56"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56"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56"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56"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56"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56"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56"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56"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56"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56"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56"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56"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56"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56"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56"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56"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56"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56"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56"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56"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56"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56"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56"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56"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56"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56"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56"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56"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56"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56"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56"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56"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56"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56"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56"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56"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56"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56"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56"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56"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56"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56"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56"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56"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56"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56"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56"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56"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56"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56"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56"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56"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56"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56"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56"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56"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56"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56"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56"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56"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56"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56"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56"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56"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56"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56"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56"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56"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56"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56"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56"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56"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56"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56"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56"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56"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56"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56"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56"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56"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56"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56"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56"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56"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56"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56"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56"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56"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56"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56"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56"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56"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56"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56"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56"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56"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56"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56"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56"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56"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56"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56"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56"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56"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56"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56"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56"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56"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56"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56"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56"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56"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56"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56"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56"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56"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56"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56"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56"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56"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56"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56"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56"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56"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56"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56"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56"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56"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56"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56"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56"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56"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56"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56"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56"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56"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56"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56"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56"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56"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56"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56"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56"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56"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56"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56"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56"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56"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56"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56"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56"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56"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56"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56"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56"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56"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56"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56"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56"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56"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56"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56"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56"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56"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56"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56"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56"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56"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56"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56"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56"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56"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56"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56"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56"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56"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56"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56"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56"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56"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56"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56"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56"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56"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56"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56"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56"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56"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56"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56"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56"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56"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56"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56"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56"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56"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56"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56"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56"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56"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56"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56"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0" t="inlineStr">
        <is>
          <t>Cheek Filler: The Secret Nobody Talks About</t>
        </is>
      </c>
      <c r="B1001" s="0" t="inlineStr">
        <is>
          <t>Carousel</t>
        </is>
      </c>
      <c r="C1001" s="0" t="inlineStr">
        <is>
          <t>Education</t>
        </is>
      </c>
      <c r="D1001" s="0" t="inlineStr">
        <is>
          <t>The treatment behind the best natural glow-ups.</t>
        </is>
      </c>
      <c r="E1001" s="0" t="inlineStr">
        <is>
          <t>Dropped from Oct 12 in the SEO replan. Strong for "dermal fillers"</t>
        </is>
      </c>
    </row>
    <row r="1002">
      <c r="A1002" s="0" t="inlineStr">
        <is>
          <t>Inside the Filler Appointment</t>
        </is>
      </c>
      <c r="B1002" s="0" t="inlineStr">
        <is>
          <t>Single Image</t>
        </is>
      </c>
      <c r="C1002" s="0" t="inlineStr">
        <is>
          <t>Personality &amp; BTS</t>
        </is>
      </c>
      <c r="D1002" s="0" t="inlineStr">
        <is>
          <t>Planned to the last drop.</t>
        </is>
      </c>
      <c r="E1002" s="0" t="inlineStr">
        <is>
          <t>Dropped from Oct 9 (Friday is off now)</t>
        </is>
      </c>
    </row>
    <row r="1003">
      <c r="A1003" s="0" t="inlineStr">
        <is>
          <t>5 Filler Lies You Still Believe</t>
        </is>
      </c>
      <c r="B1003" s="0" t="inlineStr">
        <is>
          <t>Carousel</t>
        </is>
      </c>
      <c r="C1003" s="0" t="inlineStr">
        <is>
          <t>Education</t>
        </is>
      </c>
      <c r="D1003" s="0" t="inlineStr">
        <is>
          <t>The sequel you asked for.</t>
        </is>
      </c>
      <c r="E1003" s="0" t="inlineStr">
        <is>
          <t>Dropped from Oct 26 in the SEO replan</t>
        </is>
      </c>
    </row>
    <row r="1004">
      <c r="A1004" s="0" t="inlineStr">
        <is>
          <t>3 Months of Honest Answers: The Recap</t>
        </is>
      </c>
      <c r="B1004" s="0" t="inlineStr">
        <is>
          <t>Carousel</t>
        </is>
      </c>
      <c r="C1004" s="0" t="inlineStr">
        <is>
          <t>Trust &amp; Proof</t>
        </is>
      </c>
      <c r="D1004" s="0" t="inlineStr">
        <is>
          <t>Real education. Real results. Thank you.</t>
        </is>
      </c>
      <c r="E1004" s="0" t="inlineStr">
        <is>
          <t>Dropped from Nov 12. Good for a December recap</t>
        </is>
      </c>
    </row>
  </sheetData>
  <autoFilter ref="A1:Z1004"/>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2026-09-02T01:12:38Z</dcterms:created>
  <dcterms:modified xsi:type="dcterms:W3CDTF">2026-09-28T17:31:29Z</dcterms:modified>
</cp:coreProperties>
</file>