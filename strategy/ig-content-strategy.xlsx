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Posting Schedule" sheetId="2" state="visible" r:id="rId4"/>
    <sheet name="Monthly Themes" sheetId="3" state="visible" r:id="rId5"/>
    <sheet name="Content Pillars" sheetId="4" state="visible" r:id="rId6"/>
    <sheet name="Hashtag Sets" sheetId="5" state="visible" r:id="rId7"/>
    <sheet name="Ideas Backlo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<sst xmlns="http://schemas.openxmlformats.org/spreadsheetml/2006/main" count="890" uniqueCount="393">
  <si>
    <t xml:space="preserve">Luxury Beauty by Cleo R</t>
  </si>
  <si>
    <t xml:space="preserve">Instagram Content Strategy. Aug 17 to Nov 15, 2026 (13 weeks, 65 posts)</t>
  </si>
  <si>
    <t xml:space="preserve">WEEKLY RHYTHM (5 posts per week)</t>
  </si>
  <si>
    <t xml:space="preserve">Monday</t>
  </si>
  <si>
    <t xml:space="preserve">Carousel 1: education pillar. Your biggest post of the week.</t>
  </si>
  <si>
    <t xml:space="preserve">Tuesday</t>
  </si>
  <si>
    <t xml:space="preserve">Reel or video. Cross-post to TikTok and Facebook Reels.</t>
  </si>
  <si>
    <t xml:space="preserve">Thursday</t>
  </si>
  <si>
    <t xml:space="preserve">Carousel 2: trust, proof, or personality pillar.</t>
  </si>
  <si>
    <t xml:space="preserve">Friday</t>
  </si>
  <si>
    <t xml:space="preserve">Saturday</t>
  </si>
  <si>
    <t xml:space="preserve">Quote, testimonial, or engagement post. Cross-post to FB and TikTok.</t>
  </si>
  <si>
    <t xml:space="preserve">HOW TO WORK THIS SHEET</t>
  </si>
  <si>
    <t xml:space="preserve">1. Plan</t>
  </si>
  <si>
    <t xml:space="preserve">Everything is pre-filled in the Posting Schedule tab. Adjust topics freely.</t>
  </si>
  <si>
    <t xml:space="preserve">2. Design</t>
  </si>
  <si>
    <t xml:space="preserve">Ask Claude to build any carousel from its row. Week 1 Monday is already done.</t>
  </si>
  <si>
    <t xml:space="preserve">3. Track</t>
  </si>
  <si>
    <t xml:space="preserve">Update the Status dropdown as each post moves: Idea, Design, Ready, Posted.</t>
  </si>
  <si>
    <t xml:space="preserve">4. Measure</t>
  </si>
  <si>
    <t xml:space="preserve">After 48 hours, fill Reach, Saves, Comments, DMs, Bookings from IG Insights.</t>
  </si>
  <si>
    <t xml:space="preserve">5. Repeat winners</t>
  </si>
  <si>
    <t xml:space="preserve">Anything with high saves or DMs becomes next month's sequel.</t>
  </si>
  <si>
    <t xml:space="preserve">YOU EDIT</t>
  </si>
  <si>
    <t xml:space="preserve">Status, Posted Link, and the performance columns. Everything else is a draft you may rewrite.</t>
  </si>
  <si>
    <t xml:space="preserve">STATUS SNAPSHOT</t>
  </si>
  <si>
    <t xml:space="preserve">Total posts planned</t>
  </si>
  <si>
    <t xml:space="preserve">Ideas</t>
  </si>
  <si>
    <t xml:space="preserve">In design</t>
  </si>
  <si>
    <t xml:space="preserve">Ready to post</t>
  </si>
  <si>
    <t xml:space="preserve">Posted</t>
  </si>
  <si>
    <t xml:space="preserve">Import to Google Sheets: drive.google.com &gt; New &gt; File upload &gt; pick this file &gt; open with Google Sheets.</t>
  </si>
  <si>
    <t xml:space="preserve">Date</t>
  </si>
  <si>
    <t xml:space="preserve">Day</t>
  </si>
  <si>
    <t xml:space="preserve">Week</t>
  </si>
  <si>
    <t xml:space="preserve">Month Theme</t>
  </si>
  <si>
    <t xml:space="preserve">Format</t>
  </si>
  <si>
    <t xml:space="preserve">Platforms</t>
  </si>
  <si>
    <t xml:space="preserve">Pillar</t>
  </si>
  <si>
    <t xml:space="preserve">Topic &amp; Hook</t>
  </si>
  <si>
    <t xml:space="preserve">Caption Draft</t>
  </si>
  <si>
    <t xml:space="preserve">CTA</t>
  </si>
  <si>
    <t xml:space="preserve">Hashtag Set</t>
  </si>
  <si>
    <t xml:space="preserve">Visual / Asset</t>
  </si>
  <si>
    <t xml:space="preserve">Status</t>
  </si>
  <si>
    <t xml:space="preserve">Posted Link</t>
  </si>
  <si>
    <t xml:space="preserve">Reach</t>
  </si>
  <si>
    <t xml:space="preserve">Saves</t>
  </si>
  <si>
    <t xml:space="preserve">Comments</t>
  </si>
  <si>
    <t xml:space="preserve">DMs</t>
  </si>
  <si>
    <t xml:space="preserve">Bookings</t>
  </si>
  <si>
    <t xml:space="preserve">Mon</t>
  </si>
  <si>
    <t xml:space="preserve">Botox, Honestly (Launch)</t>
  </si>
  <si>
    <t xml:space="preserve">Carousel</t>
  </si>
  <si>
    <t xml:space="preserve">Instagram feed</t>
  </si>
  <si>
    <t xml:space="preserve">Education</t>
  </si>
  <si>
    <t xml:space="preserve">5 Botox Lies You Still Believe | The truth, from a nurse injector.</t>
  </si>
  <si>
    <t xml:space="preserve">Half of what you have heard about Botox came from someone who saw bad work. Let's set the record straight. Which myth did you believe? Drop it below and share this with a friend who needs slide 5. ✨</t>
  </si>
  <si>
    <t xml:space="preserve">DM BOTOX or link in bio</t>
  </si>
  <si>
    <t xml:space="preserve">Set A</t>
  </si>
  <si>
    <t xml:space="preserve">READY: 8 slides in repo (design/renders/botox-myths)</t>
  </si>
  <si>
    <t xml:space="preserve">Ready</t>
  </si>
  <si>
    <t xml:space="preserve">Tue</t>
  </si>
  <si>
    <t xml:space="preserve">Reel / Video</t>
  </si>
  <si>
    <t xml:space="preserve">IG Reels + TikTok + FB Reels</t>
  </si>
  <si>
    <t xml:space="preserve">POV: Your First Botox Consult | Walk through what actually happens, no surprises.</t>
  </si>
  <si>
    <t xml:space="preserve">No pressure, no judgment, just a plan. This is what a real consultation looks like. 🎥 Sound on.</t>
  </si>
  <si>
    <t xml:space="preserve">Book yours. Link in bio</t>
  </si>
  <si>
    <t xml:space="preserve">Set D</t>
  </si>
  <si>
    <t xml:space="preserve">Film 20-30s vertical walkthrough</t>
  </si>
  <si>
    <t xml:space="preserve">Idea</t>
  </si>
  <si>
    <t xml:space="preserve">Thu</t>
  </si>
  <si>
    <t xml:space="preserve">Trust &amp; Proof</t>
  </si>
  <si>
    <t xml:space="preserve">5 Red Flags at a Med Spa. Run. | Your face deserves better than a bargain.</t>
  </si>
  <si>
    <t xml:space="preserve">A menu with no consultation, prices too good to be true, and nobody asking about your medical history. If you see these, walk away. Save this checklist before you book anywhere. 💛</t>
  </si>
  <si>
    <t xml:space="preserve">Save this checklist</t>
  </si>
  <si>
    <t xml:space="preserve">Set C</t>
  </si>
  <si>
    <t xml:space="preserve">Design in editorial template (sequel to Choosing the Right NP)</t>
  </si>
  <si>
    <t xml:space="preserve">Fri</t>
  </si>
  <si>
    <t xml:space="preserve">Personality &amp; BTS</t>
  </si>
  <si>
    <t xml:space="preserve">Drawing Up Botox: Prep With Me | Satisfying behind-the-scenes prep.</t>
  </si>
  <si>
    <t xml:space="preserve">Clean hands, precise dosing, zero shortcuts. This is the part you never see. ✨</t>
  </si>
  <si>
    <t xml:space="preserve">Follow for more BTS</t>
  </si>
  <si>
    <t xml:space="preserve">Film 15s ASMR-style prep clip</t>
  </si>
  <si>
    <t xml:space="preserve">Sat</t>
  </si>
  <si>
    <t xml:space="preserve">Quote / Engagement</t>
  </si>
  <si>
    <t xml:space="preserve">IG + FB + TikTok photo</t>
  </si>
  <si>
    <t xml:space="preserve">Quote: Great Work Is Invisible | Brand quote card.</t>
  </si>
  <si>
    <t xml:space="preserve">Great work is invisible. Bad work is what gave Botox its reputation. Agree or disagree? 👇</t>
  </si>
  <si>
    <t xml:space="preserve">Comment below</t>
  </si>
  <si>
    <t xml:space="preserve">Quote card in editorial brand style</t>
  </si>
  <si>
    <t xml:space="preserve">Your First Visit, Step by Step | Nervous about your first appointment? Here is exactly what happens.</t>
  </si>
  <si>
    <t xml:space="preserve">80 percent of first-timers tell me they waited years because they did not know what to expect. Consider this your preview. Send it to the friend who keeps saying one day.</t>
  </si>
  <si>
    <t xml:space="preserve">Book your consult. Link in bio</t>
  </si>
  <si>
    <t xml:space="preserve">Design in editorial template + treatment room photos</t>
  </si>
  <si>
    <t xml:space="preserve">3 Signs Your Injector Is Rushing You | Protect yourself in 20 seconds.</t>
  </si>
  <si>
    <t xml:space="preserve">If your consult is shorter than your coffee order, that is a problem. Watch for these three signs.</t>
  </si>
  <si>
    <t xml:space="preserve">Share to help a friend</t>
  </si>
  <si>
    <t xml:space="preserve">Film 20s talking-head reel</t>
  </si>
  <si>
    <t xml:space="preserve">Meet NP Cleo: The Face Behind the Glow | Real education. Real results. Real care.</t>
  </si>
  <si>
    <t xml:space="preserve">Before you trust someone with your face, you should know who they are. Here is my story, my training, and why I will always tell you the truth about what you need. 💛</t>
  </si>
  <si>
    <t xml:space="preserve">Say hi in the comments</t>
  </si>
  <si>
    <t xml:space="preserve">Portrait photos of Cleo (reuse cleo.png + new shots)</t>
  </si>
  <si>
    <t xml:space="preserve">Treatment Room Tour | Where the magic happens.</t>
  </si>
  <si>
    <t xml:space="preserve">Clean, calm, and designed for you to feel safe. Welcome to Luxury Beauty. Come see it in person. 💛</t>
  </si>
  <si>
    <t xml:space="preserve">Book a visit. Link in bio</t>
  </si>
  <si>
    <t xml:space="preserve">Film 15-20s room tour with music</t>
  </si>
  <si>
    <t xml:space="preserve">This or That: Rested vs Frozen | Engagement post.</t>
  </si>
  <si>
    <t xml:space="preserve">When you picture your results, which one are you actually asking for? Vote below. 👇</t>
  </si>
  <si>
    <t xml:space="preserve">Vote in the comments</t>
  </si>
  <si>
    <t xml:space="preserve">Two-panel graphic in brand style</t>
  </si>
  <si>
    <t xml:space="preserve">Preventative Botox: When to Actually Start | Your friend who never seems to age? This is why.</t>
  </si>
  <si>
    <t xml:space="preserve">Lines are easier to prevent than to erase. Here is how to know if your late 20s or 30s is the right time to start, and when it is genuinely too early.</t>
  </si>
  <si>
    <t xml:space="preserve">DM PREVENT for a consult</t>
  </si>
  <si>
    <t xml:space="preserve">Design in editorial template</t>
  </si>
  <si>
    <t xml:space="preserve">Botox Education Month</t>
  </si>
  <si>
    <t xml:space="preserve">Botox in Your 20s: The Truth | Preventative explained in 20 seconds.</t>
  </si>
  <si>
    <t xml:space="preserve">Too early? Too late? Here is the honest answer about when preventative Botox makes sense.</t>
  </si>
  <si>
    <t xml:space="preserve">DM PREVENT to talk</t>
  </si>
  <si>
    <t xml:space="preserve">What 20 Units Actually Looks Like | Unit math, finally explained.</t>
  </si>
  <si>
    <t xml:space="preserve">You have seen the price per unit. But what does 20 units actually do? Here is the honest breakdown of dosing, areas, and why cheaper per unit is not cheaper overall.</t>
  </si>
  <si>
    <t xml:space="preserve">Save this for your consult</t>
  </si>
  <si>
    <t xml:space="preserve">Design in editorial template + dosing diagram</t>
  </si>
  <si>
    <t xml:space="preserve">A Day in the Life of a Nurse Injector | From first coffee to last consult.</t>
  </si>
  <si>
    <t xml:space="preserve">The 6am start, the consults, the artistry, the aftercare texts. This is what your injector's day really looks like.</t>
  </si>
  <si>
    <t xml:space="preserve">Follow along</t>
  </si>
  <si>
    <t xml:space="preserve">Film day-in-the-life montage</t>
  </si>
  <si>
    <t xml:space="preserve">Quote: Prevention Beats Erasing | Brand quote card.</t>
  </si>
  <si>
    <t xml:space="preserve">Lines are easier to prevent than to erase. Save this reminder. ✨</t>
  </si>
  <si>
    <t xml:space="preserve">Save this</t>
  </si>
  <si>
    <t xml:space="preserve">Quote card in brand style</t>
  </si>
  <si>
    <t xml:space="preserve">Botox vs Dysport: The Real Difference | Same family. Different personalities.</t>
  </si>
  <si>
    <t xml:space="preserve">The most Googled question in aesthetics, answered honestly. Slide 5 explains why you should never compare prices unit to unit. Save this for later. ✨</t>
  </si>
  <si>
    <t xml:space="preserve">Book a consult. Link in bio</t>
  </si>
  <si>
    <t xml:space="preserve">Botox vs Dysport in 15 Seconds | The fastest honest comparison online.</t>
  </si>
  <si>
    <t xml:space="preserve">Same family, different personalities. Here is the 15-second version of the most asked question in aesthetics.</t>
  </si>
  <si>
    <t xml:space="preserve">Full breakdown on our feed</t>
  </si>
  <si>
    <t xml:space="preserve">Film 15s quick-cut reel</t>
  </si>
  <si>
    <t xml:space="preserve">Botox Aftercare: The First 48 Hours | You got Botox. Now what?</t>
  </si>
  <si>
    <t xml:space="preserve">The first 48 hours matter more than most people think. Here is exactly what to do, what to skip, and when to call me. Bookmark this one.</t>
  </si>
  <si>
    <t xml:space="preserve">Save this guide</t>
  </si>
  <si>
    <t xml:space="preserve">How I Map Your Face | BTS: the assessment before a single unit.</t>
  </si>
  <si>
    <t xml:space="preserve">Every face is different. Here is how I plan your treatment before anything touches your skin.</t>
  </si>
  <si>
    <t xml:space="preserve">Book your mapping. Link in bio</t>
  </si>
  <si>
    <t xml:space="preserve">Film 20-30s assessment BTS</t>
  </si>
  <si>
    <t xml:space="preserve">FAQ: Does Botox Hurt? | Honest answer, no fluff.</t>
  </si>
  <si>
    <t xml:space="preserve">The honest answer: less than plucking a brow. Here is what it actually feels like and how we keep you comfortable.</t>
  </si>
  <si>
    <t xml:space="preserve">More questions? DM me</t>
  </si>
  <si>
    <t xml:space="preserve">FAQ card or 10s clip</t>
  </si>
  <si>
    <t xml:space="preserve">5 Things Botox Can't Do | Honest expectations, always.</t>
  </si>
  <si>
    <t xml:space="preserve">Botox is amazing at what it does. But it cannot do everything, and anyone who says otherwise is selling you something. Here is what it fixes and what needs a different plan.</t>
  </si>
  <si>
    <t xml:space="preserve">Comment your questions</t>
  </si>
  <si>
    <t xml:space="preserve">What Botox Can't Fix | Save this before your consult.</t>
  </si>
  <si>
    <t xml:space="preserve">Sagging skin, volume loss, texture. Botox is not the tool for everything. Here is what works instead.</t>
  </si>
  <si>
    <t xml:space="preserve">Still You, Just Refreshed | You won't look done. You'll look rested.</t>
  </si>
  <si>
    <t xml:space="preserve">The 2026 standard is not transformation. It is restoration. My goal is that people ask if you have been on vacation, not what you had done. 💛</t>
  </si>
  <si>
    <t xml:space="preserve">DM GLOW to start</t>
  </si>
  <si>
    <t xml:space="preserve">READY: template exists (design/slides.html), needs photos</t>
  </si>
  <si>
    <t xml:space="preserve">Myth or Fact: Rapid Fire | 6 aesthetics claims in 30 seconds.</t>
  </si>
  <si>
    <t xml:space="preserve">Frozen faces, addiction, men and Botox. Let's rapid-fire the truth. How many did you get right?</t>
  </si>
  <si>
    <t xml:space="preserve">Score in the comments</t>
  </si>
  <si>
    <t xml:space="preserve">Film 30s rapid-fire reel</t>
  </si>
  <si>
    <t xml:space="preserve">Client Words: Natural Results | Testimonial graphic.</t>
  </si>
  <si>
    <t xml:space="preserve">Nobody could tell. They just kept saying I looked happy and rested. That is the whole goal. 💛 (Shared with permission.)</t>
  </si>
  <si>
    <t xml:space="preserve">Your turn. Link in bio</t>
  </si>
  <si>
    <t xml:space="preserve">Testimonial quote card (with consent)</t>
  </si>
  <si>
    <t xml:space="preserve">Botox or Filler? You Might Be Asking for the Wrong One | Lines or volume? They are not the same problem.</t>
  </si>
  <si>
    <t xml:space="preserve">Half the DMs I get ask for the wrong treatment. Here is the simple way to know whether your concern is about movement or volume, and what that means for your plan.</t>
  </si>
  <si>
    <t xml:space="preserve">DM CONSULT and I will help</t>
  </si>
  <si>
    <t xml:space="preserve">Set B</t>
  </si>
  <si>
    <t xml:space="preserve">Lines vs Volume in 20 Seconds | Which one is your concern?</t>
  </si>
  <si>
    <t xml:space="preserve">Look in the mirror and smile. Movement lines or lost volume? The answer decides your treatment. Here is how to tell.</t>
  </si>
  <si>
    <t xml:space="preserve">DM CONSULT for help</t>
  </si>
  <si>
    <t xml:space="preserve">Film 20s explainer reel</t>
  </si>
  <si>
    <t xml:space="preserve">Ask NP Cleo: Your Questions, Answered Honestly | You asked. I answered. No filter.</t>
  </si>
  <si>
    <t xml:space="preserve">This month you sent amazing questions. Here are the honest answers, including the one nobody else will give you about cheap Botox. Keep them coming. 👇</t>
  </si>
  <si>
    <t xml:space="preserve">Drop your question below</t>
  </si>
  <si>
    <t xml:space="preserve">Design Q&amp;A layout from real DM questions</t>
  </si>
  <si>
    <t xml:space="preserve">Answering Your DMs on Camera | Your real questions, my honest answers.</t>
  </si>
  <si>
    <t xml:space="preserve">You asked about pricing, pain, and how to spot filters. I answered everything on camera. No scripts.</t>
  </si>
  <si>
    <t xml:space="preserve">Send your question</t>
  </si>
  <si>
    <t xml:space="preserve">Film 30-45s Q&amp;A reel</t>
  </si>
  <si>
    <t xml:space="preserve">Poll: What Should NP Cleo Cover Next? | Audience chooses next month's content.</t>
  </si>
  <si>
    <t xml:space="preserve">October is filler month. What do you want the truth about first: lips, cheeks, or under eyes? Vote. 👇</t>
  </si>
  <si>
    <t xml:space="preserve">Vote in comments</t>
  </si>
  <si>
    <t xml:space="preserve">Poll graphic + story poll</t>
  </si>
  <si>
    <t xml:space="preserve">How Long Does Botox Really Last? | The honest timeline, month by month.</t>
  </si>
  <si>
    <t xml:space="preserve">Anyone promising six months is overpromising. Here is the real timeline, what makes it fade faster, and how to make results last longer.</t>
  </si>
  <si>
    <t xml:space="preserve">Save this timeline</t>
  </si>
  <si>
    <t xml:space="preserve">Design timeline layout in editorial template</t>
  </si>
  <si>
    <t xml:space="preserve">The 3-Month Botox Timeline | Week by week, what to expect.</t>
  </si>
  <si>
    <t xml:space="preserve">Day 3, week 2, month 3. Here is exactly how your results evolve, in 20 seconds.</t>
  </si>
  <si>
    <t xml:space="preserve">Film 20s timeline reel</t>
  </si>
  <si>
    <t xml:space="preserve">Fillers, Naturally</t>
  </si>
  <si>
    <t xml:space="preserve">Why We Sometimes Say No | A provider who says yes to everyone is a red flag.</t>
  </si>
  <si>
    <t xml:space="preserve">I have turned people away, and they thanked me later. Here is why honest candidacy matters and what it says about any provider who never says no.</t>
  </si>
  <si>
    <t xml:space="preserve">Book an honest consult</t>
  </si>
  <si>
    <t xml:space="preserve">What I Tell Every First-Timer | The pep talk before every first appointment.</t>
  </si>
  <si>
    <t xml:space="preserve">If you are nervous, this is for you. Here is what I tell every single first-time patient before we start.</t>
  </si>
  <si>
    <t xml:space="preserve">Book your first visit</t>
  </si>
  <si>
    <t xml:space="preserve">Film 20-30s talking-head reel</t>
  </si>
  <si>
    <t xml:space="preserve">Quote: No Is Protection | Brand quote card.</t>
  </si>
  <si>
    <t xml:space="preserve">An honest provider will sometimes tell you no. That is protection, not rejection. ✨</t>
  </si>
  <si>
    <t xml:space="preserve">Share this</t>
  </si>
  <si>
    <t xml:space="preserve">Filler Won't Make You Look Fake. Bad Technique Does. | The fear is real. The cause is not what you think.</t>
  </si>
  <si>
    <t xml:space="preserve">Every overdone face you have seen came from heavy hands, not from filler itself. Great work is invisible. You have seen it a hundred times without knowing. ✨</t>
  </si>
  <si>
    <t xml:space="preserve">DM FILLER for a consult</t>
  </si>
  <si>
    <t xml:space="preserve">Design in editorial template. October filler month opener</t>
  </si>
  <si>
    <t xml:space="preserve">Why Filler Looks Fake (Sometimes) | It is not the filler. It is the hands.</t>
  </si>
  <si>
    <t xml:space="preserve">Overfilled faces come from bad technique, wrong product, wrong placement. Here is the 20-second truth.</t>
  </si>
  <si>
    <t xml:space="preserve">Full carousel on our feed</t>
  </si>
  <si>
    <t xml:space="preserve">Lip Filler: Natural vs Overdone | The difference is the injector.</t>
  </si>
  <si>
    <t xml:space="preserve">Soft, balanced, still you. Here is what separates natural lip results from the duck lips everyone fears, and the questions to ask before anyone touches your lips.</t>
  </si>
  <si>
    <t xml:space="preserve">Save before you book anywhere</t>
  </si>
  <si>
    <t xml:space="preserve">Design in editorial template + consented lip photos</t>
  </si>
  <si>
    <t xml:space="preserve">Filler Prep: Behind the Scenes | The setup you never see.</t>
  </si>
  <si>
    <t xml:space="preserve">Cannulas vs needles, numbing, planning. Here is everything that happens before a single drop of filler.</t>
  </si>
  <si>
    <t xml:space="preserve">Follow for filler month</t>
  </si>
  <si>
    <t xml:space="preserve">Film 20s BTS prep clip</t>
  </si>
  <si>
    <t xml:space="preserve">Quote: Subtle Is the New Dramatic | Brand quote card.</t>
  </si>
  <si>
    <t xml:space="preserve">Subtle is the new dramatic. The best work whispers. 💛</t>
  </si>
  <si>
    <t xml:space="preserve">Cheek Filler: The Secret Nobody Talks About | The treatment behind the best natural glow-ups.</t>
  </si>
  <si>
    <t xml:space="preserve">Everyone asks about lips. But cheek filler is quietly behind some of the most natural transformations you have seen. Here is how facial balancing works.</t>
  </si>
  <si>
    <t xml:space="preserve">DM CHEEKS to learn more</t>
  </si>
  <si>
    <t xml:space="preserve">Cheek Filler in 20 Seconds | The most underrated treatment, explained.</t>
  </si>
  <si>
    <t xml:space="preserve">Lifted, refreshed, never puffy. Here is what cheek filler actually does when it is done right.</t>
  </si>
  <si>
    <t xml:space="preserve">Is Filler Right for You? An Honest Checklist | Not everyone is a candidate. Here is how to know.</t>
  </si>
  <si>
    <t xml:space="preserve">An honest provider will sometimes tell you not yet. Run through this checklist before your consult and you will walk in knowing exactly what to ask.</t>
  </si>
  <si>
    <t xml:space="preserve">Facial Balancing Breakdown | Why the plan matters more than the syringe.</t>
  </si>
  <si>
    <t xml:space="preserve">One syringe in the right place beats three in the wrong ones. Here is how facial balancing thinking works.</t>
  </si>
  <si>
    <t xml:space="preserve">Book a balancing consult</t>
  </si>
  <si>
    <t xml:space="preserve">Film 30s explainer with face map graphic</t>
  </si>
  <si>
    <t xml:space="preserve">FAQ: How Much Filler Do I Need? | The honest answer.</t>
  </si>
  <si>
    <t xml:space="preserve">Less than Instagram makes you think. Most natural results start with one syringe or less. Here is why.</t>
  </si>
  <si>
    <t xml:space="preserve">More FAQs? DM me</t>
  </si>
  <si>
    <t xml:space="preserve">FAQ card in brand style</t>
  </si>
  <si>
    <t xml:space="preserve">Filler Dissolves. Here Is the Real Timeline. | What they do not tell you about longevity.</t>
  </si>
  <si>
    <t xml:space="preserve">Filler is not forever, and that is a feature, not a flaw. Here is how long each area really lasts and what maintenance actually looks like.</t>
  </si>
  <si>
    <t xml:space="preserve">Book your plan. Link in bio</t>
  </si>
  <si>
    <t xml:space="preserve">Design timeline layout</t>
  </si>
  <si>
    <t xml:space="preserve">What Happens When Filler Dissolves | The timeline nobody explains.</t>
  </si>
  <si>
    <t xml:space="preserve">It does not vanish overnight and you will not deflate. Here is what actually happens as filler fades.</t>
  </si>
  <si>
    <t xml:space="preserve">Lip Filler Aftercare: Your First Week | Swelling is normal. Panic is optional.</t>
  </si>
  <si>
    <t xml:space="preserve">Day 1 looks different from day 7. Here is the honest day-by-day so you know exactly what is normal and when to reach out. Save this before your appointment.</t>
  </si>
  <si>
    <t xml:space="preserve">Aftercare in 15 Seconds | Save this for after your appointment.</t>
  </si>
  <si>
    <t xml:space="preserve">Ice, no gym for 24 hours, sleep on your back, and message me with anything. That is it. Save this. ✨</t>
  </si>
  <si>
    <t xml:space="preserve">Save + share</t>
  </si>
  <si>
    <t xml:space="preserve">Film 15s quick-tips reel</t>
  </si>
  <si>
    <t xml:space="preserve">Client Words: The Lip Glow-Up | Testimonial graphic.</t>
  </si>
  <si>
    <t xml:space="preserve">I finally got my lips done and nobody said filler. They said I looked prettier and could not say why. (Shared with permission.) 💛</t>
  </si>
  <si>
    <t xml:space="preserve">Your turn. DM FILLER</t>
  </si>
  <si>
    <t xml:space="preserve">Testimonial card (with consent)</t>
  </si>
  <si>
    <t xml:space="preserve">5 Filler Lies You Still Believe | The sequel you asked for.</t>
  </si>
  <si>
    <t xml:space="preserve">You loved the Botox edition, so here is the filler truth round. Slide 4 is the one that surprises everyone. Share it with your group chat. ✨</t>
  </si>
  <si>
    <t xml:space="preserve">Share with a friend</t>
  </si>
  <si>
    <t xml:space="preserve">Design in editorial template. Sequel to Botox lies</t>
  </si>
  <si>
    <t xml:space="preserve">Filler Myths: Rapid Fire | 5 filler lies in 30 seconds.</t>
  </si>
  <si>
    <t xml:space="preserve">It stretches your lips, it is permanent, everyone can tell. Rapid-fire truth round. How many did you believe?</t>
  </si>
  <si>
    <t xml:space="preserve">Facial Balancing: Why We Treat Faces, Not Lines | Chasing lines is old school.</t>
  </si>
  <si>
    <t xml:space="preserve">Great aesthetics looks at the whole face: proportions, balance, harmony. Here is why the best results come from a plan, not a single syringe.</t>
  </si>
  <si>
    <t xml:space="preserve">DM BALANCE for a consult</t>
  </si>
  <si>
    <t xml:space="preserve">Why I Treat Faces, Not Lines | The philosophy behind natural results.</t>
  </si>
  <si>
    <t xml:space="preserve">Chasing individual lines is old school. Balance and harmony are why my patients look rested instead of done.</t>
  </si>
  <si>
    <t xml:space="preserve">Ask Anything: Filler Edition | Engagement post.</t>
  </si>
  <si>
    <t xml:space="preserve">Filler month is almost over. Drop every remaining question below and I will answer all of them. No judgment. 👇</t>
  </si>
  <si>
    <t xml:space="preserve">Comment your question</t>
  </si>
  <si>
    <t xml:space="preserve">Engagement graphic in brand style</t>
  </si>
  <si>
    <t xml:space="preserve">Rested by the Holidays</t>
  </si>
  <si>
    <t xml:space="preserve">Promo &amp; CTA</t>
  </si>
  <si>
    <t xml:space="preserve">Rested by the Holidays: Your Treatment Timeline | Party season is closer than you think.</t>
  </si>
  <si>
    <t xml:space="preserve">Botox needs 2 weeks to settle. Filler needs up to 4. If you want to glow in the December photos, here is exactly when to book each treatment. 🗓️</t>
  </si>
  <si>
    <t xml:space="preserve">Book now. Link in bio</t>
  </si>
  <si>
    <t xml:space="preserve">Set E</t>
  </si>
  <si>
    <t xml:space="preserve">Design holiday timeline layout</t>
  </si>
  <si>
    <t xml:space="preserve">Holiday Timeline: Book Now, Glow by December | Work backwards from party season.</t>
  </si>
  <si>
    <t xml:space="preserve">Botox needs 2 weeks. Filler needs 4. December is closer than you think. Here is the math in 15 seconds. 🗓️</t>
  </si>
  <si>
    <t xml:space="preserve">Film 15s countdown-style reel</t>
  </si>
  <si>
    <t xml:space="preserve">Party Season Prep: What to Book and When | Your holiday glow, planned backwards.</t>
  </si>
  <si>
    <t xml:space="preserve">Work back from your event date and nothing is rushed, nothing is swollen, and everything looks like you. Here is the smart booking order.</t>
  </si>
  <si>
    <t xml:space="preserve">DM HOLIDAY to book</t>
  </si>
  <si>
    <t xml:space="preserve">Getting the Clinic Holiday Ready | BTS: decorating and booking season.</t>
  </si>
  <si>
    <t xml:space="preserve">The tree is up, the calendar is filling, and the glow-up season is officially here. Come see us. ✨</t>
  </si>
  <si>
    <t xml:space="preserve">Book your spot</t>
  </si>
  <si>
    <t xml:space="preserve">Film 15-20s BTS holiday clip</t>
  </si>
  <si>
    <t xml:space="preserve">Quote: Book the Appointment | Seasonal self-care push.</t>
  </si>
  <si>
    <t xml:space="preserve">You cannot pour from an empty cup. Book the appointment. Take the hour. You have earned it. 💛</t>
  </si>
  <si>
    <t xml:space="preserve">Link in bio</t>
  </si>
  <si>
    <t xml:space="preserve">The Gift of Glow: Gift Certificates Are Here | The present nobody returns.</t>
  </si>
  <si>
    <t xml:space="preserve">Give the people you love something they actually want. Luxury Beauty gift certificates are available in any amount, wrapped and ready. 🎁</t>
  </si>
  <si>
    <t xml:space="preserve">DM GIFT to order</t>
  </si>
  <si>
    <t xml:space="preserve">Design gift certificate reveal layout</t>
  </si>
  <si>
    <t xml:space="preserve">Gift Certificate Reveal | The present nobody returns.</t>
  </si>
  <si>
    <t xml:space="preserve">Gift certificates are officially here, in any amount, wrapped and beautiful. Watch the reveal. 🎁</t>
  </si>
  <si>
    <t xml:space="preserve">Film 15s unboxing-style reveal</t>
  </si>
  <si>
    <t xml:space="preserve">3 Months of Honest Answers: The Recap | Real education. Real results. Thank you.</t>
  </si>
  <si>
    <t xml:space="preserve">Since August we have busted myths, answered your questions, and kept every promise about natural results. Here are the posts you loved most, in case you missed one. 💛</t>
  </si>
  <si>
    <t xml:space="preserve">Follow for what is next</t>
  </si>
  <si>
    <t xml:space="preserve">Compile top slides from past carousels</t>
  </si>
  <si>
    <t xml:space="preserve">Thank You: 3 Months of Honest Aesthetics | Gratitude reel + highlights.</t>
  </si>
  <si>
    <t xml:space="preserve">Since August you have asked incredible questions and trusted us with the answers. Here is to honest aesthetics. Thank you. 💛</t>
  </si>
  <si>
    <t xml:space="preserve">Compile highlight montage</t>
  </si>
  <si>
    <t xml:space="preserve">Tag Someone Who Deserves a Glow-Up Gift | Engagement + promo close.</t>
  </si>
  <si>
    <t xml:space="preserve">Know someone who never treats themselves? Tag them below. We will take care of the rest. 🎁</t>
  </si>
  <si>
    <t xml:space="preserve">Tag a friend</t>
  </si>
  <si>
    <t xml:space="preserve">Period</t>
  </si>
  <si>
    <t xml:space="preserve">Theme</t>
  </si>
  <si>
    <t xml:space="preserve">Goal</t>
  </si>
  <si>
    <t xml:space="preserve">Carousel Topics</t>
  </si>
  <si>
    <t xml:space="preserve">Reel / Syndication Focus</t>
  </si>
  <si>
    <t xml:space="preserve">August 17-31</t>
  </si>
  <si>
    <t xml:space="preserve">Launch the educational brand voice and post the finished Botox myths carousel</t>
  </si>
  <si>
    <t xml:space="preserve">5 Botox Lies (ready) / 5 Red Flags / First Visit / Meet NP Cleo</t>
  </si>
  <si>
    <t xml:space="preserve">Consult POV, BTS prep, injector-choice safety</t>
  </si>
  <si>
    <t xml:space="preserve">September</t>
  </si>
  <si>
    <t xml:space="preserve">Own every Botox question a first-timer Googles</t>
  </si>
  <si>
    <t xml:space="preserve">Preventative / 20 Units / Botox vs Dysport / Aftercare / What Botox Can't Do / Natural Promise / Botox or Filler / Ask Cleo / How Long It Lasts / Why We Say No</t>
  </si>
  <si>
    <t xml:space="preserve">Quick explainers, myth rapid-fire, day in the life, FAQ cards</t>
  </si>
  <si>
    <t xml:space="preserve">October</t>
  </si>
  <si>
    <t xml:space="preserve">Convert filler fear into filler bookings with honesty-first education</t>
  </si>
  <si>
    <t xml:space="preserve">Not Fake / Lips Natural vs Overdone / Cheek Filler / Candidacy Checklist / Dissolve Timeline / Lip Aftercare / 5 Filler Lies / Facial Balancing</t>
  </si>
  <si>
    <t xml:space="preserve">Filler explainers, BTS prep, testimonials, FAQ</t>
  </si>
  <si>
    <t xml:space="preserve">November 1-15</t>
  </si>
  <si>
    <t xml:space="preserve">Create urgency: book now to glow for party season + launch gift certificates</t>
  </si>
  <si>
    <t xml:space="preserve">Holiday Timeline / Party Season Prep / Gift of Glow / 3-Month Recap</t>
  </si>
  <si>
    <t xml:space="preserve">Countdown reels, holiday BTS, gift reveal, tag-a-friend</t>
  </si>
  <si>
    <t xml:space="preserve">Share of Posts</t>
  </si>
  <si>
    <t xml:space="preserve">What It Is</t>
  </si>
  <si>
    <t xml:space="preserve">Formats</t>
  </si>
  <si>
    <t xml:space="preserve">Success Metric</t>
  </si>
  <si>
    <t xml:space="preserve">40%</t>
  </si>
  <si>
    <t xml:space="preserve">Teach one thing per post: myths, comparisons, timelines, aftercare, candidacy</t>
  </si>
  <si>
    <t xml:space="preserve">Carousels, explainer reels, FAQ cards</t>
  </si>
  <si>
    <t xml:space="preserve">Saves and shares</t>
  </si>
  <si>
    <t xml:space="preserve">25%</t>
  </si>
  <si>
    <t xml:space="preserve">Show honesty and results: testimonials, natural-results promise, why we say no</t>
  </si>
  <si>
    <t xml:space="preserve">Quote cards, testimonial posts, philosophy carousels</t>
  </si>
  <si>
    <t xml:space="preserve">DMs and consults</t>
  </si>
  <si>
    <t xml:space="preserve">20%</t>
  </si>
  <si>
    <t xml:space="preserve">Humanize NP Cleo: day in the life, room tours, Q&amp;A, prep clips</t>
  </si>
  <si>
    <t xml:space="preserve">BTS reels, Q&amp;A posts, polls</t>
  </si>
  <si>
    <t xml:space="preserve">Comments and follows</t>
  </si>
  <si>
    <t xml:space="preserve">15%</t>
  </si>
  <si>
    <t xml:space="preserve">Direct booking pushes: seasonal timelines, gift certificates, offers</t>
  </si>
  <si>
    <t xml:space="preserve">Timeline reels, promo carousels, engagement + tag posts</t>
  </si>
  <si>
    <t xml:space="preserve">Set</t>
  </si>
  <si>
    <t xml:space="preserve">Name</t>
  </si>
  <si>
    <t xml:space="preserve">Hashtags (copy-paste)</t>
  </si>
  <si>
    <t xml:space="preserve">Botox Education</t>
  </si>
  <si>
    <t xml:space="preserve">#botox #botoxeducation #botoxmyths #preventativebotox #antiwrinkleinjections #nurseinjector #medspa #naturalbotox #botoxbeforeandafter #aestheticnurse</t>
  </si>
  <si>
    <t xml:space="preserve">Filler</t>
  </si>
  <si>
    <t xml:space="preserve">#dermalfiller #lipfiller #cheekfiller #naturalfiller #facialbalancing #lipfillernatural #aestheticnurse #medspa #fillerjourney #lipgoals</t>
  </si>
  <si>
    <t xml:space="preserve">Brand &amp; Trust</t>
  </si>
  <si>
    <t xml:space="preserve">#npinjector #nursepractitioner #medspalife #luxurybeauty #aestheticnurse #skincareexpert #beautyclinic #selfcare #naturalresults #honestbeauty</t>
  </si>
  <si>
    <t xml:space="preserve">Reels &amp; TikTok</t>
  </si>
  <si>
    <t xml:space="preserve">#medspatiktok #botoxtok #aesthetictok #injectorlife #beautyreels #skincareroutine #glowup #aesthetics #medspareels #beautytok</t>
  </si>
  <si>
    <t xml:space="preserve">Promo &amp; Seasonal</t>
  </si>
  <si>
    <t xml:space="preserve">#holidayglow #treatyourself #giftcertificate #bookyourappointment #medspaspecial #glowupseason #selfcaregift #luxuryselfcare #holidayready #giftideas</t>
  </si>
  <si>
    <t xml:space="preserve">Hook</t>
  </si>
  <si>
    <t xml:space="preserve">Notes</t>
  </si>
  <si>
    <t xml:space="preserve">Price transparency: what it actually costs</t>
  </si>
  <si>
    <t xml:space="preserve">Let's talk prices. For real.</t>
  </si>
  <si>
    <t xml:space="preserve">From playbook. Strong differentiator, almost nobody does it</t>
  </si>
  <si>
    <t xml:space="preserve">Progress series: 3 sessions, one client</t>
  </si>
  <si>
    <t xml:space="preserve">3 sessions. Watch what happened.</t>
  </si>
  <si>
    <t xml:space="preserve">Needs client consent and photos over time</t>
  </si>
  <si>
    <t xml:space="preserve">Under-eye filler: the honest truth</t>
  </si>
  <si>
    <t xml:space="preserve">The most requested, most misunderstood treatment.</t>
  </si>
  <si>
    <t xml:space="preserve">High search volume topic</t>
  </si>
  <si>
    <t xml:space="preserve">Men and Botox: the fastest growing clients</t>
  </si>
  <si>
    <t xml:space="preserve">Brotox is not a trend. It is a Tuesday.</t>
  </si>
  <si>
    <t xml:space="preserve">Untapped audience</t>
  </si>
  <si>
    <t xml:space="preserve">What filters did to beauty standards</t>
  </si>
  <si>
    <t xml:space="preserve">Your face is not supposed to look like a filter.</t>
  </si>
  <si>
    <t xml:space="preserve">Emotional, highly shareable</t>
  </si>
  <si>
    <t xml:space="preserve">Skincare before injectables: the right order</t>
  </si>
  <si>
    <t xml:space="preserve">Do this before you spend a dollar on filler.</t>
  </si>
  <si>
    <t xml:space="preserve">Positions you as honest advisor</t>
  </si>
  <si>
    <t xml:space="preserve">IG Live: Ask Me Anything</t>
  </si>
  <si>
    <t xml:space="preserve">Live + Reel clips</t>
  </si>
  <si>
    <t xml:space="preserve">Monthly live Q&amp;A, clip the best answers into reels</t>
  </si>
  <si>
    <t xml:space="preserve">Each live produces 3-5 reels</t>
  </si>
  <si>
    <t xml:space="preserve">Duet or stitch a Botox myth video</t>
  </si>
  <si>
    <t xml:space="preserve">TikTok / Reel</t>
  </si>
  <si>
    <t xml:space="preserve">React to viral misinformation with facts</t>
  </si>
  <si>
    <t xml:space="preserve">TikTok native format, high reach</t>
  </si>
  <si>
    <t xml:space="preserve">Get ready with me: injector edition</t>
  </si>
  <si>
    <t xml:space="preserve">Reel / TikTok</t>
  </si>
  <si>
    <t xml:space="preserve">GRWM for a day of consults</t>
  </si>
  <si>
    <t xml:space="preserve">Trending format</t>
  </si>
  <si>
    <t xml:space="preserve">Before your event checklist</t>
  </si>
  <si>
    <t xml:space="preserve">Reel</t>
  </si>
  <si>
    <t xml:space="preserve">Wedding or reunion coming? Watch this first.</t>
  </si>
  <si>
    <t xml:space="preserve">Evergreen, re-post seasonally</t>
  </si>
</sst>
</file>

<file path=xl/styles.xml><?xml version="1.0" encoding="utf-8"?>
<styleSheet xmlns="http://schemas.openxmlformats.org/spreadsheetml/2006/main">
  <numFmts count="2">
    <numFmt numFmtId="164" formatCode="General"/>
    <numFmt numFmtId="165" formatCode="mmm\ d&quot;, &quot;yyyy"/>
  </numFmts>
  <fonts count="11">
    <font>
      <sz val="11"/>
      <color theme="1"/>
      <name val="Calibri"/>
      <family val="2"/>
      <charset val="1"/>
    </font>
    <font>
      <sz val="10"/>
      <name val="Arial"/>
      <family val="0"/>
    </font>
    <font>
      <sz val="10"/>
      <name val="Arial"/>
      <family val="0"/>
    </font>
    <font>
      <sz val="10"/>
      <name val="Arial"/>
      <family val="0"/>
    </font>
    <font>
      <b val="true"/>
      <sz val="16"/>
      <color rgb="FF2E2A23"/>
      <name val="Arial"/>
      <family val="0"/>
      <charset val="1"/>
    </font>
    <font>
      <sz val="11"/>
      <color rgb="FF6E6557"/>
      <name val="Arial"/>
      <family val="0"/>
      <charset val="1"/>
    </font>
    <font>
      <b val="true"/>
      <sz val="10"/>
      <name val="Arial"/>
      <family val="0"/>
      <charset val="1"/>
    </font>
    <font>
      <sz val="10"/>
      <name val="Arial"/>
      <family val="0"/>
      <charset val="1"/>
    </font>
    <font>
      <b val="true"/>
      <sz val="11"/>
      <color rgb="FF2E2A23"/>
      <name val="Arial"/>
      <family val="0"/>
      <charset val="1"/>
    </font>
    <font>
      <i val="true"/>
      <sz val="9"/>
      <color rgb="FF6E6557"/>
      <name val="Arial"/>
      <family val="0"/>
      <charset val="1"/>
    </font>
    <font>
      <b val="true"/>
      <sz val="10"/>
      <color rgb="FFFFFFFF"/>
      <name val="Arial"/>
      <family val="0"/>
      <charset val="1"/>
    </font>
  </fonts>
  <fills count="4">
    <fill>
      <patternFill patternType="none"/>
    </fill>
    <fill>
      <patternFill patternType="gray125"/>
    </fill>
    <fill>
      <patternFill patternType="solid">
        <fgColor rgb="FF2E2A23"/>
        <bgColor rgb="FF333300"/>
      </patternFill>
    </fill>
    <fill>
      <patternFill patternType="solid">
        <fgColor rgb="FFF3EEE5"/>
        <bgColor rgb="FFFFFFFF"/>
      </patternFill>
    </fill>
  </fills>
  <borders count="2">
    <border diagonalUp="false" diagonalDown="false">
      <left/>
      <right/>
      <top/>
      <bottom/>
      <diagonal/>
    </border>
    <border diagonalUp="false" diagonalDown="false">
      <left style="thin">
        <color rgb="FFD8D0C0"/>
      </left>
      <right style="thin">
        <color rgb="FFD8D0C0"/>
      </right>
      <top style="thin">
        <color rgb="FFD8D0C0"/>
      </top>
      <bottom style="thin">
        <color rgb="FFD8D0C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50"/>
    <col collapsed="false" customWidth="true" hidden="false" outlineLevel="0" max="4" min="4" style="0" width="30"/>
    <col collapsed="false" customWidth="true" hidden="false" outlineLevel="0" max="6" min="5" style="0" width="2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5" t="s">
        <v>2</v>
      </c>
      <c r="C6" s="4"/>
    </row>
    <row r="7" customFormat="false" ht="15" hidden="false" customHeight="false" outlineLevel="0" collapsed="false">
      <c r="B7" s="3" t="s">
        <v>3</v>
      </c>
      <c r="C7" s="4" t="s">
        <v>4</v>
      </c>
    </row>
    <row r="8" customFormat="false" ht="15" hidden="false" customHeight="false" outlineLevel="0" collapsed="false">
      <c r="B8" s="3" t="s">
        <v>5</v>
      </c>
      <c r="C8" s="4" t="s">
        <v>6</v>
      </c>
    </row>
    <row r="9" customFormat="false" ht="15" hidden="false" customHeight="false" outlineLevel="0" collapsed="false">
      <c r="B9" s="3" t="s">
        <v>7</v>
      </c>
      <c r="C9" s="4" t="s">
        <v>8</v>
      </c>
    </row>
    <row r="10" customFormat="false" ht="15" hidden="false" customHeight="false" outlineLevel="0" collapsed="false">
      <c r="B10" s="3" t="s">
        <v>9</v>
      </c>
      <c r="C10" s="4" t="s">
        <v>6</v>
      </c>
    </row>
    <row r="11" customFormat="false" ht="15" hidden="false" customHeight="false" outlineLevel="0" collapsed="false">
      <c r="B11" s="3" t="s">
        <v>10</v>
      </c>
      <c r="C11" s="4" t="s">
        <v>11</v>
      </c>
    </row>
    <row r="12" customFormat="false" ht="15" hidden="false" customHeight="false" outlineLevel="0" collapsed="false">
      <c r="B12" s="3"/>
      <c r="C12" s="4"/>
    </row>
    <row r="13" customFormat="false" ht="15" hidden="false" customHeight="false" outlineLevel="0" collapsed="false">
      <c r="B13" s="5" t="s">
        <v>12</v>
      </c>
      <c r="C13" s="4"/>
    </row>
    <row r="14" customFormat="false" ht="15" hidden="false" customHeight="false" outlineLevel="0" collapsed="false">
      <c r="B14" s="3" t="s">
        <v>13</v>
      </c>
      <c r="C14" s="4" t="s">
        <v>14</v>
      </c>
    </row>
    <row r="15" customFormat="false" ht="23.85" hidden="false" customHeight="false" outlineLevel="0" collapsed="false">
      <c r="B15" s="3" t="s">
        <v>15</v>
      </c>
      <c r="C15" s="4" t="s">
        <v>16</v>
      </c>
    </row>
    <row r="16" customFormat="false" ht="23.85" hidden="false" customHeight="false" outlineLevel="0" collapsed="false">
      <c r="B16" s="3" t="s">
        <v>17</v>
      </c>
      <c r="C16" s="4" t="s">
        <v>18</v>
      </c>
    </row>
    <row r="17" customFormat="false" ht="15" hidden="false" customHeight="false" outlineLevel="0" collapsed="false">
      <c r="B17" s="3" t="s">
        <v>19</v>
      </c>
      <c r="C17" s="4" t="s">
        <v>20</v>
      </c>
    </row>
    <row r="18" customFormat="false" ht="15" hidden="false" customHeight="false" outlineLevel="0" collapsed="false">
      <c r="B18" s="3" t="s">
        <v>21</v>
      </c>
      <c r="C18" s="4" t="s">
        <v>22</v>
      </c>
    </row>
    <row r="19" customFormat="false" ht="15" hidden="false" customHeight="false" outlineLevel="0" collapsed="false">
      <c r="B19" s="3"/>
      <c r="C19" s="4"/>
    </row>
    <row r="20" customFormat="false" ht="23.85" hidden="false" customHeight="false" outlineLevel="0" collapsed="false">
      <c r="B20" s="3" t="s">
        <v>23</v>
      </c>
      <c r="C20" s="4" t="s">
        <v>24</v>
      </c>
    </row>
    <row r="21" customFormat="false" ht="15" hidden="false" customHeight="false" outlineLevel="0" collapsed="false">
      <c r="B21" s="3"/>
      <c r="C21" s="4"/>
    </row>
    <row r="22" customFormat="false" ht="15" hidden="false" customHeight="false" outlineLevel="0" collapsed="false">
      <c r="B22" s="5" t="s">
        <v>25</v>
      </c>
      <c r="C22" s="4"/>
    </row>
    <row r="23" customFormat="false" ht="15" hidden="false" customHeight="false" outlineLevel="0" collapsed="false">
      <c r="B23" s="6" t="s">
        <v>26</v>
      </c>
      <c r="C23" s="3" t="n">
        <f aca="false">COUNTA('Posting Schedule'!A2:A66)</f>
        <v>65</v>
      </c>
    </row>
    <row r="24" customFormat="false" ht="15" hidden="false" customHeight="false" outlineLevel="0" collapsed="false">
      <c r="B24" s="6" t="s">
        <v>27</v>
      </c>
      <c r="C24" s="3" t="n">
        <f aca="false">COUNTIF('Posting Schedule'!M2:M66,"Idea")</f>
        <v>64</v>
      </c>
    </row>
    <row r="25" customFormat="false" ht="15" hidden="false" customHeight="false" outlineLevel="0" collapsed="false">
      <c r="B25" s="6" t="s">
        <v>28</v>
      </c>
      <c r="C25" s="3" t="n">
        <f aca="false">COUNTIF('Posting Schedule'!M2:M66,"Design")</f>
        <v>0</v>
      </c>
    </row>
    <row r="26" customFormat="false" ht="15" hidden="false" customHeight="false" outlineLevel="0" collapsed="false">
      <c r="B26" s="6" t="s">
        <v>29</v>
      </c>
      <c r="C26" s="3" t="n">
        <f aca="false">COUNTIF('Posting Schedule'!M2:M66,"Ready")</f>
        <v>1</v>
      </c>
    </row>
    <row r="27" customFormat="false" ht="15" hidden="false" customHeight="false" outlineLevel="0" collapsed="false">
      <c r="B27" s="6" t="s">
        <v>30</v>
      </c>
      <c r="C27" s="3" t="n">
        <f aca="false">COUNTIF('Posting Schedule'!M2:M66,"Posted")</f>
        <v>0</v>
      </c>
    </row>
    <row r="29" customFormat="false" ht="15" hidden="false" customHeight="false" outlineLevel="0" collapsed="false">
      <c r="B29" s="7"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3" min="2" style="0" width="6"/>
    <col collapsed="false" customWidth="true" hidden="false" outlineLevel="0" max="4" min="4" style="0" width="20"/>
    <col collapsed="false" customWidth="true" hidden="false" outlineLevel="0" max="5" min="5" style="0" width="14"/>
    <col collapsed="false" customWidth="true" hidden="false" outlineLevel="0" max="6" min="6" style="0" width="24"/>
    <col collapsed="false" customWidth="true" hidden="false" outlineLevel="0" max="7" min="7" style="0" width="15"/>
    <col collapsed="false" customWidth="true" hidden="false" outlineLevel="0" max="8" min="8" style="0" width="42"/>
    <col collapsed="false" customWidth="true" hidden="false" outlineLevel="0" max="9" min="9" style="0" width="60"/>
    <col collapsed="false" customWidth="true" hidden="false" outlineLevel="0" max="10" min="10" style="0" width="22"/>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6"/>
    <col collapsed="false" customWidth="true" hidden="false" outlineLevel="0" max="16" min="15" style="0" width="8"/>
    <col collapsed="false" customWidth="true" hidden="false" outlineLevel="0" max="17" min="17" style="0" width="10"/>
    <col collapsed="false" customWidth="true" hidden="false" outlineLevel="0" max="18" min="18" style="0" width="8"/>
    <col collapsed="false" customWidth="true" hidden="false" outlineLevel="0" max="19" min="19" style="0" width="10"/>
  </cols>
  <sheetData>
    <row r="1" customFormat="false" ht="15" hidden="false" customHeight="false" outlineLevel="0" collapsed="false">
      <c r="A1" s="8" t="s">
        <v>32</v>
      </c>
      <c r="B1" s="8" t="s">
        <v>33</v>
      </c>
      <c r="C1" s="8" t="s">
        <v>34</v>
      </c>
      <c r="D1" s="8" t="s">
        <v>35</v>
      </c>
      <c r="E1" s="8" t="s">
        <v>36</v>
      </c>
      <c r="F1" s="8" t="s">
        <v>37</v>
      </c>
      <c r="G1" s="8" t="s">
        <v>38</v>
      </c>
      <c r="H1" s="8" t="s">
        <v>39</v>
      </c>
      <c r="I1" s="8" t="s">
        <v>40</v>
      </c>
      <c r="J1" s="8" t="s">
        <v>41</v>
      </c>
      <c r="K1" s="8" t="s">
        <v>42</v>
      </c>
      <c r="L1" s="8" t="s">
        <v>43</v>
      </c>
      <c r="M1" s="8" t="s">
        <v>44</v>
      </c>
      <c r="N1" s="8" t="s">
        <v>45</v>
      </c>
      <c r="O1" s="8" t="s">
        <v>46</v>
      </c>
      <c r="P1" s="8" t="s">
        <v>47</v>
      </c>
      <c r="Q1" s="8" t="s">
        <v>48</v>
      </c>
      <c r="R1" s="8" t="s">
        <v>49</v>
      </c>
      <c r="S1" s="8" t="s">
        <v>50</v>
      </c>
    </row>
    <row r="2" customFormat="false" ht="35.05" hidden="false" customHeight="false" outlineLevel="0" collapsed="false">
      <c r="A2" s="9" t="n">
        <v>46251</v>
      </c>
      <c r="B2" s="10" t="s">
        <v>51</v>
      </c>
      <c r="C2" s="10" t="n">
        <v>1</v>
      </c>
      <c r="D2" s="10" t="s">
        <v>52</v>
      </c>
      <c r="E2" s="10" t="s">
        <v>53</v>
      </c>
      <c r="F2" s="10" t="s">
        <v>54</v>
      </c>
      <c r="G2" s="10" t="s">
        <v>55</v>
      </c>
      <c r="H2" s="10" t="s">
        <v>56</v>
      </c>
      <c r="I2" s="10" t="s">
        <v>57</v>
      </c>
      <c r="J2" s="10" t="s">
        <v>58</v>
      </c>
      <c r="K2" s="10" t="s">
        <v>59</v>
      </c>
      <c r="L2" s="10" t="s">
        <v>60</v>
      </c>
      <c r="M2" s="10" t="s">
        <v>61</v>
      </c>
      <c r="N2" s="10"/>
      <c r="O2" s="10"/>
      <c r="P2" s="10"/>
      <c r="Q2" s="10"/>
      <c r="R2" s="10"/>
      <c r="S2" s="10"/>
    </row>
    <row r="3" customFormat="false" ht="23.85" hidden="false" customHeight="false" outlineLevel="0" collapsed="false">
      <c r="A3" s="11" t="n">
        <v>46252</v>
      </c>
      <c r="B3" s="12" t="s">
        <v>62</v>
      </c>
      <c r="C3" s="12" t="n">
        <v>1</v>
      </c>
      <c r="D3" s="12" t="s">
        <v>52</v>
      </c>
      <c r="E3" s="12" t="s">
        <v>63</v>
      </c>
      <c r="F3" s="12" t="s">
        <v>64</v>
      </c>
      <c r="G3" s="12" t="s">
        <v>55</v>
      </c>
      <c r="H3" s="12" t="s">
        <v>65</v>
      </c>
      <c r="I3" s="12" t="s">
        <v>66</v>
      </c>
      <c r="J3" s="12" t="s">
        <v>67</v>
      </c>
      <c r="K3" s="12" t="s">
        <v>68</v>
      </c>
      <c r="L3" s="12" t="s">
        <v>69</v>
      </c>
      <c r="M3" s="12" t="s">
        <v>70</v>
      </c>
      <c r="N3" s="12"/>
      <c r="O3" s="12"/>
      <c r="P3" s="12"/>
      <c r="Q3" s="12"/>
      <c r="R3" s="12"/>
      <c r="S3" s="12"/>
    </row>
    <row r="4" customFormat="false" ht="35.05" hidden="false" customHeight="false" outlineLevel="0" collapsed="false">
      <c r="A4" s="9" t="n">
        <v>46254</v>
      </c>
      <c r="B4" s="10" t="s">
        <v>71</v>
      </c>
      <c r="C4" s="10" t="n">
        <v>1</v>
      </c>
      <c r="D4" s="10" t="s">
        <v>52</v>
      </c>
      <c r="E4" s="10" t="s">
        <v>53</v>
      </c>
      <c r="F4" s="10" t="s">
        <v>54</v>
      </c>
      <c r="G4" s="10" t="s">
        <v>72</v>
      </c>
      <c r="H4" s="10" t="s">
        <v>73</v>
      </c>
      <c r="I4" s="10" t="s">
        <v>74</v>
      </c>
      <c r="J4" s="10" t="s">
        <v>75</v>
      </c>
      <c r="K4" s="10" t="s">
        <v>76</v>
      </c>
      <c r="L4" s="10" t="s">
        <v>77</v>
      </c>
      <c r="M4" s="10" t="s">
        <v>70</v>
      </c>
      <c r="N4" s="10"/>
      <c r="O4" s="10"/>
      <c r="P4" s="10"/>
      <c r="Q4" s="10"/>
      <c r="R4" s="10"/>
      <c r="S4" s="10"/>
    </row>
    <row r="5" customFormat="false" ht="23.85" hidden="false" customHeight="false" outlineLevel="0" collapsed="false">
      <c r="A5" s="11" t="n">
        <v>46255</v>
      </c>
      <c r="B5" s="12" t="s">
        <v>78</v>
      </c>
      <c r="C5" s="12" t="n">
        <v>1</v>
      </c>
      <c r="D5" s="12" t="s">
        <v>52</v>
      </c>
      <c r="E5" s="12" t="s">
        <v>63</v>
      </c>
      <c r="F5" s="12" t="s">
        <v>64</v>
      </c>
      <c r="G5" s="12" t="s">
        <v>79</v>
      </c>
      <c r="H5" s="12" t="s">
        <v>80</v>
      </c>
      <c r="I5" s="12" t="s">
        <v>81</v>
      </c>
      <c r="J5" s="12" t="s">
        <v>82</v>
      </c>
      <c r="K5" s="12" t="s">
        <v>68</v>
      </c>
      <c r="L5" s="12" t="s">
        <v>83</v>
      </c>
      <c r="M5" s="12" t="s">
        <v>70</v>
      </c>
      <c r="N5" s="12"/>
      <c r="O5" s="12"/>
      <c r="P5" s="12"/>
      <c r="Q5" s="12"/>
      <c r="R5" s="12"/>
      <c r="S5" s="12"/>
    </row>
    <row r="6" customFormat="false" ht="15" hidden="false" customHeight="false" outlineLevel="0" collapsed="false">
      <c r="A6" s="11" t="n">
        <v>46256</v>
      </c>
      <c r="B6" s="12" t="s">
        <v>84</v>
      </c>
      <c r="C6" s="12" t="n">
        <v>1</v>
      </c>
      <c r="D6" s="12" t="s">
        <v>52</v>
      </c>
      <c r="E6" s="12" t="s">
        <v>85</v>
      </c>
      <c r="F6" s="12" t="s">
        <v>86</v>
      </c>
      <c r="G6" s="12" t="s">
        <v>72</v>
      </c>
      <c r="H6" s="12" t="s">
        <v>87</v>
      </c>
      <c r="I6" s="12" t="s">
        <v>88</v>
      </c>
      <c r="J6" s="12" t="s">
        <v>89</v>
      </c>
      <c r="K6" s="12" t="s">
        <v>76</v>
      </c>
      <c r="L6" s="12" t="s">
        <v>90</v>
      </c>
      <c r="M6" s="12" t="s">
        <v>70</v>
      </c>
      <c r="N6" s="12"/>
      <c r="O6" s="12"/>
      <c r="P6" s="12"/>
      <c r="Q6" s="12"/>
      <c r="R6" s="12"/>
      <c r="S6" s="12"/>
    </row>
    <row r="7" customFormat="false" ht="23.85" hidden="false" customHeight="false" outlineLevel="0" collapsed="false">
      <c r="A7" s="9" t="n">
        <v>46258</v>
      </c>
      <c r="B7" s="10" t="s">
        <v>51</v>
      </c>
      <c r="C7" s="10" t="n">
        <v>2</v>
      </c>
      <c r="D7" s="10" t="s">
        <v>52</v>
      </c>
      <c r="E7" s="10" t="s">
        <v>53</v>
      </c>
      <c r="F7" s="10" t="s">
        <v>54</v>
      </c>
      <c r="G7" s="10" t="s">
        <v>55</v>
      </c>
      <c r="H7" s="10" t="s">
        <v>91</v>
      </c>
      <c r="I7" s="10" t="s">
        <v>92</v>
      </c>
      <c r="J7" s="10" t="s">
        <v>93</v>
      </c>
      <c r="K7" s="10" t="s">
        <v>76</v>
      </c>
      <c r="L7" s="10" t="s">
        <v>94</v>
      </c>
      <c r="M7" s="10" t="s">
        <v>70</v>
      </c>
      <c r="N7" s="10"/>
      <c r="O7" s="10"/>
      <c r="P7" s="10"/>
      <c r="Q7" s="10"/>
      <c r="R7" s="10"/>
      <c r="S7" s="10"/>
    </row>
    <row r="8" customFormat="false" ht="23.85" hidden="false" customHeight="false" outlineLevel="0" collapsed="false">
      <c r="A8" s="11" t="n">
        <v>46259</v>
      </c>
      <c r="B8" s="12" t="s">
        <v>62</v>
      </c>
      <c r="C8" s="12" t="n">
        <v>2</v>
      </c>
      <c r="D8" s="12" t="s">
        <v>52</v>
      </c>
      <c r="E8" s="12" t="s">
        <v>63</v>
      </c>
      <c r="F8" s="12" t="s">
        <v>64</v>
      </c>
      <c r="G8" s="12" t="s">
        <v>55</v>
      </c>
      <c r="H8" s="12" t="s">
        <v>95</v>
      </c>
      <c r="I8" s="12" t="s">
        <v>96</v>
      </c>
      <c r="J8" s="12" t="s">
        <v>97</v>
      </c>
      <c r="K8" s="12" t="s">
        <v>68</v>
      </c>
      <c r="L8" s="12" t="s">
        <v>98</v>
      </c>
      <c r="M8" s="12" t="s">
        <v>70</v>
      </c>
      <c r="N8" s="12"/>
      <c r="O8" s="12"/>
      <c r="P8" s="12"/>
      <c r="Q8" s="12"/>
      <c r="R8" s="12"/>
      <c r="S8" s="12"/>
    </row>
    <row r="9" customFormat="false" ht="23.85" hidden="false" customHeight="false" outlineLevel="0" collapsed="false">
      <c r="A9" s="9" t="n">
        <v>46261</v>
      </c>
      <c r="B9" s="10" t="s">
        <v>71</v>
      </c>
      <c r="C9" s="10" t="n">
        <v>2</v>
      </c>
      <c r="D9" s="10" t="s">
        <v>52</v>
      </c>
      <c r="E9" s="10" t="s">
        <v>53</v>
      </c>
      <c r="F9" s="10" t="s">
        <v>54</v>
      </c>
      <c r="G9" s="10" t="s">
        <v>79</v>
      </c>
      <c r="H9" s="10" t="s">
        <v>99</v>
      </c>
      <c r="I9" s="10" t="s">
        <v>100</v>
      </c>
      <c r="J9" s="10" t="s">
        <v>101</v>
      </c>
      <c r="K9" s="10" t="s">
        <v>76</v>
      </c>
      <c r="L9" s="10" t="s">
        <v>102</v>
      </c>
      <c r="M9" s="10" t="s">
        <v>70</v>
      </c>
      <c r="N9" s="10"/>
      <c r="O9" s="10"/>
      <c r="P9" s="10"/>
      <c r="Q9" s="10"/>
      <c r="R9" s="10"/>
      <c r="S9" s="10"/>
    </row>
    <row r="10" customFormat="false" ht="23.85" hidden="false" customHeight="false" outlineLevel="0" collapsed="false">
      <c r="A10" s="11" t="n">
        <v>46262</v>
      </c>
      <c r="B10" s="12" t="s">
        <v>78</v>
      </c>
      <c r="C10" s="12" t="n">
        <v>2</v>
      </c>
      <c r="D10" s="12" t="s">
        <v>52</v>
      </c>
      <c r="E10" s="12" t="s">
        <v>63</v>
      </c>
      <c r="F10" s="12" t="s">
        <v>64</v>
      </c>
      <c r="G10" s="12" t="s">
        <v>79</v>
      </c>
      <c r="H10" s="12" t="s">
        <v>103</v>
      </c>
      <c r="I10" s="12" t="s">
        <v>104</v>
      </c>
      <c r="J10" s="12" t="s">
        <v>105</v>
      </c>
      <c r="K10" s="12" t="s">
        <v>68</v>
      </c>
      <c r="L10" s="12" t="s">
        <v>106</v>
      </c>
      <c r="M10" s="12" t="s">
        <v>70</v>
      </c>
      <c r="N10" s="12"/>
      <c r="O10" s="12"/>
      <c r="P10" s="12"/>
      <c r="Q10" s="12"/>
      <c r="R10" s="12"/>
      <c r="S10" s="12"/>
    </row>
    <row r="11" customFormat="false" ht="15" hidden="false" customHeight="false" outlineLevel="0" collapsed="false">
      <c r="A11" s="11" t="n">
        <v>46263</v>
      </c>
      <c r="B11" s="12" t="s">
        <v>84</v>
      </c>
      <c r="C11" s="12" t="n">
        <v>2</v>
      </c>
      <c r="D11" s="12" t="s">
        <v>52</v>
      </c>
      <c r="E11" s="12" t="s">
        <v>85</v>
      </c>
      <c r="F11" s="12" t="s">
        <v>86</v>
      </c>
      <c r="G11" s="12" t="s">
        <v>72</v>
      </c>
      <c r="H11" s="12" t="s">
        <v>107</v>
      </c>
      <c r="I11" s="12" t="s">
        <v>108</v>
      </c>
      <c r="J11" s="12" t="s">
        <v>109</v>
      </c>
      <c r="K11" s="12" t="s">
        <v>76</v>
      </c>
      <c r="L11" s="12" t="s">
        <v>110</v>
      </c>
      <c r="M11" s="12" t="s">
        <v>70</v>
      </c>
      <c r="N11" s="12"/>
      <c r="O11" s="12"/>
      <c r="P11" s="12"/>
      <c r="Q11" s="12"/>
      <c r="R11" s="12"/>
      <c r="S11" s="12"/>
    </row>
    <row r="12" customFormat="false" ht="23.85" hidden="false" customHeight="false" outlineLevel="0" collapsed="false">
      <c r="A12" s="9" t="n">
        <v>46265</v>
      </c>
      <c r="B12" s="10" t="s">
        <v>51</v>
      </c>
      <c r="C12" s="10" t="n">
        <v>3</v>
      </c>
      <c r="D12" s="10" t="s">
        <v>52</v>
      </c>
      <c r="E12" s="10" t="s">
        <v>53</v>
      </c>
      <c r="F12" s="10" t="s">
        <v>54</v>
      </c>
      <c r="G12" s="10" t="s">
        <v>55</v>
      </c>
      <c r="H12" s="10" t="s">
        <v>111</v>
      </c>
      <c r="I12" s="10" t="s">
        <v>112</v>
      </c>
      <c r="J12" s="10" t="s">
        <v>113</v>
      </c>
      <c r="K12" s="10" t="s">
        <v>59</v>
      </c>
      <c r="L12" s="10" t="s">
        <v>114</v>
      </c>
      <c r="M12" s="10" t="s">
        <v>70</v>
      </c>
      <c r="N12" s="10"/>
      <c r="O12" s="10"/>
      <c r="P12" s="10"/>
      <c r="Q12" s="10"/>
      <c r="R12" s="10"/>
      <c r="S12" s="10"/>
    </row>
    <row r="13" customFormat="false" ht="23.85" hidden="false" customHeight="false" outlineLevel="0" collapsed="false">
      <c r="A13" s="11" t="n">
        <v>46266</v>
      </c>
      <c r="B13" s="12" t="s">
        <v>62</v>
      </c>
      <c r="C13" s="12" t="n">
        <v>3</v>
      </c>
      <c r="D13" s="12" t="s">
        <v>115</v>
      </c>
      <c r="E13" s="12" t="s">
        <v>63</v>
      </c>
      <c r="F13" s="12" t="s">
        <v>64</v>
      </c>
      <c r="G13" s="12" t="s">
        <v>55</v>
      </c>
      <c r="H13" s="12" t="s">
        <v>116</v>
      </c>
      <c r="I13" s="12" t="s">
        <v>117</v>
      </c>
      <c r="J13" s="12" t="s">
        <v>118</v>
      </c>
      <c r="K13" s="12" t="s">
        <v>68</v>
      </c>
      <c r="L13" s="12" t="s">
        <v>98</v>
      </c>
      <c r="M13" s="12" t="s">
        <v>70</v>
      </c>
      <c r="N13" s="12"/>
      <c r="O13" s="12"/>
      <c r="P13" s="12"/>
      <c r="Q13" s="12"/>
      <c r="R13" s="12"/>
      <c r="S13" s="12"/>
    </row>
    <row r="14" customFormat="false" ht="23.85" hidden="false" customHeight="false" outlineLevel="0" collapsed="false">
      <c r="A14" s="9" t="n">
        <v>46268</v>
      </c>
      <c r="B14" s="10" t="s">
        <v>71</v>
      </c>
      <c r="C14" s="10" t="n">
        <v>3</v>
      </c>
      <c r="D14" s="10" t="s">
        <v>115</v>
      </c>
      <c r="E14" s="10" t="s">
        <v>53</v>
      </c>
      <c r="F14" s="10" t="s">
        <v>54</v>
      </c>
      <c r="G14" s="10" t="s">
        <v>55</v>
      </c>
      <c r="H14" s="10" t="s">
        <v>119</v>
      </c>
      <c r="I14" s="10" t="s">
        <v>120</v>
      </c>
      <c r="J14" s="10" t="s">
        <v>121</v>
      </c>
      <c r="K14" s="10" t="s">
        <v>59</v>
      </c>
      <c r="L14" s="10" t="s">
        <v>122</v>
      </c>
      <c r="M14" s="10" t="s">
        <v>70</v>
      </c>
      <c r="N14" s="10"/>
      <c r="O14" s="10"/>
      <c r="P14" s="10"/>
      <c r="Q14" s="10"/>
      <c r="R14" s="10"/>
      <c r="S14" s="10"/>
    </row>
    <row r="15" customFormat="false" ht="23.85" hidden="false" customHeight="false" outlineLevel="0" collapsed="false">
      <c r="A15" s="11" t="n">
        <v>46269</v>
      </c>
      <c r="B15" s="12" t="s">
        <v>78</v>
      </c>
      <c r="C15" s="12" t="n">
        <v>3</v>
      </c>
      <c r="D15" s="12" t="s">
        <v>115</v>
      </c>
      <c r="E15" s="12" t="s">
        <v>63</v>
      </c>
      <c r="F15" s="12" t="s">
        <v>64</v>
      </c>
      <c r="G15" s="12" t="s">
        <v>79</v>
      </c>
      <c r="H15" s="12" t="s">
        <v>123</v>
      </c>
      <c r="I15" s="12" t="s">
        <v>124</v>
      </c>
      <c r="J15" s="12" t="s">
        <v>125</v>
      </c>
      <c r="K15" s="12" t="s">
        <v>68</v>
      </c>
      <c r="L15" s="12" t="s">
        <v>126</v>
      </c>
      <c r="M15" s="12" t="s">
        <v>70</v>
      </c>
      <c r="N15" s="12"/>
      <c r="O15" s="12"/>
      <c r="P15" s="12"/>
      <c r="Q15" s="12"/>
      <c r="R15" s="12"/>
      <c r="S15" s="12"/>
    </row>
    <row r="16" customFormat="false" ht="15" hidden="false" customHeight="false" outlineLevel="0" collapsed="false">
      <c r="A16" s="11" t="n">
        <v>46270</v>
      </c>
      <c r="B16" s="12" t="s">
        <v>84</v>
      </c>
      <c r="C16" s="12" t="n">
        <v>3</v>
      </c>
      <c r="D16" s="12" t="s">
        <v>115</v>
      </c>
      <c r="E16" s="12" t="s">
        <v>85</v>
      </c>
      <c r="F16" s="12" t="s">
        <v>86</v>
      </c>
      <c r="G16" s="12" t="s">
        <v>55</v>
      </c>
      <c r="H16" s="12" t="s">
        <v>127</v>
      </c>
      <c r="I16" s="12" t="s">
        <v>128</v>
      </c>
      <c r="J16" s="12" t="s">
        <v>129</v>
      </c>
      <c r="K16" s="12" t="s">
        <v>76</v>
      </c>
      <c r="L16" s="12" t="s">
        <v>130</v>
      </c>
      <c r="M16" s="12" t="s">
        <v>70</v>
      </c>
      <c r="N16" s="12"/>
      <c r="O16" s="12"/>
      <c r="P16" s="12"/>
      <c r="Q16" s="12"/>
      <c r="R16" s="12"/>
      <c r="S16" s="12"/>
    </row>
    <row r="17" customFormat="false" ht="23.85" hidden="false" customHeight="false" outlineLevel="0" collapsed="false">
      <c r="A17" s="9" t="n">
        <v>46272</v>
      </c>
      <c r="B17" s="10" t="s">
        <v>51</v>
      </c>
      <c r="C17" s="10" t="n">
        <v>4</v>
      </c>
      <c r="D17" s="10" t="s">
        <v>115</v>
      </c>
      <c r="E17" s="10" t="s">
        <v>53</v>
      </c>
      <c r="F17" s="10" t="s">
        <v>54</v>
      </c>
      <c r="G17" s="10" t="s">
        <v>55</v>
      </c>
      <c r="H17" s="10" t="s">
        <v>131</v>
      </c>
      <c r="I17" s="10" t="s">
        <v>132</v>
      </c>
      <c r="J17" s="10" t="s">
        <v>133</v>
      </c>
      <c r="K17" s="10" t="s">
        <v>59</v>
      </c>
      <c r="L17" s="10" t="s">
        <v>114</v>
      </c>
      <c r="M17" s="10" t="s">
        <v>70</v>
      </c>
      <c r="N17" s="10"/>
      <c r="O17" s="10"/>
      <c r="P17" s="10"/>
      <c r="Q17" s="10"/>
      <c r="R17" s="10"/>
      <c r="S17" s="10"/>
    </row>
    <row r="18" customFormat="false" ht="23.85" hidden="false" customHeight="false" outlineLevel="0" collapsed="false">
      <c r="A18" s="11" t="n">
        <v>46273</v>
      </c>
      <c r="B18" s="12" t="s">
        <v>62</v>
      </c>
      <c r="C18" s="12" t="n">
        <v>4</v>
      </c>
      <c r="D18" s="12" t="s">
        <v>115</v>
      </c>
      <c r="E18" s="12" t="s">
        <v>63</v>
      </c>
      <c r="F18" s="12" t="s">
        <v>64</v>
      </c>
      <c r="G18" s="12" t="s">
        <v>55</v>
      </c>
      <c r="H18" s="12" t="s">
        <v>134</v>
      </c>
      <c r="I18" s="12" t="s">
        <v>135</v>
      </c>
      <c r="J18" s="12" t="s">
        <v>136</v>
      </c>
      <c r="K18" s="12" t="s">
        <v>68</v>
      </c>
      <c r="L18" s="12" t="s">
        <v>137</v>
      </c>
      <c r="M18" s="12" t="s">
        <v>70</v>
      </c>
      <c r="N18" s="12"/>
      <c r="O18" s="12"/>
      <c r="P18" s="12"/>
      <c r="Q18" s="12"/>
      <c r="R18" s="12"/>
      <c r="S18" s="12"/>
    </row>
    <row r="19" customFormat="false" ht="23.85" hidden="false" customHeight="false" outlineLevel="0" collapsed="false">
      <c r="A19" s="9" t="n">
        <v>46275</v>
      </c>
      <c r="B19" s="10" t="s">
        <v>71</v>
      </c>
      <c r="C19" s="10" t="n">
        <v>4</v>
      </c>
      <c r="D19" s="10" t="s">
        <v>115</v>
      </c>
      <c r="E19" s="10" t="s">
        <v>53</v>
      </c>
      <c r="F19" s="10" t="s">
        <v>54</v>
      </c>
      <c r="G19" s="10" t="s">
        <v>55</v>
      </c>
      <c r="H19" s="10" t="s">
        <v>138</v>
      </c>
      <c r="I19" s="10" t="s">
        <v>139</v>
      </c>
      <c r="J19" s="10" t="s">
        <v>140</v>
      </c>
      <c r="K19" s="10" t="s">
        <v>59</v>
      </c>
      <c r="L19" s="10" t="s">
        <v>114</v>
      </c>
      <c r="M19" s="10" t="s">
        <v>70</v>
      </c>
      <c r="N19" s="10"/>
      <c r="O19" s="10"/>
      <c r="P19" s="10"/>
      <c r="Q19" s="10"/>
      <c r="R19" s="10"/>
      <c r="S19" s="10"/>
    </row>
    <row r="20" customFormat="false" ht="15" hidden="false" customHeight="false" outlineLevel="0" collapsed="false">
      <c r="A20" s="11" t="n">
        <v>46276</v>
      </c>
      <c r="B20" s="12" t="s">
        <v>78</v>
      </c>
      <c r="C20" s="12" t="n">
        <v>4</v>
      </c>
      <c r="D20" s="12" t="s">
        <v>115</v>
      </c>
      <c r="E20" s="12" t="s">
        <v>63</v>
      </c>
      <c r="F20" s="12" t="s">
        <v>64</v>
      </c>
      <c r="G20" s="12" t="s">
        <v>72</v>
      </c>
      <c r="H20" s="12" t="s">
        <v>141</v>
      </c>
      <c r="I20" s="12" t="s">
        <v>142</v>
      </c>
      <c r="J20" s="12" t="s">
        <v>143</v>
      </c>
      <c r="K20" s="12" t="s">
        <v>68</v>
      </c>
      <c r="L20" s="12" t="s">
        <v>144</v>
      </c>
      <c r="M20" s="12" t="s">
        <v>70</v>
      </c>
      <c r="N20" s="12"/>
      <c r="O20" s="12"/>
      <c r="P20" s="12"/>
      <c r="Q20" s="12"/>
      <c r="R20" s="12"/>
      <c r="S20" s="12"/>
    </row>
    <row r="21" customFormat="false" ht="23.85" hidden="false" customHeight="false" outlineLevel="0" collapsed="false">
      <c r="A21" s="11" t="n">
        <v>46277</v>
      </c>
      <c r="B21" s="12" t="s">
        <v>84</v>
      </c>
      <c r="C21" s="12" t="n">
        <v>4</v>
      </c>
      <c r="D21" s="12" t="s">
        <v>115</v>
      </c>
      <c r="E21" s="12" t="s">
        <v>85</v>
      </c>
      <c r="F21" s="12" t="s">
        <v>86</v>
      </c>
      <c r="G21" s="12" t="s">
        <v>55</v>
      </c>
      <c r="H21" s="12" t="s">
        <v>145</v>
      </c>
      <c r="I21" s="12" t="s">
        <v>146</v>
      </c>
      <c r="J21" s="12" t="s">
        <v>147</v>
      </c>
      <c r="K21" s="12" t="s">
        <v>76</v>
      </c>
      <c r="L21" s="12" t="s">
        <v>148</v>
      </c>
      <c r="M21" s="12" t="s">
        <v>70</v>
      </c>
      <c r="N21" s="12"/>
      <c r="O21" s="12"/>
      <c r="P21" s="12"/>
      <c r="Q21" s="12"/>
      <c r="R21" s="12"/>
      <c r="S21" s="12"/>
    </row>
    <row r="22" customFormat="false" ht="23.85" hidden="false" customHeight="false" outlineLevel="0" collapsed="false">
      <c r="A22" s="9" t="n">
        <v>46279</v>
      </c>
      <c r="B22" s="10" t="s">
        <v>51</v>
      </c>
      <c r="C22" s="10" t="n">
        <v>5</v>
      </c>
      <c r="D22" s="10" t="s">
        <v>115</v>
      </c>
      <c r="E22" s="10" t="s">
        <v>53</v>
      </c>
      <c r="F22" s="10" t="s">
        <v>54</v>
      </c>
      <c r="G22" s="10" t="s">
        <v>72</v>
      </c>
      <c r="H22" s="10" t="s">
        <v>149</v>
      </c>
      <c r="I22" s="10" t="s">
        <v>150</v>
      </c>
      <c r="J22" s="10" t="s">
        <v>151</v>
      </c>
      <c r="K22" s="10" t="s">
        <v>59</v>
      </c>
      <c r="L22" s="10" t="s">
        <v>114</v>
      </c>
      <c r="M22" s="10" t="s">
        <v>70</v>
      </c>
      <c r="N22" s="10"/>
      <c r="O22" s="10"/>
      <c r="P22" s="10"/>
      <c r="Q22" s="10"/>
      <c r="R22" s="10"/>
      <c r="S22" s="10"/>
    </row>
    <row r="23" customFormat="false" ht="23.85" hidden="false" customHeight="false" outlineLevel="0" collapsed="false">
      <c r="A23" s="11" t="n">
        <v>46280</v>
      </c>
      <c r="B23" s="12" t="s">
        <v>62</v>
      </c>
      <c r="C23" s="12" t="n">
        <v>5</v>
      </c>
      <c r="D23" s="12" t="s">
        <v>115</v>
      </c>
      <c r="E23" s="12" t="s">
        <v>63</v>
      </c>
      <c r="F23" s="12" t="s">
        <v>64</v>
      </c>
      <c r="G23" s="12" t="s">
        <v>55</v>
      </c>
      <c r="H23" s="12" t="s">
        <v>152</v>
      </c>
      <c r="I23" s="12" t="s">
        <v>153</v>
      </c>
      <c r="J23" s="12" t="s">
        <v>129</v>
      </c>
      <c r="K23" s="12" t="s">
        <v>68</v>
      </c>
      <c r="L23" s="12" t="s">
        <v>98</v>
      </c>
      <c r="M23" s="12" t="s">
        <v>70</v>
      </c>
      <c r="N23" s="12"/>
      <c r="O23" s="12"/>
      <c r="P23" s="12"/>
      <c r="Q23" s="12"/>
      <c r="R23" s="12"/>
      <c r="S23" s="12"/>
    </row>
    <row r="24" customFormat="false" ht="23.85" hidden="false" customHeight="false" outlineLevel="0" collapsed="false">
      <c r="A24" s="9" t="n">
        <v>46282</v>
      </c>
      <c r="B24" s="10" t="s">
        <v>71</v>
      </c>
      <c r="C24" s="10" t="n">
        <v>5</v>
      </c>
      <c r="D24" s="10" t="s">
        <v>115</v>
      </c>
      <c r="E24" s="10" t="s">
        <v>53</v>
      </c>
      <c r="F24" s="10" t="s">
        <v>54</v>
      </c>
      <c r="G24" s="10" t="s">
        <v>72</v>
      </c>
      <c r="H24" s="10" t="s">
        <v>154</v>
      </c>
      <c r="I24" s="10" t="s">
        <v>155</v>
      </c>
      <c r="J24" s="10" t="s">
        <v>156</v>
      </c>
      <c r="K24" s="10" t="s">
        <v>76</v>
      </c>
      <c r="L24" s="10" t="s">
        <v>157</v>
      </c>
      <c r="M24" s="10" t="s">
        <v>70</v>
      </c>
      <c r="N24" s="10"/>
      <c r="O24" s="10"/>
      <c r="P24" s="10"/>
      <c r="Q24" s="10"/>
      <c r="R24" s="10"/>
      <c r="S24" s="10"/>
    </row>
    <row r="25" customFormat="false" ht="23.85" hidden="false" customHeight="false" outlineLevel="0" collapsed="false">
      <c r="A25" s="11" t="n">
        <v>46283</v>
      </c>
      <c r="B25" s="12" t="s">
        <v>78</v>
      </c>
      <c r="C25" s="12" t="n">
        <v>5</v>
      </c>
      <c r="D25" s="12" t="s">
        <v>115</v>
      </c>
      <c r="E25" s="12" t="s">
        <v>63</v>
      </c>
      <c r="F25" s="12" t="s">
        <v>64</v>
      </c>
      <c r="G25" s="12" t="s">
        <v>55</v>
      </c>
      <c r="H25" s="12" t="s">
        <v>158</v>
      </c>
      <c r="I25" s="12" t="s">
        <v>159</v>
      </c>
      <c r="J25" s="12" t="s">
        <v>160</v>
      </c>
      <c r="K25" s="12" t="s">
        <v>68</v>
      </c>
      <c r="L25" s="12" t="s">
        <v>161</v>
      </c>
      <c r="M25" s="12" t="s">
        <v>70</v>
      </c>
      <c r="N25" s="12"/>
      <c r="O25" s="12"/>
      <c r="P25" s="12"/>
      <c r="Q25" s="12"/>
      <c r="R25" s="12"/>
      <c r="S25" s="12"/>
    </row>
    <row r="26" customFormat="false" ht="23.85" hidden="false" customHeight="false" outlineLevel="0" collapsed="false">
      <c r="A26" s="11" t="n">
        <v>46284</v>
      </c>
      <c r="B26" s="12" t="s">
        <v>84</v>
      </c>
      <c r="C26" s="12" t="n">
        <v>5</v>
      </c>
      <c r="D26" s="12" t="s">
        <v>115</v>
      </c>
      <c r="E26" s="12" t="s">
        <v>85</v>
      </c>
      <c r="F26" s="12" t="s">
        <v>86</v>
      </c>
      <c r="G26" s="12" t="s">
        <v>72</v>
      </c>
      <c r="H26" s="12" t="s">
        <v>162</v>
      </c>
      <c r="I26" s="12" t="s">
        <v>163</v>
      </c>
      <c r="J26" s="12" t="s">
        <v>164</v>
      </c>
      <c r="K26" s="12" t="s">
        <v>76</v>
      </c>
      <c r="L26" s="12" t="s">
        <v>165</v>
      </c>
      <c r="M26" s="12" t="s">
        <v>70</v>
      </c>
      <c r="N26" s="12"/>
      <c r="O26" s="12"/>
      <c r="P26" s="12"/>
      <c r="Q26" s="12"/>
      <c r="R26" s="12"/>
      <c r="S26" s="12"/>
    </row>
    <row r="27" customFormat="false" ht="23.85" hidden="false" customHeight="false" outlineLevel="0" collapsed="false">
      <c r="A27" s="9" t="n">
        <v>46286</v>
      </c>
      <c r="B27" s="10" t="s">
        <v>51</v>
      </c>
      <c r="C27" s="10" t="n">
        <v>6</v>
      </c>
      <c r="D27" s="10" t="s">
        <v>115</v>
      </c>
      <c r="E27" s="10" t="s">
        <v>53</v>
      </c>
      <c r="F27" s="10" t="s">
        <v>54</v>
      </c>
      <c r="G27" s="10" t="s">
        <v>55</v>
      </c>
      <c r="H27" s="10" t="s">
        <v>166</v>
      </c>
      <c r="I27" s="10" t="s">
        <v>167</v>
      </c>
      <c r="J27" s="10" t="s">
        <v>168</v>
      </c>
      <c r="K27" s="10" t="s">
        <v>169</v>
      </c>
      <c r="L27" s="10" t="s">
        <v>114</v>
      </c>
      <c r="M27" s="10" t="s">
        <v>70</v>
      </c>
      <c r="N27" s="10"/>
      <c r="O27" s="10"/>
      <c r="P27" s="10"/>
      <c r="Q27" s="10"/>
      <c r="R27" s="10"/>
      <c r="S27" s="10"/>
    </row>
    <row r="28" customFormat="false" ht="23.85" hidden="false" customHeight="false" outlineLevel="0" collapsed="false">
      <c r="A28" s="11" t="n">
        <v>46287</v>
      </c>
      <c r="B28" s="12" t="s">
        <v>62</v>
      </c>
      <c r="C28" s="12" t="n">
        <v>6</v>
      </c>
      <c r="D28" s="12" t="s">
        <v>115</v>
      </c>
      <c r="E28" s="12" t="s">
        <v>63</v>
      </c>
      <c r="F28" s="12" t="s">
        <v>64</v>
      </c>
      <c r="G28" s="12" t="s">
        <v>55</v>
      </c>
      <c r="H28" s="12" t="s">
        <v>170</v>
      </c>
      <c r="I28" s="12" t="s">
        <v>171</v>
      </c>
      <c r="J28" s="12" t="s">
        <v>172</v>
      </c>
      <c r="K28" s="12" t="s">
        <v>68</v>
      </c>
      <c r="L28" s="12" t="s">
        <v>173</v>
      </c>
      <c r="M28" s="12" t="s">
        <v>70</v>
      </c>
      <c r="N28" s="12"/>
      <c r="O28" s="12"/>
      <c r="P28" s="12"/>
      <c r="Q28" s="12"/>
      <c r="R28" s="12"/>
      <c r="S28" s="12"/>
    </row>
    <row r="29" customFormat="false" ht="23.85" hidden="false" customHeight="false" outlineLevel="0" collapsed="false">
      <c r="A29" s="9" t="n">
        <v>46289</v>
      </c>
      <c r="B29" s="10" t="s">
        <v>71</v>
      </c>
      <c r="C29" s="10" t="n">
        <v>6</v>
      </c>
      <c r="D29" s="10" t="s">
        <v>115</v>
      </c>
      <c r="E29" s="10" t="s">
        <v>53</v>
      </c>
      <c r="F29" s="10" t="s">
        <v>54</v>
      </c>
      <c r="G29" s="10" t="s">
        <v>79</v>
      </c>
      <c r="H29" s="10" t="s">
        <v>174</v>
      </c>
      <c r="I29" s="10" t="s">
        <v>175</v>
      </c>
      <c r="J29" s="10" t="s">
        <v>176</v>
      </c>
      <c r="K29" s="10" t="s">
        <v>76</v>
      </c>
      <c r="L29" s="10" t="s">
        <v>177</v>
      </c>
      <c r="M29" s="10" t="s">
        <v>70</v>
      </c>
      <c r="N29" s="10"/>
      <c r="O29" s="10"/>
      <c r="P29" s="10"/>
      <c r="Q29" s="10"/>
      <c r="R29" s="10"/>
      <c r="S29" s="10"/>
    </row>
    <row r="30" customFormat="false" ht="23.85" hidden="false" customHeight="false" outlineLevel="0" collapsed="false">
      <c r="A30" s="11" t="n">
        <v>46290</v>
      </c>
      <c r="B30" s="12" t="s">
        <v>78</v>
      </c>
      <c r="C30" s="12" t="n">
        <v>6</v>
      </c>
      <c r="D30" s="12" t="s">
        <v>115</v>
      </c>
      <c r="E30" s="12" t="s">
        <v>63</v>
      </c>
      <c r="F30" s="12" t="s">
        <v>64</v>
      </c>
      <c r="G30" s="12" t="s">
        <v>79</v>
      </c>
      <c r="H30" s="12" t="s">
        <v>178</v>
      </c>
      <c r="I30" s="12" t="s">
        <v>179</v>
      </c>
      <c r="J30" s="12" t="s">
        <v>180</v>
      </c>
      <c r="K30" s="12" t="s">
        <v>68</v>
      </c>
      <c r="L30" s="12" t="s">
        <v>181</v>
      </c>
      <c r="M30" s="12" t="s">
        <v>70</v>
      </c>
      <c r="N30" s="12"/>
      <c r="O30" s="12"/>
      <c r="P30" s="12"/>
      <c r="Q30" s="12"/>
      <c r="R30" s="12"/>
      <c r="S30" s="12"/>
    </row>
    <row r="31" customFormat="false" ht="23.85" hidden="false" customHeight="false" outlineLevel="0" collapsed="false">
      <c r="A31" s="11" t="n">
        <v>46291</v>
      </c>
      <c r="B31" s="12" t="s">
        <v>84</v>
      </c>
      <c r="C31" s="12" t="n">
        <v>6</v>
      </c>
      <c r="D31" s="12" t="s">
        <v>115</v>
      </c>
      <c r="E31" s="12" t="s">
        <v>85</v>
      </c>
      <c r="F31" s="12" t="s">
        <v>86</v>
      </c>
      <c r="G31" s="12" t="s">
        <v>79</v>
      </c>
      <c r="H31" s="12" t="s">
        <v>182</v>
      </c>
      <c r="I31" s="12" t="s">
        <v>183</v>
      </c>
      <c r="J31" s="12" t="s">
        <v>184</v>
      </c>
      <c r="K31" s="12" t="s">
        <v>76</v>
      </c>
      <c r="L31" s="12" t="s">
        <v>185</v>
      </c>
      <c r="M31" s="12" t="s">
        <v>70</v>
      </c>
      <c r="N31" s="12"/>
      <c r="O31" s="12"/>
      <c r="P31" s="12"/>
      <c r="Q31" s="12"/>
      <c r="R31" s="12"/>
      <c r="S31" s="12"/>
    </row>
    <row r="32" customFormat="false" ht="23.85" hidden="false" customHeight="false" outlineLevel="0" collapsed="false">
      <c r="A32" s="9" t="n">
        <v>46293</v>
      </c>
      <c r="B32" s="10" t="s">
        <v>51</v>
      </c>
      <c r="C32" s="10" t="n">
        <v>7</v>
      </c>
      <c r="D32" s="10" t="s">
        <v>115</v>
      </c>
      <c r="E32" s="10" t="s">
        <v>53</v>
      </c>
      <c r="F32" s="10" t="s">
        <v>54</v>
      </c>
      <c r="G32" s="10" t="s">
        <v>55</v>
      </c>
      <c r="H32" s="10" t="s">
        <v>186</v>
      </c>
      <c r="I32" s="10" t="s">
        <v>187</v>
      </c>
      <c r="J32" s="10" t="s">
        <v>188</v>
      </c>
      <c r="K32" s="10" t="s">
        <v>59</v>
      </c>
      <c r="L32" s="10" t="s">
        <v>189</v>
      </c>
      <c r="M32" s="10" t="s">
        <v>70</v>
      </c>
      <c r="N32" s="10"/>
      <c r="O32" s="10"/>
      <c r="P32" s="10"/>
      <c r="Q32" s="10"/>
      <c r="R32" s="10"/>
      <c r="S32" s="10"/>
    </row>
    <row r="33" customFormat="false" ht="15" hidden="false" customHeight="false" outlineLevel="0" collapsed="false">
      <c r="A33" s="11" t="n">
        <v>46294</v>
      </c>
      <c r="B33" s="12" t="s">
        <v>62</v>
      </c>
      <c r="C33" s="12" t="n">
        <v>7</v>
      </c>
      <c r="D33" s="12" t="s">
        <v>115</v>
      </c>
      <c r="E33" s="12" t="s">
        <v>63</v>
      </c>
      <c r="F33" s="12" t="s">
        <v>64</v>
      </c>
      <c r="G33" s="12" t="s">
        <v>55</v>
      </c>
      <c r="H33" s="12" t="s">
        <v>190</v>
      </c>
      <c r="I33" s="12" t="s">
        <v>191</v>
      </c>
      <c r="J33" s="12" t="s">
        <v>188</v>
      </c>
      <c r="K33" s="12" t="s">
        <v>68</v>
      </c>
      <c r="L33" s="12" t="s">
        <v>192</v>
      </c>
      <c r="M33" s="12" t="s">
        <v>70</v>
      </c>
      <c r="N33" s="12"/>
      <c r="O33" s="12"/>
      <c r="P33" s="12"/>
      <c r="Q33" s="12"/>
      <c r="R33" s="12"/>
      <c r="S33" s="12"/>
    </row>
    <row r="34" customFormat="false" ht="23.85" hidden="false" customHeight="false" outlineLevel="0" collapsed="false">
      <c r="A34" s="9" t="n">
        <v>46296</v>
      </c>
      <c r="B34" s="10" t="s">
        <v>71</v>
      </c>
      <c r="C34" s="10" t="n">
        <v>7</v>
      </c>
      <c r="D34" s="10" t="s">
        <v>193</v>
      </c>
      <c r="E34" s="10" t="s">
        <v>53</v>
      </c>
      <c r="F34" s="10" t="s">
        <v>54</v>
      </c>
      <c r="G34" s="10" t="s">
        <v>72</v>
      </c>
      <c r="H34" s="10" t="s">
        <v>194</v>
      </c>
      <c r="I34" s="10" t="s">
        <v>195</v>
      </c>
      <c r="J34" s="10" t="s">
        <v>196</v>
      </c>
      <c r="K34" s="10" t="s">
        <v>76</v>
      </c>
      <c r="L34" s="10" t="s">
        <v>114</v>
      </c>
      <c r="M34" s="10" t="s">
        <v>70</v>
      </c>
      <c r="N34" s="10"/>
      <c r="O34" s="10"/>
      <c r="P34" s="10"/>
      <c r="Q34" s="10"/>
      <c r="R34" s="10"/>
      <c r="S34" s="10"/>
    </row>
    <row r="35" customFormat="false" ht="23.85" hidden="false" customHeight="false" outlineLevel="0" collapsed="false">
      <c r="A35" s="11" t="n">
        <v>46297</v>
      </c>
      <c r="B35" s="12" t="s">
        <v>78</v>
      </c>
      <c r="C35" s="12" t="n">
        <v>7</v>
      </c>
      <c r="D35" s="12" t="s">
        <v>193</v>
      </c>
      <c r="E35" s="12" t="s">
        <v>63</v>
      </c>
      <c r="F35" s="12" t="s">
        <v>64</v>
      </c>
      <c r="G35" s="12" t="s">
        <v>72</v>
      </c>
      <c r="H35" s="12" t="s">
        <v>197</v>
      </c>
      <c r="I35" s="12" t="s">
        <v>198</v>
      </c>
      <c r="J35" s="12" t="s">
        <v>199</v>
      </c>
      <c r="K35" s="12" t="s">
        <v>68</v>
      </c>
      <c r="L35" s="12" t="s">
        <v>200</v>
      </c>
      <c r="M35" s="12" t="s">
        <v>70</v>
      </c>
      <c r="N35" s="12"/>
      <c r="O35" s="12"/>
      <c r="P35" s="12"/>
      <c r="Q35" s="12"/>
      <c r="R35" s="12"/>
      <c r="S35" s="12"/>
    </row>
    <row r="36" customFormat="false" ht="15" hidden="false" customHeight="false" outlineLevel="0" collapsed="false">
      <c r="A36" s="11" t="n">
        <v>46298</v>
      </c>
      <c r="B36" s="12" t="s">
        <v>84</v>
      </c>
      <c r="C36" s="12" t="n">
        <v>7</v>
      </c>
      <c r="D36" s="12" t="s">
        <v>193</v>
      </c>
      <c r="E36" s="12" t="s">
        <v>85</v>
      </c>
      <c r="F36" s="12" t="s">
        <v>86</v>
      </c>
      <c r="G36" s="12" t="s">
        <v>72</v>
      </c>
      <c r="H36" s="12" t="s">
        <v>201</v>
      </c>
      <c r="I36" s="12" t="s">
        <v>202</v>
      </c>
      <c r="J36" s="12" t="s">
        <v>203</v>
      </c>
      <c r="K36" s="12" t="s">
        <v>76</v>
      </c>
      <c r="L36" s="12" t="s">
        <v>130</v>
      </c>
      <c r="M36" s="12" t="s">
        <v>70</v>
      </c>
      <c r="N36" s="12"/>
      <c r="O36" s="12"/>
      <c r="P36" s="12"/>
      <c r="Q36" s="12"/>
      <c r="R36" s="12"/>
      <c r="S36" s="12"/>
    </row>
    <row r="37" customFormat="false" ht="23.85" hidden="false" customHeight="false" outlineLevel="0" collapsed="false">
      <c r="A37" s="9" t="n">
        <v>46300</v>
      </c>
      <c r="B37" s="10" t="s">
        <v>51</v>
      </c>
      <c r="C37" s="10" t="n">
        <v>8</v>
      </c>
      <c r="D37" s="10" t="s">
        <v>193</v>
      </c>
      <c r="E37" s="10" t="s">
        <v>53</v>
      </c>
      <c r="F37" s="10" t="s">
        <v>54</v>
      </c>
      <c r="G37" s="10" t="s">
        <v>55</v>
      </c>
      <c r="H37" s="10" t="s">
        <v>204</v>
      </c>
      <c r="I37" s="10" t="s">
        <v>205</v>
      </c>
      <c r="J37" s="10" t="s">
        <v>206</v>
      </c>
      <c r="K37" s="10" t="s">
        <v>169</v>
      </c>
      <c r="L37" s="10" t="s">
        <v>207</v>
      </c>
      <c r="M37" s="10" t="s">
        <v>70</v>
      </c>
      <c r="N37" s="10"/>
      <c r="O37" s="10"/>
      <c r="P37" s="10"/>
      <c r="Q37" s="10"/>
      <c r="R37" s="10"/>
      <c r="S37" s="10"/>
    </row>
    <row r="38" customFormat="false" ht="23.85" hidden="false" customHeight="false" outlineLevel="0" collapsed="false">
      <c r="A38" s="11" t="n">
        <v>46301</v>
      </c>
      <c r="B38" s="12" t="s">
        <v>62</v>
      </c>
      <c r="C38" s="12" t="n">
        <v>8</v>
      </c>
      <c r="D38" s="12" t="s">
        <v>193</v>
      </c>
      <c r="E38" s="12" t="s">
        <v>63</v>
      </c>
      <c r="F38" s="12" t="s">
        <v>64</v>
      </c>
      <c r="G38" s="12" t="s">
        <v>55</v>
      </c>
      <c r="H38" s="12" t="s">
        <v>208</v>
      </c>
      <c r="I38" s="12" t="s">
        <v>209</v>
      </c>
      <c r="J38" s="12" t="s">
        <v>210</v>
      </c>
      <c r="K38" s="12" t="s">
        <v>68</v>
      </c>
      <c r="L38" s="12" t="s">
        <v>98</v>
      </c>
      <c r="M38" s="12" t="s">
        <v>70</v>
      </c>
      <c r="N38" s="12"/>
      <c r="O38" s="12"/>
      <c r="P38" s="12"/>
      <c r="Q38" s="12"/>
      <c r="R38" s="12"/>
      <c r="S38" s="12"/>
    </row>
    <row r="39" customFormat="false" ht="23.85" hidden="false" customHeight="false" outlineLevel="0" collapsed="false">
      <c r="A39" s="9" t="n">
        <v>46303</v>
      </c>
      <c r="B39" s="10" t="s">
        <v>71</v>
      </c>
      <c r="C39" s="10" t="n">
        <v>8</v>
      </c>
      <c r="D39" s="10" t="s">
        <v>193</v>
      </c>
      <c r="E39" s="10" t="s">
        <v>53</v>
      </c>
      <c r="F39" s="10" t="s">
        <v>54</v>
      </c>
      <c r="G39" s="10" t="s">
        <v>55</v>
      </c>
      <c r="H39" s="10" t="s">
        <v>211</v>
      </c>
      <c r="I39" s="10" t="s">
        <v>212</v>
      </c>
      <c r="J39" s="10" t="s">
        <v>213</v>
      </c>
      <c r="K39" s="10" t="s">
        <v>169</v>
      </c>
      <c r="L39" s="10" t="s">
        <v>214</v>
      </c>
      <c r="M39" s="10" t="s">
        <v>70</v>
      </c>
      <c r="N39" s="10"/>
      <c r="O39" s="10"/>
      <c r="P39" s="10"/>
      <c r="Q39" s="10"/>
      <c r="R39" s="10"/>
      <c r="S39" s="10"/>
    </row>
    <row r="40" customFormat="false" ht="23.85" hidden="false" customHeight="false" outlineLevel="0" collapsed="false">
      <c r="A40" s="11" t="n">
        <v>46304</v>
      </c>
      <c r="B40" s="12" t="s">
        <v>78</v>
      </c>
      <c r="C40" s="12" t="n">
        <v>8</v>
      </c>
      <c r="D40" s="12" t="s">
        <v>193</v>
      </c>
      <c r="E40" s="12" t="s">
        <v>63</v>
      </c>
      <c r="F40" s="12" t="s">
        <v>64</v>
      </c>
      <c r="G40" s="12" t="s">
        <v>79</v>
      </c>
      <c r="H40" s="12" t="s">
        <v>215</v>
      </c>
      <c r="I40" s="12" t="s">
        <v>216</v>
      </c>
      <c r="J40" s="12" t="s">
        <v>217</v>
      </c>
      <c r="K40" s="12" t="s">
        <v>68</v>
      </c>
      <c r="L40" s="12" t="s">
        <v>218</v>
      </c>
      <c r="M40" s="12" t="s">
        <v>70</v>
      </c>
      <c r="N40" s="12"/>
      <c r="O40" s="12"/>
      <c r="P40" s="12"/>
      <c r="Q40" s="12"/>
      <c r="R40" s="12"/>
      <c r="S40" s="12"/>
    </row>
    <row r="41" customFormat="false" ht="15" hidden="false" customHeight="false" outlineLevel="0" collapsed="false">
      <c r="A41" s="11" t="n">
        <v>46305</v>
      </c>
      <c r="B41" s="12" t="s">
        <v>84</v>
      </c>
      <c r="C41" s="12" t="n">
        <v>8</v>
      </c>
      <c r="D41" s="12" t="s">
        <v>193</v>
      </c>
      <c r="E41" s="12" t="s">
        <v>85</v>
      </c>
      <c r="F41" s="12" t="s">
        <v>86</v>
      </c>
      <c r="G41" s="12" t="s">
        <v>72</v>
      </c>
      <c r="H41" s="12" t="s">
        <v>219</v>
      </c>
      <c r="I41" s="12" t="s">
        <v>220</v>
      </c>
      <c r="J41" s="12" t="s">
        <v>129</v>
      </c>
      <c r="K41" s="12" t="s">
        <v>76</v>
      </c>
      <c r="L41" s="12" t="s">
        <v>130</v>
      </c>
      <c r="M41" s="12" t="s">
        <v>70</v>
      </c>
      <c r="N41" s="12"/>
      <c r="O41" s="12"/>
      <c r="P41" s="12"/>
      <c r="Q41" s="12"/>
      <c r="R41" s="12"/>
      <c r="S41" s="12"/>
    </row>
    <row r="42" customFormat="false" ht="23.85" hidden="false" customHeight="false" outlineLevel="0" collapsed="false">
      <c r="A42" s="9" t="n">
        <v>46307</v>
      </c>
      <c r="B42" s="10" t="s">
        <v>51</v>
      </c>
      <c r="C42" s="10" t="n">
        <v>9</v>
      </c>
      <c r="D42" s="10" t="s">
        <v>193</v>
      </c>
      <c r="E42" s="10" t="s">
        <v>53</v>
      </c>
      <c r="F42" s="10" t="s">
        <v>54</v>
      </c>
      <c r="G42" s="10" t="s">
        <v>55</v>
      </c>
      <c r="H42" s="10" t="s">
        <v>221</v>
      </c>
      <c r="I42" s="10" t="s">
        <v>222</v>
      </c>
      <c r="J42" s="10" t="s">
        <v>223</v>
      </c>
      <c r="K42" s="10" t="s">
        <v>169</v>
      </c>
      <c r="L42" s="10" t="s">
        <v>114</v>
      </c>
      <c r="M42" s="10" t="s">
        <v>70</v>
      </c>
      <c r="N42" s="10"/>
      <c r="O42" s="10"/>
      <c r="P42" s="10"/>
      <c r="Q42" s="10"/>
      <c r="R42" s="10"/>
      <c r="S42" s="10"/>
    </row>
    <row r="43" customFormat="false" ht="23.85" hidden="false" customHeight="false" outlineLevel="0" collapsed="false">
      <c r="A43" s="11" t="n">
        <v>46308</v>
      </c>
      <c r="B43" s="12" t="s">
        <v>62</v>
      </c>
      <c r="C43" s="12" t="n">
        <v>9</v>
      </c>
      <c r="D43" s="12" t="s">
        <v>193</v>
      </c>
      <c r="E43" s="12" t="s">
        <v>63</v>
      </c>
      <c r="F43" s="12" t="s">
        <v>64</v>
      </c>
      <c r="G43" s="12" t="s">
        <v>55</v>
      </c>
      <c r="H43" s="12" t="s">
        <v>224</v>
      </c>
      <c r="I43" s="12" t="s">
        <v>225</v>
      </c>
      <c r="J43" s="12" t="s">
        <v>223</v>
      </c>
      <c r="K43" s="12" t="s">
        <v>68</v>
      </c>
      <c r="L43" s="12" t="s">
        <v>173</v>
      </c>
      <c r="M43" s="12" t="s">
        <v>70</v>
      </c>
      <c r="N43" s="12"/>
      <c r="O43" s="12"/>
      <c r="P43" s="12"/>
      <c r="Q43" s="12"/>
      <c r="R43" s="12"/>
      <c r="S43" s="12"/>
    </row>
    <row r="44" customFormat="false" ht="23.85" hidden="false" customHeight="false" outlineLevel="0" collapsed="false">
      <c r="A44" s="9" t="n">
        <v>46310</v>
      </c>
      <c r="B44" s="10" t="s">
        <v>71</v>
      </c>
      <c r="C44" s="10" t="n">
        <v>9</v>
      </c>
      <c r="D44" s="10" t="s">
        <v>193</v>
      </c>
      <c r="E44" s="10" t="s">
        <v>53</v>
      </c>
      <c r="F44" s="10" t="s">
        <v>54</v>
      </c>
      <c r="G44" s="10" t="s">
        <v>72</v>
      </c>
      <c r="H44" s="10" t="s">
        <v>226</v>
      </c>
      <c r="I44" s="10" t="s">
        <v>227</v>
      </c>
      <c r="J44" s="10" t="s">
        <v>75</v>
      </c>
      <c r="K44" s="10" t="s">
        <v>169</v>
      </c>
      <c r="L44" s="10" t="s">
        <v>114</v>
      </c>
      <c r="M44" s="10" t="s">
        <v>70</v>
      </c>
      <c r="N44" s="10"/>
      <c r="O44" s="10"/>
      <c r="P44" s="10"/>
      <c r="Q44" s="10"/>
      <c r="R44" s="10"/>
      <c r="S44" s="10"/>
    </row>
    <row r="45" customFormat="false" ht="23.85" hidden="false" customHeight="false" outlineLevel="0" collapsed="false">
      <c r="A45" s="11" t="n">
        <v>46311</v>
      </c>
      <c r="B45" s="12" t="s">
        <v>78</v>
      </c>
      <c r="C45" s="12" t="n">
        <v>9</v>
      </c>
      <c r="D45" s="12" t="s">
        <v>193</v>
      </c>
      <c r="E45" s="12" t="s">
        <v>63</v>
      </c>
      <c r="F45" s="12" t="s">
        <v>64</v>
      </c>
      <c r="G45" s="12" t="s">
        <v>55</v>
      </c>
      <c r="H45" s="12" t="s">
        <v>228</v>
      </c>
      <c r="I45" s="12" t="s">
        <v>229</v>
      </c>
      <c r="J45" s="12" t="s">
        <v>230</v>
      </c>
      <c r="K45" s="12" t="s">
        <v>68</v>
      </c>
      <c r="L45" s="12" t="s">
        <v>231</v>
      </c>
      <c r="M45" s="12" t="s">
        <v>70</v>
      </c>
      <c r="N45" s="12"/>
      <c r="O45" s="12"/>
      <c r="P45" s="12"/>
      <c r="Q45" s="12"/>
      <c r="R45" s="12"/>
      <c r="S45" s="12"/>
    </row>
    <row r="46" customFormat="false" ht="23.85" hidden="false" customHeight="false" outlineLevel="0" collapsed="false">
      <c r="A46" s="11" t="n">
        <v>46312</v>
      </c>
      <c r="B46" s="12" t="s">
        <v>84</v>
      </c>
      <c r="C46" s="12" t="n">
        <v>9</v>
      </c>
      <c r="D46" s="12" t="s">
        <v>193</v>
      </c>
      <c r="E46" s="12" t="s">
        <v>85</v>
      </c>
      <c r="F46" s="12" t="s">
        <v>86</v>
      </c>
      <c r="G46" s="12" t="s">
        <v>55</v>
      </c>
      <c r="H46" s="12" t="s">
        <v>232</v>
      </c>
      <c r="I46" s="12" t="s">
        <v>233</v>
      </c>
      <c r="J46" s="12" t="s">
        <v>234</v>
      </c>
      <c r="K46" s="12" t="s">
        <v>76</v>
      </c>
      <c r="L46" s="12" t="s">
        <v>235</v>
      </c>
      <c r="M46" s="12" t="s">
        <v>70</v>
      </c>
      <c r="N46" s="12"/>
      <c r="O46" s="12"/>
      <c r="P46" s="12"/>
      <c r="Q46" s="12"/>
      <c r="R46" s="12"/>
      <c r="S46" s="12"/>
    </row>
    <row r="47" customFormat="false" ht="23.85" hidden="false" customHeight="false" outlineLevel="0" collapsed="false">
      <c r="A47" s="9" t="n">
        <v>46314</v>
      </c>
      <c r="B47" s="10" t="s">
        <v>51</v>
      </c>
      <c r="C47" s="10" t="n">
        <v>10</v>
      </c>
      <c r="D47" s="10" t="s">
        <v>193</v>
      </c>
      <c r="E47" s="10" t="s">
        <v>53</v>
      </c>
      <c r="F47" s="10" t="s">
        <v>54</v>
      </c>
      <c r="G47" s="10" t="s">
        <v>55</v>
      </c>
      <c r="H47" s="10" t="s">
        <v>236</v>
      </c>
      <c r="I47" s="10" t="s">
        <v>237</v>
      </c>
      <c r="J47" s="10" t="s">
        <v>238</v>
      </c>
      <c r="K47" s="10" t="s">
        <v>169</v>
      </c>
      <c r="L47" s="10" t="s">
        <v>239</v>
      </c>
      <c r="M47" s="10" t="s">
        <v>70</v>
      </c>
      <c r="N47" s="10"/>
      <c r="O47" s="10"/>
      <c r="P47" s="10"/>
      <c r="Q47" s="10"/>
      <c r="R47" s="10"/>
      <c r="S47" s="10"/>
    </row>
    <row r="48" customFormat="false" ht="23.85" hidden="false" customHeight="false" outlineLevel="0" collapsed="false">
      <c r="A48" s="11" t="n">
        <v>46315</v>
      </c>
      <c r="B48" s="12" t="s">
        <v>62</v>
      </c>
      <c r="C48" s="12" t="n">
        <v>10</v>
      </c>
      <c r="D48" s="12" t="s">
        <v>193</v>
      </c>
      <c r="E48" s="12" t="s">
        <v>63</v>
      </c>
      <c r="F48" s="12" t="s">
        <v>64</v>
      </c>
      <c r="G48" s="12" t="s">
        <v>55</v>
      </c>
      <c r="H48" s="12" t="s">
        <v>240</v>
      </c>
      <c r="I48" s="12" t="s">
        <v>241</v>
      </c>
      <c r="J48" s="12" t="s">
        <v>129</v>
      </c>
      <c r="K48" s="12" t="s">
        <v>68</v>
      </c>
      <c r="L48" s="12" t="s">
        <v>173</v>
      </c>
      <c r="M48" s="12" t="s">
        <v>70</v>
      </c>
      <c r="N48" s="12"/>
      <c r="O48" s="12"/>
      <c r="P48" s="12"/>
      <c r="Q48" s="12"/>
      <c r="R48" s="12"/>
      <c r="S48" s="12"/>
    </row>
    <row r="49" customFormat="false" ht="23.85" hidden="false" customHeight="false" outlineLevel="0" collapsed="false">
      <c r="A49" s="9" t="n">
        <v>46317</v>
      </c>
      <c r="B49" s="10" t="s">
        <v>71</v>
      </c>
      <c r="C49" s="10" t="n">
        <v>10</v>
      </c>
      <c r="D49" s="10" t="s">
        <v>193</v>
      </c>
      <c r="E49" s="10" t="s">
        <v>53</v>
      </c>
      <c r="F49" s="10" t="s">
        <v>54</v>
      </c>
      <c r="G49" s="10" t="s">
        <v>55</v>
      </c>
      <c r="H49" s="10" t="s">
        <v>242</v>
      </c>
      <c r="I49" s="10" t="s">
        <v>243</v>
      </c>
      <c r="J49" s="10" t="s">
        <v>140</v>
      </c>
      <c r="K49" s="10" t="s">
        <v>169</v>
      </c>
      <c r="L49" s="10" t="s">
        <v>114</v>
      </c>
      <c r="M49" s="10" t="s">
        <v>70</v>
      </c>
      <c r="N49" s="10"/>
      <c r="O49" s="10"/>
      <c r="P49" s="10"/>
      <c r="Q49" s="10"/>
      <c r="R49" s="10"/>
      <c r="S49" s="10"/>
    </row>
    <row r="50" customFormat="false" ht="23.85" hidden="false" customHeight="false" outlineLevel="0" collapsed="false">
      <c r="A50" s="11" t="n">
        <v>46318</v>
      </c>
      <c r="B50" s="12" t="s">
        <v>78</v>
      </c>
      <c r="C50" s="12" t="n">
        <v>10</v>
      </c>
      <c r="D50" s="12" t="s">
        <v>193</v>
      </c>
      <c r="E50" s="12" t="s">
        <v>63</v>
      </c>
      <c r="F50" s="12" t="s">
        <v>64</v>
      </c>
      <c r="G50" s="12" t="s">
        <v>55</v>
      </c>
      <c r="H50" s="12" t="s">
        <v>244</v>
      </c>
      <c r="I50" s="12" t="s">
        <v>245</v>
      </c>
      <c r="J50" s="12" t="s">
        <v>246</v>
      </c>
      <c r="K50" s="12" t="s">
        <v>68</v>
      </c>
      <c r="L50" s="12" t="s">
        <v>247</v>
      </c>
      <c r="M50" s="12" t="s">
        <v>70</v>
      </c>
      <c r="N50" s="12"/>
      <c r="O50" s="12"/>
      <c r="P50" s="12"/>
      <c r="Q50" s="12"/>
      <c r="R50" s="12"/>
      <c r="S50" s="12"/>
    </row>
    <row r="51" customFormat="false" ht="23.85" hidden="false" customHeight="false" outlineLevel="0" collapsed="false">
      <c r="A51" s="11" t="n">
        <v>46319</v>
      </c>
      <c r="B51" s="12" t="s">
        <v>84</v>
      </c>
      <c r="C51" s="12" t="n">
        <v>10</v>
      </c>
      <c r="D51" s="12" t="s">
        <v>193</v>
      </c>
      <c r="E51" s="12" t="s">
        <v>85</v>
      </c>
      <c r="F51" s="12" t="s">
        <v>86</v>
      </c>
      <c r="G51" s="12" t="s">
        <v>72</v>
      </c>
      <c r="H51" s="12" t="s">
        <v>248</v>
      </c>
      <c r="I51" s="12" t="s">
        <v>249</v>
      </c>
      <c r="J51" s="12" t="s">
        <v>250</v>
      </c>
      <c r="K51" s="12" t="s">
        <v>76</v>
      </c>
      <c r="L51" s="12" t="s">
        <v>251</v>
      </c>
      <c r="M51" s="12" t="s">
        <v>70</v>
      </c>
      <c r="N51" s="12"/>
      <c r="O51" s="12"/>
      <c r="P51" s="12"/>
      <c r="Q51" s="12"/>
      <c r="R51" s="12"/>
      <c r="S51" s="12"/>
    </row>
    <row r="52" customFormat="false" ht="23.85" hidden="false" customHeight="false" outlineLevel="0" collapsed="false">
      <c r="A52" s="9" t="n">
        <v>46321</v>
      </c>
      <c r="B52" s="10" t="s">
        <v>51</v>
      </c>
      <c r="C52" s="10" t="n">
        <v>11</v>
      </c>
      <c r="D52" s="10" t="s">
        <v>193</v>
      </c>
      <c r="E52" s="10" t="s">
        <v>53</v>
      </c>
      <c r="F52" s="10" t="s">
        <v>54</v>
      </c>
      <c r="G52" s="10" t="s">
        <v>55</v>
      </c>
      <c r="H52" s="10" t="s">
        <v>252</v>
      </c>
      <c r="I52" s="10" t="s">
        <v>253</v>
      </c>
      <c r="J52" s="10" t="s">
        <v>254</v>
      </c>
      <c r="K52" s="10" t="s">
        <v>169</v>
      </c>
      <c r="L52" s="10" t="s">
        <v>255</v>
      </c>
      <c r="M52" s="10" t="s">
        <v>70</v>
      </c>
      <c r="N52" s="10"/>
      <c r="O52" s="10"/>
      <c r="P52" s="10"/>
      <c r="Q52" s="10"/>
      <c r="R52" s="10"/>
      <c r="S52" s="10"/>
    </row>
    <row r="53" customFormat="false" ht="23.85" hidden="false" customHeight="false" outlineLevel="0" collapsed="false">
      <c r="A53" s="11" t="n">
        <v>46322</v>
      </c>
      <c r="B53" s="12" t="s">
        <v>62</v>
      </c>
      <c r="C53" s="12" t="n">
        <v>11</v>
      </c>
      <c r="D53" s="12" t="s">
        <v>193</v>
      </c>
      <c r="E53" s="12" t="s">
        <v>63</v>
      </c>
      <c r="F53" s="12" t="s">
        <v>64</v>
      </c>
      <c r="G53" s="12" t="s">
        <v>55</v>
      </c>
      <c r="H53" s="12" t="s">
        <v>256</v>
      </c>
      <c r="I53" s="12" t="s">
        <v>257</v>
      </c>
      <c r="J53" s="12" t="s">
        <v>210</v>
      </c>
      <c r="K53" s="12" t="s">
        <v>68</v>
      </c>
      <c r="L53" s="12" t="s">
        <v>161</v>
      </c>
      <c r="M53" s="12" t="s">
        <v>70</v>
      </c>
      <c r="N53" s="12"/>
      <c r="O53" s="12"/>
      <c r="P53" s="12"/>
      <c r="Q53" s="12"/>
      <c r="R53" s="12"/>
      <c r="S53" s="12"/>
    </row>
    <row r="54" customFormat="false" ht="23.85" hidden="false" customHeight="false" outlineLevel="0" collapsed="false">
      <c r="A54" s="9" t="n">
        <v>46324</v>
      </c>
      <c r="B54" s="10" t="s">
        <v>71</v>
      </c>
      <c r="C54" s="10" t="n">
        <v>11</v>
      </c>
      <c r="D54" s="10" t="s">
        <v>193</v>
      </c>
      <c r="E54" s="10" t="s">
        <v>53</v>
      </c>
      <c r="F54" s="10" t="s">
        <v>54</v>
      </c>
      <c r="G54" s="10" t="s">
        <v>72</v>
      </c>
      <c r="H54" s="10" t="s">
        <v>258</v>
      </c>
      <c r="I54" s="10" t="s">
        <v>259</v>
      </c>
      <c r="J54" s="10" t="s">
        <v>260</v>
      </c>
      <c r="K54" s="10" t="s">
        <v>169</v>
      </c>
      <c r="L54" s="10" t="s">
        <v>114</v>
      </c>
      <c r="M54" s="10" t="s">
        <v>70</v>
      </c>
      <c r="N54" s="10"/>
      <c r="O54" s="10"/>
      <c r="P54" s="10"/>
      <c r="Q54" s="10"/>
      <c r="R54" s="10"/>
      <c r="S54" s="10"/>
    </row>
    <row r="55" customFormat="false" ht="23.85" hidden="false" customHeight="false" outlineLevel="0" collapsed="false">
      <c r="A55" s="11" t="n">
        <v>46325</v>
      </c>
      <c r="B55" s="12" t="s">
        <v>78</v>
      </c>
      <c r="C55" s="12" t="n">
        <v>11</v>
      </c>
      <c r="D55" s="12" t="s">
        <v>193</v>
      </c>
      <c r="E55" s="12" t="s">
        <v>63</v>
      </c>
      <c r="F55" s="12" t="s">
        <v>64</v>
      </c>
      <c r="G55" s="12" t="s">
        <v>72</v>
      </c>
      <c r="H55" s="12" t="s">
        <v>261</v>
      </c>
      <c r="I55" s="12" t="s">
        <v>262</v>
      </c>
      <c r="J55" s="12" t="s">
        <v>133</v>
      </c>
      <c r="K55" s="12" t="s">
        <v>68</v>
      </c>
      <c r="L55" s="12" t="s">
        <v>200</v>
      </c>
      <c r="M55" s="12" t="s">
        <v>70</v>
      </c>
      <c r="N55" s="12"/>
      <c r="O55" s="12"/>
      <c r="P55" s="12"/>
      <c r="Q55" s="12"/>
      <c r="R55" s="12"/>
      <c r="S55" s="12"/>
    </row>
    <row r="56" customFormat="false" ht="23.85" hidden="false" customHeight="false" outlineLevel="0" collapsed="false">
      <c r="A56" s="11" t="n">
        <v>46326</v>
      </c>
      <c r="B56" s="12" t="s">
        <v>84</v>
      </c>
      <c r="C56" s="12" t="n">
        <v>11</v>
      </c>
      <c r="D56" s="12" t="s">
        <v>193</v>
      </c>
      <c r="E56" s="12" t="s">
        <v>85</v>
      </c>
      <c r="F56" s="12" t="s">
        <v>86</v>
      </c>
      <c r="G56" s="12" t="s">
        <v>79</v>
      </c>
      <c r="H56" s="12" t="s">
        <v>263</v>
      </c>
      <c r="I56" s="12" t="s">
        <v>264</v>
      </c>
      <c r="J56" s="12" t="s">
        <v>265</v>
      </c>
      <c r="K56" s="12" t="s">
        <v>76</v>
      </c>
      <c r="L56" s="12" t="s">
        <v>266</v>
      </c>
      <c r="M56" s="12" t="s">
        <v>70</v>
      </c>
      <c r="N56" s="12"/>
      <c r="O56" s="12"/>
      <c r="P56" s="12"/>
      <c r="Q56" s="12"/>
      <c r="R56" s="12"/>
      <c r="S56" s="12"/>
    </row>
    <row r="57" customFormat="false" ht="23.85" hidden="false" customHeight="false" outlineLevel="0" collapsed="false">
      <c r="A57" s="9" t="n">
        <v>46328</v>
      </c>
      <c r="B57" s="10" t="s">
        <v>51</v>
      </c>
      <c r="C57" s="10" t="n">
        <v>12</v>
      </c>
      <c r="D57" s="10" t="s">
        <v>267</v>
      </c>
      <c r="E57" s="10" t="s">
        <v>53</v>
      </c>
      <c r="F57" s="10" t="s">
        <v>54</v>
      </c>
      <c r="G57" s="10" t="s">
        <v>268</v>
      </c>
      <c r="H57" s="10" t="s">
        <v>269</v>
      </c>
      <c r="I57" s="10" t="s">
        <v>270</v>
      </c>
      <c r="J57" s="10" t="s">
        <v>271</v>
      </c>
      <c r="K57" s="10" t="s">
        <v>272</v>
      </c>
      <c r="L57" s="10" t="s">
        <v>273</v>
      </c>
      <c r="M57" s="10" t="s">
        <v>70</v>
      </c>
      <c r="N57" s="10"/>
      <c r="O57" s="10"/>
      <c r="P57" s="10"/>
      <c r="Q57" s="10"/>
      <c r="R57" s="10"/>
      <c r="S57" s="10"/>
    </row>
    <row r="58" customFormat="false" ht="23.85" hidden="false" customHeight="false" outlineLevel="0" collapsed="false">
      <c r="A58" s="11" t="n">
        <v>46329</v>
      </c>
      <c r="B58" s="12" t="s">
        <v>62</v>
      </c>
      <c r="C58" s="12" t="n">
        <v>12</v>
      </c>
      <c r="D58" s="12" t="s">
        <v>267</v>
      </c>
      <c r="E58" s="12" t="s">
        <v>63</v>
      </c>
      <c r="F58" s="12" t="s">
        <v>64</v>
      </c>
      <c r="G58" s="12" t="s">
        <v>268</v>
      </c>
      <c r="H58" s="12" t="s">
        <v>274</v>
      </c>
      <c r="I58" s="12" t="s">
        <v>275</v>
      </c>
      <c r="J58" s="12" t="s">
        <v>271</v>
      </c>
      <c r="K58" s="12" t="s">
        <v>272</v>
      </c>
      <c r="L58" s="12" t="s">
        <v>276</v>
      </c>
      <c r="M58" s="12" t="s">
        <v>70</v>
      </c>
      <c r="N58" s="12"/>
      <c r="O58" s="12"/>
      <c r="P58" s="12"/>
      <c r="Q58" s="12"/>
      <c r="R58" s="12"/>
      <c r="S58" s="12"/>
    </row>
    <row r="59" customFormat="false" ht="23.85" hidden="false" customHeight="false" outlineLevel="0" collapsed="false">
      <c r="A59" s="9" t="n">
        <v>46331</v>
      </c>
      <c r="B59" s="10" t="s">
        <v>71</v>
      </c>
      <c r="C59" s="10" t="n">
        <v>12</v>
      </c>
      <c r="D59" s="10" t="s">
        <v>267</v>
      </c>
      <c r="E59" s="10" t="s">
        <v>53</v>
      </c>
      <c r="F59" s="10" t="s">
        <v>54</v>
      </c>
      <c r="G59" s="10" t="s">
        <v>268</v>
      </c>
      <c r="H59" s="10" t="s">
        <v>277</v>
      </c>
      <c r="I59" s="10" t="s">
        <v>278</v>
      </c>
      <c r="J59" s="10" t="s">
        <v>279</v>
      </c>
      <c r="K59" s="10" t="s">
        <v>272</v>
      </c>
      <c r="L59" s="10" t="s">
        <v>114</v>
      </c>
      <c r="M59" s="10" t="s">
        <v>70</v>
      </c>
      <c r="N59" s="10"/>
      <c r="O59" s="10"/>
      <c r="P59" s="10"/>
      <c r="Q59" s="10"/>
      <c r="R59" s="10"/>
      <c r="S59" s="10"/>
    </row>
    <row r="60" customFormat="false" ht="23.85" hidden="false" customHeight="false" outlineLevel="0" collapsed="false">
      <c r="A60" s="11" t="n">
        <v>46332</v>
      </c>
      <c r="B60" s="12" t="s">
        <v>78</v>
      </c>
      <c r="C60" s="12" t="n">
        <v>12</v>
      </c>
      <c r="D60" s="12" t="s">
        <v>267</v>
      </c>
      <c r="E60" s="12" t="s">
        <v>63</v>
      </c>
      <c r="F60" s="12" t="s">
        <v>64</v>
      </c>
      <c r="G60" s="12" t="s">
        <v>79</v>
      </c>
      <c r="H60" s="12" t="s">
        <v>280</v>
      </c>
      <c r="I60" s="12" t="s">
        <v>281</v>
      </c>
      <c r="J60" s="12" t="s">
        <v>282</v>
      </c>
      <c r="K60" s="12" t="s">
        <v>272</v>
      </c>
      <c r="L60" s="12" t="s">
        <v>283</v>
      </c>
      <c r="M60" s="12" t="s">
        <v>70</v>
      </c>
      <c r="N60" s="12"/>
      <c r="O60" s="12"/>
      <c r="P60" s="12"/>
      <c r="Q60" s="12"/>
      <c r="R60" s="12"/>
      <c r="S60" s="12"/>
    </row>
    <row r="61" customFormat="false" ht="23.85" hidden="false" customHeight="false" outlineLevel="0" collapsed="false">
      <c r="A61" s="11" t="n">
        <v>46333</v>
      </c>
      <c r="B61" s="12" t="s">
        <v>84</v>
      </c>
      <c r="C61" s="12" t="n">
        <v>12</v>
      </c>
      <c r="D61" s="12" t="s">
        <v>267</v>
      </c>
      <c r="E61" s="12" t="s">
        <v>85</v>
      </c>
      <c r="F61" s="12" t="s">
        <v>86</v>
      </c>
      <c r="G61" s="12" t="s">
        <v>268</v>
      </c>
      <c r="H61" s="12" t="s">
        <v>284</v>
      </c>
      <c r="I61" s="12" t="s">
        <v>285</v>
      </c>
      <c r="J61" s="12" t="s">
        <v>286</v>
      </c>
      <c r="K61" s="12" t="s">
        <v>272</v>
      </c>
      <c r="L61" s="12" t="s">
        <v>130</v>
      </c>
      <c r="M61" s="12" t="s">
        <v>70</v>
      </c>
      <c r="N61" s="12"/>
      <c r="O61" s="12"/>
      <c r="P61" s="12"/>
      <c r="Q61" s="12"/>
      <c r="R61" s="12"/>
      <c r="S61" s="12"/>
    </row>
    <row r="62" customFormat="false" ht="23.85" hidden="false" customHeight="false" outlineLevel="0" collapsed="false">
      <c r="A62" s="9" t="n">
        <v>46335</v>
      </c>
      <c r="B62" s="10" t="s">
        <v>51</v>
      </c>
      <c r="C62" s="10" t="n">
        <v>13</v>
      </c>
      <c r="D62" s="10" t="s">
        <v>267</v>
      </c>
      <c r="E62" s="10" t="s">
        <v>53</v>
      </c>
      <c r="F62" s="10" t="s">
        <v>54</v>
      </c>
      <c r="G62" s="10" t="s">
        <v>268</v>
      </c>
      <c r="H62" s="10" t="s">
        <v>287</v>
      </c>
      <c r="I62" s="10" t="s">
        <v>288</v>
      </c>
      <c r="J62" s="10" t="s">
        <v>289</v>
      </c>
      <c r="K62" s="10" t="s">
        <v>272</v>
      </c>
      <c r="L62" s="10" t="s">
        <v>290</v>
      </c>
      <c r="M62" s="10" t="s">
        <v>70</v>
      </c>
      <c r="N62" s="10"/>
      <c r="O62" s="10"/>
      <c r="P62" s="10"/>
      <c r="Q62" s="10"/>
      <c r="R62" s="10"/>
      <c r="S62" s="10"/>
    </row>
    <row r="63" customFormat="false" ht="15" hidden="false" customHeight="false" outlineLevel="0" collapsed="false">
      <c r="A63" s="11" t="n">
        <v>46336</v>
      </c>
      <c r="B63" s="12" t="s">
        <v>62</v>
      </c>
      <c r="C63" s="12" t="n">
        <v>13</v>
      </c>
      <c r="D63" s="12" t="s">
        <v>267</v>
      </c>
      <c r="E63" s="12" t="s">
        <v>63</v>
      </c>
      <c r="F63" s="12" t="s">
        <v>64</v>
      </c>
      <c r="G63" s="12" t="s">
        <v>268</v>
      </c>
      <c r="H63" s="12" t="s">
        <v>291</v>
      </c>
      <c r="I63" s="12" t="s">
        <v>292</v>
      </c>
      <c r="J63" s="12" t="s">
        <v>289</v>
      </c>
      <c r="K63" s="12" t="s">
        <v>272</v>
      </c>
      <c r="L63" s="12" t="s">
        <v>293</v>
      </c>
      <c r="M63" s="12" t="s">
        <v>70</v>
      </c>
      <c r="N63" s="12"/>
      <c r="O63" s="12"/>
      <c r="P63" s="12"/>
      <c r="Q63" s="12"/>
      <c r="R63" s="12"/>
      <c r="S63" s="12"/>
    </row>
    <row r="64" customFormat="false" ht="23.85" hidden="false" customHeight="false" outlineLevel="0" collapsed="false">
      <c r="A64" s="9" t="n">
        <v>46338</v>
      </c>
      <c r="B64" s="10" t="s">
        <v>71</v>
      </c>
      <c r="C64" s="10" t="n">
        <v>13</v>
      </c>
      <c r="D64" s="10" t="s">
        <v>267</v>
      </c>
      <c r="E64" s="10" t="s">
        <v>53</v>
      </c>
      <c r="F64" s="10" t="s">
        <v>54</v>
      </c>
      <c r="G64" s="10" t="s">
        <v>72</v>
      </c>
      <c r="H64" s="10" t="s">
        <v>294</v>
      </c>
      <c r="I64" s="10" t="s">
        <v>295</v>
      </c>
      <c r="J64" s="10" t="s">
        <v>296</v>
      </c>
      <c r="K64" s="10" t="s">
        <v>76</v>
      </c>
      <c r="L64" s="10" t="s">
        <v>297</v>
      </c>
      <c r="M64" s="10" t="s">
        <v>70</v>
      </c>
      <c r="N64" s="10"/>
      <c r="O64" s="10"/>
      <c r="P64" s="10"/>
      <c r="Q64" s="10"/>
      <c r="R64" s="10"/>
      <c r="S64" s="10"/>
    </row>
    <row r="65" customFormat="false" ht="23.85" hidden="false" customHeight="false" outlineLevel="0" collapsed="false">
      <c r="A65" s="11" t="n">
        <v>46339</v>
      </c>
      <c r="B65" s="12" t="s">
        <v>78</v>
      </c>
      <c r="C65" s="12" t="n">
        <v>13</v>
      </c>
      <c r="D65" s="12" t="s">
        <v>267</v>
      </c>
      <c r="E65" s="12" t="s">
        <v>63</v>
      </c>
      <c r="F65" s="12" t="s">
        <v>64</v>
      </c>
      <c r="G65" s="12" t="s">
        <v>79</v>
      </c>
      <c r="H65" s="12" t="s">
        <v>298</v>
      </c>
      <c r="I65" s="12" t="s">
        <v>299</v>
      </c>
      <c r="J65" s="12" t="s">
        <v>296</v>
      </c>
      <c r="K65" s="12" t="s">
        <v>76</v>
      </c>
      <c r="L65" s="12" t="s">
        <v>300</v>
      </c>
      <c r="M65" s="12" t="s">
        <v>70</v>
      </c>
      <c r="N65" s="12"/>
      <c r="O65" s="12"/>
      <c r="P65" s="12"/>
      <c r="Q65" s="12"/>
      <c r="R65" s="12"/>
      <c r="S65" s="12"/>
    </row>
    <row r="66" customFormat="false" ht="23.85" hidden="false" customHeight="false" outlineLevel="0" collapsed="false">
      <c r="A66" s="11" t="n">
        <v>46340</v>
      </c>
      <c r="B66" s="12" t="s">
        <v>84</v>
      </c>
      <c r="C66" s="12" t="n">
        <v>13</v>
      </c>
      <c r="D66" s="12" t="s">
        <v>267</v>
      </c>
      <c r="E66" s="12" t="s">
        <v>85</v>
      </c>
      <c r="F66" s="12" t="s">
        <v>86</v>
      </c>
      <c r="G66" s="12" t="s">
        <v>268</v>
      </c>
      <c r="H66" s="12" t="s">
        <v>301</v>
      </c>
      <c r="I66" s="12" t="s">
        <v>302</v>
      </c>
      <c r="J66" s="12" t="s">
        <v>303</v>
      </c>
      <c r="K66" s="12" t="s">
        <v>272</v>
      </c>
      <c r="L66" s="12" t="s">
        <v>266</v>
      </c>
      <c r="M66" s="12" t="s">
        <v>70</v>
      </c>
      <c r="N66" s="12"/>
      <c r="O66" s="12"/>
      <c r="P66" s="12"/>
      <c r="Q66" s="12"/>
      <c r="R66" s="12"/>
      <c r="S66" s="12"/>
    </row>
  </sheetData>
  <dataValidations count="1">
    <dataValidation allowBlank="true" errorStyle="stop" operator="between" showDropDown="false" showErrorMessage="false" showInputMessage="false" sqref="M2:M66" type="list">
      <formula1>"Idea,Design,Ready,Posted"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40"/>
    <col collapsed="false" customWidth="true" hidden="false" outlineLevel="0" max="4" min="4" style="0" width="60"/>
    <col collapsed="false" customWidth="true" hidden="false" outlineLevel="0" max="5" min="5" style="0" width="46"/>
  </cols>
  <sheetData>
    <row r="1" customFormat="false" ht="15" hidden="false" customHeight="false" outlineLevel="0" collapsed="false">
      <c r="A1" s="8" t="s">
        <v>304</v>
      </c>
      <c r="B1" s="8" t="s">
        <v>305</v>
      </c>
      <c r="C1" s="8" t="s">
        <v>306</v>
      </c>
      <c r="D1" s="8" t="s">
        <v>307</v>
      </c>
      <c r="E1" s="8" t="s">
        <v>308</v>
      </c>
    </row>
    <row r="2" customFormat="false" ht="23.85" hidden="false" customHeight="false" outlineLevel="0" collapsed="false">
      <c r="A2" s="12" t="s">
        <v>309</v>
      </c>
      <c r="B2" s="12" t="s">
        <v>52</v>
      </c>
      <c r="C2" s="12" t="s">
        <v>310</v>
      </c>
      <c r="D2" s="12" t="s">
        <v>311</v>
      </c>
      <c r="E2" s="12" t="s">
        <v>312</v>
      </c>
    </row>
    <row r="3" customFormat="false" ht="23.85" hidden="false" customHeight="false" outlineLevel="0" collapsed="false">
      <c r="A3" s="12" t="s">
        <v>313</v>
      </c>
      <c r="B3" s="12" t="s">
        <v>115</v>
      </c>
      <c r="C3" s="12" t="s">
        <v>314</v>
      </c>
      <c r="D3" s="12" t="s">
        <v>315</v>
      </c>
      <c r="E3" s="12" t="s">
        <v>316</v>
      </c>
    </row>
    <row r="4" customFormat="false" ht="23.85" hidden="false" customHeight="false" outlineLevel="0" collapsed="false">
      <c r="A4" s="12" t="s">
        <v>317</v>
      </c>
      <c r="B4" s="12" t="s">
        <v>193</v>
      </c>
      <c r="C4" s="12" t="s">
        <v>318</v>
      </c>
      <c r="D4" s="12" t="s">
        <v>319</v>
      </c>
      <c r="E4" s="12" t="s">
        <v>320</v>
      </c>
    </row>
    <row r="5" customFormat="false" ht="23.85" hidden="false" customHeight="false" outlineLevel="0" collapsed="false">
      <c r="A5" s="12" t="s">
        <v>321</v>
      </c>
      <c r="B5" s="12" t="s">
        <v>267</v>
      </c>
      <c r="C5" s="12" t="s">
        <v>322</v>
      </c>
      <c r="D5" s="12" t="s">
        <v>323</v>
      </c>
      <c r="E5" s="12" t="s">
        <v>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55"/>
    <col collapsed="false" customWidth="true" hidden="false" outlineLevel="0" max="4" min="4" style="0" width="45"/>
    <col collapsed="false" customWidth="true" hidden="false" outlineLevel="0" max="5" min="5" style="0" width="20"/>
  </cols>
  <sheetData>
    <row r="1" customFormat="false" ht="15" hidden="false" customHeight="false" outlineLevel="0" collapsed="false">
      <c r="A1" s="8" t="s">
        <v>38</v>
      </c>
      <c r="B1" s="8" t="s">
        <v>325</v>
      </c>
      <c r="C1" s="8" t="s">
        <v>326</v>
      </c>
      <c r="D1" s="8" t="s">
        <v>327</v>
      </c>
      <c r="E1" s="8" t="s">
        <v>328</v>
      </c>
    </row>
    <row r="2" customFormat="false" ht="15" hidden="false" customHeight="false" outlineLevel="0" collapsed="false">
      <c r="A2" s="12" t="s">
        <v>55</v>
      </c>
      <c r="B2" s="12" t="s">
        <v>329</v>
      </c>
      <c r="C2" s="12" t="s">
        <v>330</v>
      </c>
      <c r="D2" s="12" t="s">
        <v>331</v>
      </c>
      <c r="E2" s="12" t="s">
        <v>332</v>
      </c>
    </row>
    <row r="3" customFormat="false" ht="15" hidden="false" customHeight="false" outlineLevel="0" collapsed="false">
      <c r="A3" s="12" t="s">
        <v>72</v>
      </c>
      <c r="B3" s="12" t="s">
        <v>333</v>
      </c>
      <c r="C3" s="12" t="s">
        <v>334</v>
      </c>
      <c r="D3" s="12" t="s">
        <v>335</v>
      </c>
      <c r="E3" s="12" t="s">
        <v>336</v>
      </c>
    </row>
    <row r="4" customFormat="false" ht="15" hidden="false" customHeight="false" outlineLevel="0" collapsed="false">
      <c r="A4" s="12" t="s">
        <v>79</v>
      </c>
      <c r="B4" s="12" t="s">
        <v>337</v>
      </c>
      <c r="C4" s="12" t="s">
        <v>338</v>
      </c>
      <c r="D4" s="12" t="s">
        <v>339</v>
      </c>
      <c r="E4" s="12" t="s">
        <v>340</v>
      </c>
    </row>
    <row r="5" customFormat="false" ht="15" hidden="false" customHeight="false" outlineLevel="0" collapsed="false">
      <c r="A5" s="12" t="s">
        <v>268</v>
      </c>
      <c r="B5" s="12" t="s">
        <v>341</v>
      </c>
      <c r="C5" s="12" t="s">
        <v>342</v>
      </c>
      <c r="D5" s="12" t="s">
        <v>343</v>
      </c>
      <c r="E5" s="12"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10"/>
  </cols>
  <sheetData>
    <row r="1" customFormat="false" ht="15" hidden="false" customHeight="false" outlineLevel="0" collapsed="false">
      <c r="A1" s="8" t="s">
        <v>344</v>
      </c>
      <c r="B1" s="8" t="s">
        <v>345</v>
      </c>
      <c r="C1" s="8" t="s">
        <v>346</v>
      </c>
    </row>
    <row r="2" customFormat="false" ht="15" hidden="false" customHeight="false" outlineLevel="0" collapsed="false">
      <c r="A2" s="12" t="s">
        <v>59</v>
      </c>
      <c r="B2" s="12" t="s">
        <v>347</v>
      </c>
      <c r="C2" s="12" t="s">
        <v>348</v>
      </c>
    </row>
    <row r="3" customFormat="false" ht="15" hidden="false" customHeight="false" outlineLevel="0" collapsed="false">
      <c r="A3" s="12" t="s">
        <v>169</v>
      </c>
      <c r="B3" s="12" t="s">
        <v>349</v>
      </c>
      <c r="C3" s="12" t="s">
        <v>350</v>
      </c>
    </row>
    <row r="4" customFormat="false" ht="15" hidden="false" customHeight="false" outlineLevel="0" collapsed="false">
      <c r="A4" s="12" t="s">
        <v>76</v>
      </c>
      <c r="B4" s="12" t="s">
        <v>351</v>
      </c>
      <c r="C4" s="12" t="s">
        <v>352</v>
      </c>
    </row>
    <row r="5" customFormat="false" ht="15" hidden="false" customHeight="false" outlineLevel="0" collapsed="false">
      <c r="A5" s="12" t="s">
        <v>68</v>
      </c>
      <c r="B5" s="12" t="s">
        <v>353</v>
      </c>
      <c r="C5" s="12" t="s">
        <v>354</v>
      </c>
    </row>
    <row r="6" customFormat="false" ht="15" hidden="false" customHeight="false" outlineLevel="0" collapsed="false">
      <c r="A6" s="12" t="s">
        <v>272</v>
      </c>
      <c r="B6" s="12" t="s">
        <v>355</v>
      </c>
      <c r="C6" s="12" t="s">
        <v>356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42"/>
    <col collapsed="false" customWidth="true" hidden="false" outlineLevel="0" max="5" min="5" style="0" width="45"/>
  </cols>
  <sheetData>
    <row r="1" customFormat="false" ht="15" hidden="false" customHeight="false" outlineLevel="0" collapsed="false">
      <c r="A1" s="8" t="s">
        <v>70</v>
      </c>
      <c r="B1" s="8" t="s">
        <v>36</v>
      </c>
      <c r="C1" s="8" t="s">
        <v>38</v>
      </c>
      <c r="D1" s="8" t="s">
        <v>357</v>
      </c>
      <c r="E1" s="8" t="s">
        <v>358</v>
      </c>
    </row>
    <row r="2" customFormat="false" ht="15" hidden="false" customHeight="false" outlineLevel="0" collapsed="false">
      <c r="A2" s="12" t="s">
        <v>359</v>
      </c>
      <c r="B2" s="12" t="s">
        <v>53</v>
      </c>
      <c r="C2" s="12" t="s">
        <v>72</v>
      </c>
      <c r="D2" s="12" t="s">
        <v>360</v>
      </c>
      <c r="E2" s="12" t="s">
        <v>361</v>
      </c>
    </row>
    <row r="3" customFormat="false" ht="15" hidden="false" customHeight="false" outlineLevel="0" collapsed="false">
      <c r="A3" s="12" t="s">
        <v>362</v>
      </c>
      <c r="B3" s="12" t="s">
        <v>53</v>
      </c>
      <c r="C3" s="12" t="s">
        <v>72</v>
      </c>
      <c r="D3" s="12" t="s">
        <v>363</v>
      </c>
      <c r="E3" s="12" t="s">
        <v>364</v>
      </c>
    </row>
    <row r="4" customFormat="false" ht="15" hidden="false" customHeight="false" outlineLevel="0" collapsed="false">
      <c r="A4" s="12" t="s">
        <v>365</v>
      </c>
      <c r="B4" s="12" t="s">
        <v>53</v>
      </c>
      <c r="C4" s="12" t="s">
        <v>55</v>
      </c>
      <c r="D4" s="12" t="s">
        <v>366</v>
      </c>
      <c r="E4" s="12" t="s">
        <v>367</v>
      </c>
    </row>
    <row r="5" customFormat="false" ht="15" hidden="false" customHeight="false" outlineLevel="0" collapsed="false">
      <c r="A5" s="12" t="s">
        <v>368</v>
      </c>
      <c r="B5" s="12" t="s">
        <v>53</v>
      </c>
      <c r="C5" s="12" t="s">
        <v>55</v>
      </c>
      <c r="D5" s="12" t="s">
        <v>369</v>
      </c>
      <c r="E5" s="12" t="s">
        <v>370</v>
      </c>
    </row>
    <row r="6" customFormat="false" ht="15" hidden="false" customHeight="false" outlineLevel="0" collapsed="false">
      <c r="A6" s="12" t="s">
        <v>371</v>
      </c>
      <c r="B6" s="12" t="s">
        <v>53</v>
      </c>
      <c r="C6" s="12" t="s">
        <v>72</v>
      </c>
      <c r="D6" s="12" t="s">
        <v>372</v>
      </c>
      <c r="E6" s="12" t="s">
        <v>373</v>
      </c>
    </row>
    <row r="7" customFormat="false" ht="15" hidden="false" customHeight="false" outlineLevel="0" collapsed="false">
      <c r="A7" s="12" t="s">
        <v>374</v>
      </c>
      <c r="B7" s="12" t="s">
        <v>53</v>
      </c>
      <c r="C7" s="12" t="s">
        <v>55</v>
      </c>
      <c r="D7" s="12" t="s">
        <v>375</v>
      </c>
      <c r="E7" s="12" t="s">
        <v>376</v>
      </c>
    </row>
    <row r="8" customFormat="false" ht="15" hidden="false" customHeight="false" outlineLevel="0" collapsed="false">
      <c r="A8" s="12" t="s">
        <v>377</v>
      </c>
      <c r="B8" s="12" t="s">
        <v>378</v>
      </c>
      <c r="C8" s="12" t="s">
        <v>79</v>
      </c>
      <c r="D8" s="12" t="s">
        <v>379</v>
      </c>
      <c r="E8" s="12" t="s">
        <v>380</v>
      </c>
    </row>
    <row r="9" customFormat="false" ht="15" hidden="false" customHeight="false" outlineLevel="0" collapsed="false">
      <c r="A9" s="12" t="s">
        <v>381</v>
      </c>
      <c r="B9" s="12" t="s">
        <v>382</v>
      </c>
      <c r="C9" s="12" t="s">
        <v>55</v>
      </c>
      <c r="D9" s="12" t="s">
        <v>383</v>
      </c>
      <c r="E9" s="12" t="s">
        <v>384</v>
      </c>
    </row>
    <row r="10" customFormat="false" ht="15" hidden="false" customHeight="false" outlineLevel="0" collapsed="false">
      <c r="A10" s="12" t="s">
        <v>385</v>
      </c>
      <c r="B10" s="12" t="s">
        <v>386</v>
      </c>
      <c r="C10" s="12" t="s">
        <v>79</v>
      </c>
      <c r="D10" s="12" t="s">
        <v>387</v>
      </c>
      <c r="E10" s="12" t="s">
        <v>388</v>
      </c>
    </row>
    <row r="11" customFormat="false" ht="15" hidden="false" customHeight="false" outlineLevel="0" collapsed="false">
      <c r="A11" s="12" t="s">
        <v>389</v>
      </c>
      <c r="B11" s="12" t="s">
        <v>390</v>
      </c>
      <c r="C11" s="12" t="s">
        <v>268</v>
      </c>
      <c r="D11" s="12" t="s">
        <v>391</v>
      </c>
      <c r="E11" s="12"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2026-08-12T15:51:20Z</dcterms:created>
  <dc:creator>openpyxl</dc:creator>
  <dc:description/>
  <dc:language>en-US</dc:language>
  <cp:lastModifiedBy/>
  <dcterms:modified xsi:type="dcterms:W3CDTF">2026-08-12T15:51:20Z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