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convert-images-jpg-5jeayb/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blob/claude/convert-images-jpg-5jeayb/content/2026-08-17-5-botox-lies-you-still/images/gbp.png?raw=1" TargetMode="External" Id="rId3" /><Relationship Type="http://schemas.openxmlformats.org/officeDocument/2006/relationships/hyperlink" Target="https://github.com/RepoKing23/InstagramCarousel/tree/claude/convert-images-jpg-5jeayb/content/2026-08-18-service-spotlight-botox" TargetMode="External" Id="rId4" /><Relationship Type="http://schemas.openxmlformats.org/officeDocument/2006/relationships/hyperlink" Target="https://github.com/RepoKing23/InstagramCarousel/blob/claude/convert-images-jpg-5jeayb/content/2026-08-18-service-spotlight-botox/images/post.png?raw=1" TargetMode="External" Id="rId5" /><Relationship Type="http://schemas.openxmlformats.org/officeDocument/2006/relationships/hyperlink" Target="https://github.com/RepoKing23/InstagramCarousel/blob/claude/convert-images-jpg-5jeayb/content/2026-08-18-service-spotlight-botox/images/gbp.png?raw=1" TargetMode="External" Id="rId6" /><Relationship Type="http://schemas.openxmlformats.org/officeDocument/2006/relationships/hyperlink" Target="https://github.com/RepoKing23/InstagramCarousel/tree/claude/convert-images-jpg-5jeayb/content/2026-08-20-5-red-flags-at-a" TargetMode="External" Id="rId7" /><Relationship Type="http://schemas.openxmlformats.org/officeDocument/2006/relationships/hyperlink" Target="https://github.com/RepoKing23/InstagramCarousel/tree/claude/convert-images-jpg-5jeayb/content/2026-08-20-5-red-flags-at-a/images" TargetMode="External" Id="rId8" /><Relationship Type="http://schemas.openxmlformats.org/officeDocument/2006/relationships/hyperlink" Target="https://github.com/RepoKing23/InstagramCarousel/blob/claude/convert-images-jpg-5jeayb/content/2026-08-20-5-red-flags-at-a/images/gbp.png?raw=1" TargetMode="External" Id="rId9" /><Relationship Type="http://schemas.openxmlformats.org/officeDocument/2006/relationships/hyperlink" Target="https://github.com/RepoKing23/InstagramCarousel/tree/claude/convert-images-jpg-5jeayb/content/2026-08-21-behind-the-scenes-the-prep" TargetMode="External" Id="rId10" /><Relationship Type="http://schemas.openxmlformats.org/officeDocument/2006/relationships/hyperlink" Target="https://github.com/RepoKing23/InstagramCarousel/blob/claude/convert-images-jpg-5jeayb/content/2026-08-21-behind-the-scenes-the-prep/images/post.png?raw=1" TargetMode="External" Id="rId11" /><Relationship Type="http://schemas.openxmlformats.org/officeDocument/2006/relationships/hyperlink" Target="https://github.com/RepoKing23/InstagramCarousel/blob/claude/convert-images-jpg-5jeayb/content/2026-08-21-behind-the-scenes-the-prep/images/gbp.png?raw=1" TargetMode="External" Id="rId12" /><Relationship Type="http://schemas.openxmlformats.org/officeDocument/2006/relationships/hyperlink" Target="https://github.com/RepoKing23/InstagramCarousel/tree/claude/convert-images-jpg-5jeayb/content/2026-08-22-great-work-is-invisible" TargetMode="External" Id="rId13" /><Relationship Type="http://schemas.openxmlformats.org/officeDocument/2006/relationships/hyperlink" Target="https://github.com/RepoKing23/InstagramCarousel/blob/claude/convert-images-jpg-5jeayb/content/2026-08-22-great-work-is-invisible/images/before-after-result.png?raw=1" TargetMode="External" Id="rId14" /><Relationship Type="http://schemas.openxmlformats.org/officeDocument/2006/relationships/hyperlink" Target="https://github.com/RepoKing23/InstagramCarousel/blob/claude/convert-images-jpg-5jeayb/content/2026-08-22-great-work-is-invisible/images/gbp.png?raw=1" TargetMode="External" Id="rId15" /><Relationship Type="http://schemas.openxmlformats.org/officeDocument/2006/relationships/hyperlink" Target="https://github.com/RepoKing23/InstagramCarousel/tree/claude/convert-images-jpg-5jeayb/content/2026-08-24-your-first-visit-step-by" TargetMode="External" Id="rId16" /><Relationship Type="http://schemas.openxmlformats.org/officeDocument/2006/relationships/hyperlink" Target="https://github.com/RepoKing23/InstagramCarousel/tree/claude/convert-images-jpg-5jeayb/content/2026-08-24-your-first-visit-step-by/images" TargetMode="External" Id="rId17" /><Relationship Type="http://schemas.openxmlformats.org/officeDocument/2006/relationships/hyperlink" Target="https://github.com/RepoKing23/InstagramCarousel/blob/claude/convert-images-jpg-5jeayb/content/2026-08-24-your-first-visit-step-by/images/gbp.png?raw=1" TargetMode="External" Id="rId18" /><Relationship Type="http://schemas.openxmlformats.org/officeDocument/2006/relationships/hyperlink" Target="https://github.com/RepoKing23/InstagramCarousel/tree/claude/convert-images-jpg-5jeayb/content/2026-08-25-why-i-do-not-post" TargetMode="External" Id="rId19" /><Relationship Type="http://schemas.openxmlformats.org/officeDocument/2006/relationships/hyperlink" Target="https://github.com/RepoKing23/InstagramCarousel/blob/claude/convert-images-jpg-5jeayb/content/2026-08-25-why-i-do-not-post/images/post.png?raw=1" TargetMode="External" Id="rId20" /><Relationship Type="http://schemas.openxmlformats.org/officeDocument/2006/relationships/hyperlink" Target="https://github.com/RepoKing23/InstagramCarousel/blob/claude/convert-images-jpg-5jeayb/content/2026-08-25-why-i-do-not-post/images/gbp.png?raw=1" TargetMode="External" Id="rId21" /><Relationship Type="http://schemas.openxmlformats.org/officeDocument/2006/relationships/hyperlink" Target="https://github.com/RepoKing23/InstagramCarousel/tree/claude/convert-images-jpg-5jeayb/content/2026-08-27-meet-np-cleo-the-face" TargetMode="External" Id="rId22" /><Relationship Type="http://schemas.openxmlformats.org/officeDocument/2006/relationships/hyperlink" Target="https://github.com/RepoKing23/InstagramCarousel/tree/claude/convert-images-jpg-5jeayb/content/2026-08-27-meet-np-cleo-the-face/images" TargetMode="External" Id="rId23" /><Relationship Type="http://schemas.openxmlformats.org/officeDocument/2006/relationships/hyperlink" Target="https://github.com/RepoKing23/InstagramCarousel/blob/claude/convert-images-jpg-5jeayb/content/2026-08-27-meet-np-cleo-the-face/images/gbp.png?raw=1" TargetMode="External" Id="rId24" /><Relationship Type="http://schemas.openxmlformats.org/officeDocument/2006/relationships/hyperlink" Target="https://github.com/RepoKing23/InstagramCarousel/tree/claude/convert-images-jpg-5jeayb/content/2026-08-28-welcome-to-the-treatment-room" TargetMode="External" Id="rId25" /><Relationship Type="http://schemas.openxmlformats.org/officeDocument/2006/relationships/hyperlink" Target="https://github.com/RepoKing23/InstagramCarousel/blob/claude/convert-images-jpg-5jeayb/content/2026-08-28-welcome-to-the-treatment-room/images/post.png?raw=1" TargetMode="External" Id="rId26" /><Relationship Type="http://schemas.openxmlformats.org/officeDocument/2006/relationships/hyperlink" Target="https://github.com/RepoKing23/InstagramCarousel/blob/claude/convert-images-jpg-5jeayb/content/2026-08-28-welcome-to-the-treatment-room/images/gbp.png?raw=1" TargetMode="External" Id="rId27" /><Relationship Type="http://schemas.openxmlformats.org/officeDocument/2006/relationships/hyperlink" Target="https://github.com/RepoKing23/InstagramCarousel/tree/claude/convert-images-jpg-5jeayb/content/2026-08-29-this-or-that-rested-vs" TargetMode="External" Id="rId28" /><Relationship Type="http://schemas.openxmlformats.org/officeDocument/2006/relationships/hyperlink" Target="https://github.com/RepoKing23/InstagramCarousel/blob/claude/convert-images-jpg-5jeayb/content/2026-08-29-this-or-that-rested-vs/images/post.png?raw=1" TargetMode="External" Id="rId29" /><Relationship Type="http://schemas.openxmlformats.org/officeDocument/2006/relationships/hyperlink" Target="https://github.com/RepoKing23/InstagramCarousel/blob/claude/convert-images-jpg-5jeayb/content/2026-08-29-this-or-that-rested-vs/images/gbp.png?raw=1" TargetMode="External" Id="rId30" /><Relationship Type="http://schemas.openxmlformats.org/officeDocument/2006/relationships/hyperlink" Target="https://github.com/RepoKing23/InstagramCarousel/tree/claude/convert-images-jpg-5jeayb/content/2026-08-31-preventative-botox-when-to-actually" TargetMode="External" Id="rId31" /><Relationship Type="http://schemas.openxmlformats.org/officeDocument/2006/relationships/hyperlink" Target="https://github.com/RepoKing23/InstagramCarousel/tree/claude/convert-images-jpg-5jeayb/content/2026-08-31-preventative-botox-when-to-actually/images" TargetMode="External" Id="rId32" /><Relationship Type="http://schemas.openxmlformats.org/officeDocument/2006/relationships/hyperlink" Target="https://github.com/RepoKing23/InstagramCarousel/blob/claude/convert-images-jpg-5jeayb/content/2026-08-31-preventative-botox-when-to-actually/images/gbp.png?raw=1" TargetMode="External" Id="rId33" /><Relationship Type="http://schemas.openxmlformats.org/officeDocument/2006/relationships/hyperlink" Target="https://github.com/RepoKing23/InstagramCarousel/tree/claude/convert-images-jpg-5jeayb/content/2026-09-01-service-spotlight-preventative-botox" TargetMode="External" Id="rId34" /><Relationship Type="http://schemas.openxmlformats.org/officeDocument/2006/relationships/hyperlink" Target="https://github.com/RepoKing23/InstagramCarousel/tree/claude/convert-images-jpg-5jeayb/content/2026-09-03-what-20-units-actually-looks" TargetMode="External" Id="rId35" /><Relationship Type="http://schemas.openxmlformats.org/officeDocument/2006/relationships/hyperlink" Target="https://github.com/RepoKing23/InstagramCarousel/tree/claude/convert-images-jpg-5jeayb/content/2026-09-04-meet-your-injector" TargetMode="External" Id="rId36" /><Relationship Type="http://schemas.openxmlformats.org/officeDocument/2006/relationships/hyperlink" Target="https://github.com/RepoKing23/InstagramCarousel/tree/claude/convert-images-jpg-5jeayb/content/2026-09-05-quote-prevention-beats-erasing" TargetMode="External" Id="rId37" /><Relationship Type="http://schemas.openxmlformats.org/officeDocument/2006/relationships/hyperlink" Target="https://github.com/RepoKing23/InstagramCarousel/tree/claude/convert-images-jpg-5jeayb/content/2026-09-07-botox-vs-dysport-the-real" TargetMode="External" Id="rId38" /><Relationship Type="http://schemas.openxmlformats.org/officeDocument/2006/relationships/hyperlink" Target="https://github.com/RepoKing23/InstagramCarousel/tree/claude/convert-images-jpg-5jeayb/content/2026-09-08-botox-vs-dysport-at-a" TargetMode="External" Id="rId39" /><Relationship Type="http://schemas.openxmlformats.org/officeDocument/2006/relationships/hyperlink" Target="https://github.com/RepoKing23/InstagramCarousel/tree/claude/convert-images-jpg-5jeayb/content/2026-09-10-botox-aftercare-the-first-48" TargetMode="External" Id="rId40" /><Relationship Type="http://schemas.openxmlformats.org/officeDocument/2006/relationships/hyperlink" Target="https://github.com/RepoKing23/InstagramCarousel/tree/claude/convert-images-jpg-5jeayb/content/2026-09-11-the-face-map" TargetMode="External" Id="rId41" /><Relationship Type="http://schemas.openxmlformats.org/officeDocument/2006/relationships/hyperlink" Target="https://github.com/RepoKing23/InstagramCarousel/tree/claude/convert-images-jpg-5jeayb/content/2026-09-12-faq-does-botox-hurt" TargetMode="External" Id="rId42" /><Relationship Type="http://schemas.openxmlformats.org/officeDocument/2006/relationships/hyperlink" Target="https://github.com/RepoKing23/InstagramCarousel/tree/claude/convert-images-jpg-5jeayb/content/2026-09-14-5-things-botox-can-t" TargetMode="External" Id="rId43" /><Relationship Type="http://schemas.openxmlformats.org/officeDocument/2006/relationships/hyperlink" Target="https://github.com/RepoKing23/InstagramCarousel/tree/claude/convert-images-jpg-5jeayb/content/2026-09-15-what-botox-can-t-fix" TargetMode="External" Id="rId44" /><Relationship Type="http://schemas.openxmlformats.org/officeDocument/2006/relationships/hyperlink" Target="https://github.com/RepoKing23/InstagramCarousel/tree/claude/convert-images-jpg-5jeayb/content/2026-09-17-still-you-just-refreshed" TargetMode="External" Id="rId45" /><Relationship Type="http://schemas.openxmlformats.org/officeDocument/2006/relationships/hyperlink" Target="https://github.com/RepoKing23/InstagramCarousel/tree/claude/convert-images-jpg-5jeayb/content/2026-09-18-myth-vs-truth-the-frozen" TargetMode="External" Id="rId46" /><Relationship Type="http://schemas.openxmlformats.org/officeDocument/2006/relationships/hyperlink" Target="https://github.com/RepoKing23/InstagramCarousel/tree/claude/convert-images-jpg-5jeayb/content/2026-09-19-client-words-natural-results" TargetMode="External" Id="rId47" /><Relationship Type="http://schemas.openxmlformats.org/officeDocument/2006/relationships/hyperlink" Target="https://github.com/RepoKing23/InstagramCarousel/tree/claude/convert-images-jpg-5jeayb/content/2026-09-21-botox-or-filler-you-might" TargetMode="External" Id="rId48" /><Relationship Type="http://schemas.openxmlformats.org/officeDocument/2006/relationships/hyperlink" Target="https://github.com/RepoKing23/InstagramCarousel/tree/claude/convert-images-jpg-5jeayb/content/2026-09-22-lines-vs-volume" TargetMode="External" Id="rId49" /><Relationship Type="http://schemas.openxmlformats.org/officeDocument/2006/relationships/hyperlink" Target="https://github.com/RepoKing23/InstagramCarousel/tree/claude/convert-images-jpg-5jeayb/content/2026-09-24-ask-np-cleo-your-questions" TargetMode="External" Id="rId50" /><Relationship Type="http://schemas.openxmlformats.org/officeDocument/2006/relationships/hyperlink" Target="https://github.com/RepoKing23/InstagramCarousel/tree/claude/convert-images-jpg-5jeayb/content/2026-09-25-your-dms-answered" TargetMode="External" Id="rId51" /><Relationship Type="http://schemas.openxmlformats.org/officeDocument/2006/relationships/hyperlink" Target="https://github.com/RepoKing23/InstagramCarousel/tree/claude/convert-images-jpg-5jeayb/content/2026-09-26-poll-what-should-np-cleo" TargetMode="External" Id="rId52" /><Relationship Type="http://schemas.openxmlformats.org/officeDocument/2006/relationships/hyperlink" Target="https://github.com/RepoKing23/InstagramCarousel/tree/claude/convert-images-jpg-5jeayb/content/2026-09-28-how-long-does-botox-really" TargetMode="External" Id="rId53" /><Relationship Type="http://schemas.openxmlformats.org/officeDocument/2006/relationships/hyperlink" Target="https://github.com/RepoKing23/InstagramCarousel/tree/claude/convert-images-jpg-5jeayb/content/2026-09-29-the-3-month-botox-timeline" TargetMode="External" Id="rId54" /><Relationship Type="http://schemas.openxmlformats.org/officeDocument/2006/relationships/hyperlink" Target="https://github.com/RepoKing23/InstagramCarousel/tree/claude/convert-images-jpg-5jeayb/content/2026-10-01-why-we-sometimes-say-no" TargetMode="External" Id="rId55" /><Relationship Type="http://schemas.openxmlformats.org/officeDocument/2006/relationships/hyperlink" Target="https://github.com/RepoKing23/InstagramCarousel/tree/claude/convert-images-jpg-5jeayb/content/2026-10-02-what-i-tell-every-first" TargetMode="External" Id="rId56" /><Relationship Type="http://schemas.openxmlformats.org/officeDocument/2006/relationships/hyperlink" Target="https://github.com/RepoKing23/InstagramCarousel/tree/claude/convert-images-jpg-5jeayb/content/2026-10-03-quote-no-is-protection" TargetMode="External" Id="rId57" /><Relationship Type="http://schemas.openxmlformats.org/officeDocument/2006/relationships/hyperlink" Target="https://github.com/RepoKing23/InstagramCarousel/tree/claude/convert-images-jpg-5jeayb/content/2026-10-05-filler-won-t-make-you" TargetMode="External" Id="rId58" /><Relationship Type="http://schemas.openxmlformats.org/officeDocument/2006/relationships/hyperlink" Target="https://github.com/RepoKing23/InstagramCarousel/tree/claude/convert-images-jpg-5jeayb/content/2026-10-06-service-spotlight-dermal-filler" TargetMode="External" Id="rId59" /><Relationship Type="http://schemas.openxmlformats.org/officeDocument/2006/relationships/hyperlink" Target="https://github.com/RepoKing23/InstagramCarousel/tree/claude/convert-images-jpg-5jeayb/content/2026-10-08-lip-filler-natural-vs-overdone" TargetMode="External" Id="rId60" /><Relationship Type="http://schemas.openxmlformats.org/officeDocument/2006/relationships/hyperlink" Target="https://github.com/RepoKing23/InstagramCarousel/blob/claude/convert-images-jpg-5jeayb/content/2026-10-08-lip-filler-natural-vs-overdone/images/before-after-result.png?raw=1" TargetMode="External" Id="rId61" /><Relationship Type="http://schemas.openxmlformats.org/officeDocument/2006/relationships/hyperlink" Target="https://github.com/RepoKing23/InstagramCarousel/tree/claude/convert-images-jpg-5jeayb/content/2026-10-09-inside-the-filler-appointment" TargetMode="External" Id="rId62" /><Relationship Type="http://schemas.openxmlformats.org/officeDocument/2006/relationships/hyperlink" Target="https://github.com/RepoKing23/InstagramCarousel/tree/claude/convert-images-jpg-5jeayb/content/2026-10-10-subtle-is-the-new-dramatic" TargetMode="External" Id="rId63" /><Relationship Type="http://schemas.openxmlformats.org/officeDocument/2006/relationships/hyperlink" Target="https://github.com/RepoKing23/InstagramCarousel/blob/claude/convert-images-jpg-5jeayb/content/2026-10-10-subtle-is-the-new-dramatic/images/before-after-result.png?raw=1" TargetMode="External" Id="rId64" /><Relationship Type="http://schemas.openxmlformats.org/officeDocument/2006/relationships/hyperlink" Target="https://github.com/RepoKing23/InstagramCarousel/tree/claude/convert-images-jpg-5jeayb/content/2026-10-12-cheek-filler-the-secret-nobody" TargetMode="External" Id="rId65" /><Relationship Type="http://schemas.openxmlformats.org/officeDocument/2006/relationships/hyperlink" Target="https://github.com/RepoKing23/InstagramCarousel/tree/claude/convert-images-jpg-5jeayb/content/2026-10-13-service-spotlight-cheek-filler" TargetMode="External" Id="rId66" /><Relationship Type="http://schemas.openxmlformats.org/officeDocument/2006/relationships/hyperlink" Target="https://github.com/RepoKing23/InstagramCarousel/tree/claude/convert-images-jpg-5jeayb/content/2026-10-15-real-lips-real-results" TargetMode="External" Id="rId67" /><Relationship Type="http://schemas.openxmlformats.org/officeDocument/2006/relationships/hyperlink" Target="https://github.com/RepoKing23/InstagramCarousel/tree/claude/convert-images-jpg-5jeayb/content/2026-10-15-real-lips-real-results/images" TargetMode="External" Id="rId68" /><Relationship Type="http://schemas.openxmlformats.org/officeDocument/2006/relationships/hyperlink" Target="https://github.com/RepoKing23/InstagramCarousel/tree/claude/convert-images-jpg-5jeayb/content/2026-10-16-facial-balancing-101" TargetMode="External" Id="rId69" /><Relationship Type="http://schemas.openxmlformats.org/officeDocument/2006/relationships/hyperlink" Target="https://github.com/RepoKing23/InstagramCarousel/tree/claude/convert-images-jpg-5jeayb/content/2026-10-17-faq-how-much-filler-do" TargetMode="External" Id="rId70" /><Relationship Type="http://schemas.openxmlformats.org/officeDocument/2006/relationships/hyperlink" Target="https://github.com/RepoKing23/InstagramCarousel/tree/claude/convert-images-jpg-5jeayb/content/2026-10-19-filler-dissolves-here-is-the" TargetMode="External" Id="rId71" /><Relationship Type="http://schemas.openxmlformats.org/officeDocument/2006/relationships/hyperlink" Target="https://github.com/RepoKing23/InstagramCarousel/tree/claude/convert-images-jpg-5jeayb/content/2026-10-20-the-filler-timeline" TargetMode="External" Id="rId72" /><Relationship Type="http://schemas.openxmlformats.org/officeDocument/2006/relationships/hyperlink" Target="https://github.com/RepoKing23/InstagramCarousel/tree/claude/convert-images-jpg-5jeayb/content/2026-10-22-lip-filler-aftercare-your-first" TargetMode="External" Id="rId73" /><Relationship Type="http://schemas.openxmlformats.org/officeDocument/2006/relationships/hyperlink" Target="https://github.com/RepoKing23/InstagramCarousel/blob/claude/convert-images-jpg-5jeayb/content/2026-10-22-lip-filler-aftercare-your-first/images/day-zero-before-after.png?raw=1" TargetMode="External" Id="rId74" /><Relationship Type="http://schemas.openxmlformats.org/officeDocument/2006/relationships/hyperlink" Target="https://github.com/RepoKing23/InstagramCarousel/tree/claude/convert-images-jpg-5jeayb/content/2026-10-23-aftercare-essentials" TargetMode="External" Id="rId75" /><Relationship Type="http://schemas.openxmlformats.org/officeDocument/2006/relationships/hyperlink" Target="https://github.com/RepoKing23/InstagramCarousel/tree/claude/convert-images-jpg-5jeayb/content/2026-10-24-client-words-the-lip-glow" TargetMode="External" Id="rId76" /><Relationship Type="http://schemas.openxmlformats.org/officeDocument/2006/relationships/hyperlink" Target="https://github.com/RepoKing23/InstagramCarousel/blob/claude/convert-images-jpg-5jeayb/content/2026-10-24-client-words-the-lip-glow/images/before-after-result.png?raw=1" TargetMode="External" Id="rId77" /><Relationship Type="http://schemas.openxmlformats.org/officeDocument/2006/relationships/hyperlink" Target="https://github.com/RepoKing23/InstagramCarousel/tree/claude/convert-images-jpg-5jeayb/content/2026-10-26-5-filler-lies-you-still" TargetMode="External" Id="rId78" /><Relationship Type="http://schemas.openxmlformats.org/officeDocument/2006/relationships/hyperlink" Target="https://github.com/RepoKing23/InstagramCarousel/tree/claude/convert-images-jpg-5jeayb/content/2026-10-27-myth-vs-truth-filler-edition" TargetMode="External" Id="rId79" /><Relationship Type="http://schemas.openxmlformats.org/officeDocument/2006/relationships/hyperlink" Target="https://github.com/RepoKing23/InstagramCarousel/tree/claude/convert-images-jpg-5jeayb/content/2026-10-29-facial-balancing-why-we-treat" TargetMode="External" Id="rId80" /><Relationship Type="http://schemas.openxmlformats.org/officeDocument/2006/relationships/hyperlink" Target="https://github.com/RepoKing23/InstagramCarousel/tree/claude/convert-images-jpg-5jeayb/content/2026-10-30-one-syringe-balanced-lips" TargetMode="External" Id="rId81" /><Relationship Type="http://schemas.openxmlformats.org/officeDocument/2006/relationships/hyperlink" Target="https://github.com/RepoKing23/InstagramCarousel/blob/claude/convert-images-jpg-5jeayb/content/2026-10-30-one-syringe-balanced-lips/images/before-after-result.png?raw=1" TargetMode="External" Id="rId82" /><Relationship Type="http://schemas.openxmlformats.org/officeDocument/2006/relationships/hyperlink" Target="https://github.com/RepoKing23/InstagramCarousel/tree/claude/convert-images-jpg-5jeayb/content/2026-10-31-ask-anything-filler-edition" TargetMode="External" Id="rId83" /><Relationship Type="http://schemas.openxmlformats.org/officeDocument/2006/relationships/hyperlink" Target="https://github.com/RepoKing23/InstagramCarousel/tree/claude/convert-images-jpg-5jeayb/content/2026-11-02-rested-by-the-holidays-your" TargetMode="External" Id="rId84" /><Relationship Type="http://schemas.openxmlformats.org/officeDocument/2006/relationships/hyperlink" Target="https://github.com/RepoKing23/InstagramCarousel/tree/claude/convert-images-jpg-5jeayb/content/2026-11-03-holiday-countdown-book-by-these" TargetMode="External" Id="rId85" /><Relationship Type="http://schemas.openxmlformats.org/officeDocument/2006/relationships/hyperlink" Target="https://github.com/RepoKing23/InstagramCarousel/tree/claude/convert-images-jpg-5jeayb/content/2026-11-05-party-season-prep-what-to" TargetMode="External" Id="rId86" /><Relationship Type="http://schemas.openxmlformats.org/officeDocument/2006/relationships/hyperlink" Target="https://github.com/RepoKing23/InstagramCarousel/tree/claude/convert-images-jpg-5jeayb/content/2026-11-06-one-result-every-angle" TargetMode="External" Id="rId87" /><Relationship Type="http://schemas.openxmlformats.org/officeDocument/2006/relationships/hyperlink" Target="https://github.com/RepoKing23/InstagramCarousel/tree/claude/convert-images-jpg-5jeayb/content/2026-11-06-one-result-every-angle/images" TargetMode="External" Id="rId88" /><Relationship Type="http://schemas.openxmlformats.org/officeDocument/2006/relationships/hyperlink" Target="https://github.com/RepoKing23/InstagramCarousel/tree/claude/convert-images-jpg-5jeayb/content/2026-11-07-quote-book-the-appointment" TargetMode="External" Id="rId89" /><Relationship Type="http://schemas.openxmlformats.org/officeDocument/2006/relationships/hyperlink" Target="https://github.com/RepoKing23/InstagramCarousel/tree/claude/convert-images-jpg-5jeayb/content/2026-11-09-the-gift-of-glow-gift" TargetMode="External" Id="rId90" /><Relationship Type="http://schemas.openxmlformats.org/officeDocument/2006/relationships/hyperlink" Target="https://github.com/RepoKing23/InstagramCarousel/tree/claude/convert-images-jpg-5jeayb/content/2026-11-10-gift-certificates-are-here" TargetMode="External" Id="rId91" /><Relationship Type="http://schemas.openxmlformats.org/officeDocument/2006/relationships/hyperlink" Target="https://github.com/RepoKing23/InstagramCarousel/tree/claude/convert-images-jpg-5jeayb/content/2026-11-12-3-months-of-honest-answers" TargetMode="External" Id="rId92" /><Relationship Type="http://schemas.openxmlformats.org/officeDocument/2006/relationships/hyperlink" Target="https://github.com/RepoKing23/InstagramCarousel/tree/claude/convert-images-jpg-5jeayb/content/2026-11-13-thank-you-3-months-of" TargetMode="External" Id="rId93" /><Relationship Type="http://schemas.openxmlformats.org/officeDocument/2006/relationships/hyperlink" Target="https://github.com/RepoKing23/InstagramCarousel/tree/claude/convert-images-jpg-5jeayb/content/2026-11-14-tag-someone-who-deserves-a" TargetMode="External" Id="rId94" /></Relationships>
</file>

<file path=xl/worksheets/sheet1.xml><?xml version="1.0" encoding="utf-8"?>
<worksheet xmlns="http://schemas.openxmlformats.org/spreadsheetml/2006/main">
  <sheetPr filterMode="0">
    <outlinePr summaryBelow="1" summaryRight="1"/>
    <pageSetUpPr fitToPage="0"/>
  </sheetPr>
  <dimension ref="B2:C4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13" min="1" max="1"/>
    <col width="30" customWidth="1" style="13" min="2" max="2"/>
    <col width="50" customWidth="1" style="13" min="3" max="3"/>
    <col width="30" customWidth="1" style="13" min="4" max="4"/>
    <col width="20" customWidth="1" style="13" min="5" max="6"/>
  </cols>
  <sheetData>
    <row r="2" ht="19.7" customHeight="1" s="14">
      <c r="B2" s="15" t="inlineStr">
        <is>
          <t>Luxury Beauty by Cleo R</t>
        </is>
      </c>
    </row>
    <row r="3" ht="15" customHeight="1" s="14">
      <c r="B3" s="16" t="inlineStr">
        <is>
          <t>Instagram Content Strategy. Aug 17 to Nov 15, 2026 (13 weeks, 65 posts, 7 photo-backed)</t>
        </is>
      </c>
    </row>
    <row r="5" ht="15" customHeight="1" s="14">
      <c r="B5" s="17" t="n"/>
      <c r="C5" s="18" t="n"/>
    </row>
    <row r="6" ht="15" customHeight="1" s="14">
      <c r="B6" s="19" t="inlineStr">
        <is>
          <t>WEEKLY RHYTHM (5 posts per week)</t>
        </is>
      </c>
      <c r="C6" s="18" t="n"/>
    </row>
    <row r="7" ht="15" customHeight="1" s="14">
      <c r="B7" s="17" t="inlineStr">
        <is>
          <t>Monday</t>
        </is>
      </c>
      <c r="C7" s="18" t="inlineStr">
        <is>
          <t>Carousel 1: education pillar. Your biggest post of the week.</t>
        </is>
      </c>
    </row>
    <row r="8" ht="15" customHeight="1" s="14">
      <c r="B8" s="17" t="inlineStr">
        <is>
          <t>Tuesday</t>
        </is>
      </c>
      <c r="C8" s="18" t="inlineStr">
        <is>
          <t>Single image with a strong hook. Cross-post to Facebook and TikTok.</t>
        </is>
      </c>
    </row>
    <row r="9" ht="15" customHeight="1" s="14">
      <c r="B9" s="17" t="inlineStr">
        <is>
          <t>Thursday</t>
        </is>
      </c>
      <c r="C9" s="18" t="inlineStr">
        <is>
          <t>Carousel 2: trust, proof, or personality pillar.</t>
        </is>
      </c>
    </row>
    <row r="10" ht="15" customHeight="1" s="14">
      <c r="B10" s="17" t="inlineStr">
        <is>
          <t>Friday</t>
        </is>
      </c>
      <c r="C10" s="18" t="inlineStr">
        <is>
          <t>Single image with a strong hook. Cross-post to Facebook and TikTok.</t>
        </is>
      </c>
    </row>
    <row r="11" ht="15" customHeight="1" s="14">
      <c r="B11" s="17" t="inlineStr">
        <is>
          <t>Saturday</t>
        </is>
      </c>
      <c r="C11" s="18" t="inlineStr">
        <is>
          <t>Quote, testimonial, or engagement image. Cross-post to FB and TikTok.</t>
        </is>
      </c>
    </row>
    <row r="12" ht="15" customHeight="1" s="14">
      <c r="B12" s="17" t="n"/>
      <c r="C12" s="18" t="n"/>
    </row>
    <row r="13" ht="15" customHeight="1" s="14">
      <c r="B13" s="19" t="inlineStr">
        <is>
          <t>HOW TO WORK THIS SHEET</t>
        </is>
      </c>
      <c r="C13" s="18" t="n"/>
    </row>
    <row r="14" ht="15" customHeight="1" s="14">
      <c r="B14" s="17" t="inlineStr">
        <is>
          <t>1. Plan</t>
        </is>
      </c>
      <c r="C14" s="18" t="inlineStr">
        <is>
          <t>Everything is pre-filled in the Posting Schedule tab. Adjust topics freely.</t>
        </is>
      </c>
    </row>
    <row r="15" ht="15" customHeight="1" s="14">
      <c r="B15" s="17" t="inlineStr">
        <is>
          <t>2. Design</t>
        </is>
      </c>
      <c r="C15" s="18" t="inlineStr">
        <is>
          <t>Ask Claude to build any post from its row. Week 1 Monday is already done.</t>
        </is>
      </c>
    </row>
    <row r="16" ht="23.85" customHeight="1" s="14">
      <c r="B16" s="17" t="inlineStr">
        <is>
          <t>2b. Files</t>
        </is>
      </c>
      <c r="C16" s="18" t="inlineStr">
        <is>
          <t>Every post has its own folder in the repo. Click its Folder Link for the brief and final images.</t>
        </is>
      </c>
    </row>
    <row r="17" ht="23.85" customHeight="1" s="14">
      <c r="B17" s="17" t="inlineStr">
        <is>
          <t>3. Track</t>
        </is>
      </c>
      <c r="C17" s="18" t="inlineStr">
        <is>
          <t>Update the Status dropdown as each post moves: Idea, Design, Ready, Posted.</t>
        </is>
      </c>
    </row>
    <row r="18" ht="15" customHeight="1" s="14">
      <c r="B18" s="17" t="inlineStr">
        <is>
          <t>4. Measure</t>
        </is>
      </c>
      <c r="C18" s="18" t="inlineStr">
        <is>
          <t>After 48 hours, fill Reach, Saves, Comments, DMs, Bookings from IG Insights.</t>
        </is>
      </c>
    </row>
    <row r="19" ht="15" customHeight="1" s="14">
      <c r="B19" s="17" t="inlineStr">
        <is>
          <t>5. Repeat winners</t>
        </is>
      </c>
      <c r="C19" s="18" t="inlineStr">
        <is>
          <t>Anything with high saves or DMs becomes next month's sequel.</t>
        </is>
      </c>
    </row>
    <row r="20" ht="15" customHeight="1" s="14">
      <c r="B20" s="17" t="n"/>
      <c r="C20" s="18" t="n"/>
    </row>
    <row r="21" ht="23.85" customHeight="1" s="14">
      <c r="B21" s="17" t="inlineStr">
        <is>
          <t>YOU EDIT</t>
        </is>
      </c>
      <c r="C21" s="18" t="inlineStr">
        <is>
          <t>Status, Posted Link, and the performance columns. Everything else is a draft you may rewrite.</t>
        </is>
      </c>
    </row>
    <row r="22" ht="15" customHeight="1" s="14">
      <c r="B22" s="17" t="n"/>
      <c r="C22" s="18" t="n"/>
    </row>
    <row r="23" ht="15" customHeight="1" s="14">
      <c r="B23" s="19" t="inlineStr">
        <is>
          <t>STATUS SNAPSHOT</t>
        </is>
      </c>
      <c r="C23" s="18" t="n"/>
    </row>
    <row r="24" ht="15" customHeight="1" s="14">
      <c r="B24" s="20" t="inlineStr">
        <is>
          <t>Total posts planned</t>
        </is>
      </c>
      <c r="C24" s="17">
        <f>COUNTA('Posting Schedule'!A2:A66)</f>
        <v/>
      </c>
    </row>
    <row r="25" ht="15" customHeight="1" s="14">
      <c r="B25" s="20" t="inlineStr">
        <is>
          <t>Ideas</t>
        </is>
      </c>
      <c r="C25" s="17">
        <f>COUNTIF('Posting Schedule'!P2:P66,"Idea")</f>
        <v/>
      </c>
    </row>
    <row r="26" ht="15" customHeight="1" s="14">
      <c r="B26" s="20" t="inlineStr">
        <is>
          <t>In design</t>
        </is>
      </c>
      <c r="C26" s="17">
        <f>COUNTIF('Posting Schedule'!P2:P66,"Design")</f>
        <v/>
      </c>
    </row>
    <row r="27" ht="15" customHeight="1" s="14">
      <c r="B27" s="20" t="inlineStr">
        <is>
          <t>Ready to post</t>
        </is>
      </c>
      <c r="C27" s="17">
        <f>COUNTIF('Posting Schedule'!P2:P66,"Ready")</f>
        <v/>
      </c>
    </row>
    <row r="28" ht="15" customHeight="1" s="14">
      <c r="B28" s="20" t="inlineStr">
        <is>
          <t>Posted</t>
        </is>
      </c>
      <c r="C28" s="17">
        <f>COUNTIF('Posting Schedule'!P2:P66,"Posted")</f>
        <v/>
      </c>
    </row>
    <row r="30" ht="15" customHeight="1" s="14">
      <c r="B30" s="21" t="inlineStr">
        <is>
          <t>Import to Google Sheets: drive.google.com &gt; New &gt; File upload &gt; pick this file &gt; open with Google Sheets.</t>
        </is>
      </c>
    </row>
    <row r="32">
      <c r="B32" s="22" t="inlineStr">
        <is>
          <t>BEFORE AND AFTER RULES</t>
        </is>
      </c>
    </row>
    <row r="33">
      <c r="B33" s="23" t="inlineStr">
        <is>
          <t>Consent</t>
        </is>
      </c>
      <c r="C33" s="24" t="inlineStr">
        <is>
          <t>Written social media consent on file before any client photo is posted.</t>
        </is>
      </c>
    </row>
    <row r="34">
      <c r="B34" s="23" t="inlineStr">
        <is>
          <t>Faces</t>
        </is>
      </c>
      <c r="C34" s="24" t="inlineStr">
        <is>
          <t>Crop every result photo to the treatment area. No eyes, brows, tattoos or jewellery.</t>
        </is>
      </c>
    </row>
    <row r="35">
      <c r="B35" s="23" t="inlineStr">
        <is>
          <t>Wording</t>
        </is>
      </c>
      <c r="C35" s="24" t="inlineStr">
        <is>
          <t>Always add "individual results vary". Never guarantee an outcome.</t>
        </is>
      </c>
    </row>
    <row r="36">
      <c r="B36" s="23" t="inlineStr">
        <is>
          <t>Paid ads</t>
        </is>
      </c>
      <c r="C36" s="24" t="inlineStr">
        <is>
          <t>IG and TikTok restrict boosting before and after cosmetic imagery. Organic only.</t>
        </is>
      </c>
    </row>
    <row r="37">
      <c r="B37" s="23" t="inlineStr">
        <is>
          <t>Photo Library</t>
        </is>
      </c>
      <c r="C37" s="24" t="inlineStr">
        <is>
          <t>The Photo Library tab tracks every client photo, its consent status and where it is used.</t>
        </is>
      </c>
    </row>
    <row r="39">
      <c r="B39" s="22" t="inlineStr">
        <is>
          <t>Image Link</t>
        </is>
      </c>
      <c r="C39" s="24" t="inlineStr">
        <is>
          <t>Click to see the finished image for that post. Single-image posts open the picture directly; carousels open the folder of slides. "Not designed yet" means the post has a brief but no artwork.</t>
        </is>
      </c>
    </row>
    <row r="41">
      <c r="B41" s="22" t="inlineStr">
        <is>
          <t>GOOGLE BUSINESS PROFILE</t>
        </is>
      </c>
    </row>
    <row r="42">
      <c r="B42" s="23" t="inlineStr">
        <is>
          <t>Image</t>
        </is>
      </c>
      <c r="C42" s="24" t="inlineStr">
        <is>
          <t>Use the GBP Image Link, not the Instagram one. GBP is 1200x900 and crops to a square in Maps.</t>
        </is>
      </c>
    </row>
    <row r="43">
      <c r="B43" s="23" t="inlineStr">
        <is>
          <t>Caption</t>
        </is>
      </c>
      <c r="C43" s="24" t="inlineStr">
        <is>
          <t>GBP Caption has no hashtags. They do not work on GBP. Only the first 80 characters show before the fold.</t>
        </is>
      </c>
    </row>
    <row r="44">
      <c r="B44" s="23" t="inlineStr">
        <is>
          <t>Button</t>
        </is>
      </c>
      <c r="C44" s="24" t="inlineStr">
        <is>
          <t>Set the post button to Learn more and point it at the Instagram profile until a booking page exists.</t>
        </is>
      </c>
    </row>
    <row r="45">
      <c r="B45" s="23" t="inlineStr">
        <is>
          <t>Carousels</t>
        </is>
      </c>
      <c r="C45" s="24" t="inlineStr">
        <is>
          <t>GBP has no carousel. One image per post, so carousels use their cover.</t>
        </is>
      </c>
    </row>
    <row r="46">
      <c r="B46" s="22" t="inlineStr">
        <is>
          <t>LOCATION</t>
        </is>
      </c>
    </row>
    <row r="47">
      <c r="B47" s="23" t="inlineStr">
        <is>
          <t>Address</t>
        </is>
      </c>
      <c r="C47" s="24" t="inlineStr">
        <is>
          <t>3060 Preserve Dr, Oakville, ON L6M 4L9</t>
        </is>
      </c>
    </row>
    <row r="48">
      <c r="B48" s="23" t="inlineStr">
        <is>
          <t>Service area</t>
        </is>
      </c>
      <c r="C48" s="24" t="inlineStr">
        <is>
          <t>Oakville, Burlington, Milton, Mississauga</t>
        </is>
      </c>
    </row>
    <row r="49">
      <c r="B49" s="23" t="inlineStr">
        <is>
          <t>Hashtags</t>
        </is>
      </c>
      <c r="C49" s="24" t="inlineStr">
        <is>
          <t>Every set now leads with local tags. Location plus service is the highest intent combination.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A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24"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5" t="inlineStr">
        <is>
          <t>Platforms</t>
        </is>
      </c>
      <c r="G1" s="25" t="inlineStr">
        <is>
          <t>Pillar</t>
        </is>
      </c>
      <c r="H1" s="25" t="inlineStr">
        <is>
          <t>Topic &amp; Hook</t>
        </is>
      </c>
      <c r="I1" s="25" t="inlineStr">
        <is>
          <t>Caption Draft</t>
        </is>
      </c>
      <c r="J1" s="25" t="inlineStr">
        <is>
          <t>CTA</t>
        </is>
      </c>
      <c r="K1" s="25" t="inlineStr">
        <is>
          <t>Hashtag Set</t>
        </is>
      </c>
      <c r="L1" s="25" t="inlineStr">
        <is>
          <t>Visual / Asset</t>
        </is>
      </c>
      <c r="M1" s="26" t="inlineStr">
        <is>
          <t>Photo Assets</t>
        </is>
      </c>
      <c r="N1" s="26" t="inlineStr">
        <is>
          <t>Consent</t>
        </is>
      </c>
      <c r="O1" s="25" t="inlineStr">
        <is>
          <t>Folder Link</t>
        </is>
      </c>
      <c r="P1" s="26" t="inlineStr">
        <is>
          <t>Image Link</t>
        </is>
      </c>
      <c r="Q1" s="26" t="inlineStr">
        <is>
          <t>Preview</t>
        </is>
      </c>
      <c r="R1" s="25" t="inlineStr">
        <is>
          <t>Status</t>
        </is>
      </c>
      <c r="S1" s="25" t="inlineStr">
        <is>
          <t>Posted Link</t>
        </is>
      </c>
      <c r="T1" s="25" t="inlineStr">
        <is>
          <t>Reach</t>
        </is>
      </c>
      <c r="U1" s="25" t="inlineStr">
        <is>
          <t>Saves</t>
        </is>
      </c>
      <c r="V1" s="25" t="inlineStr">
        <is>
          <t>Comments</t>
        </is>
      </c>
      <c r="W1" s="25" t="inlineStr">
        <is>
          <t>DMs</t>
        </is>
      </c>
      <c r="X1" s="25" t="inlineStr">
        <is>
          <t>Bookings</t>
        </is>
      </c>
      <c r="Y1" s="26" t="inlineStr">
        <is>
          <t>GBP Caption</t>
        </is>
      </c>
      <c r="Z1" s="26" t="inlineStr">
        <is>
          <t>GBP CTA</t>
        </is>
      </c>
      <c r="AA1" s="26" t="inlineStr">
        <is>
          <t>GBP Image Link</t>
        </is>
      </c>
    </row>
    <row r="2" ht="68.65000000000001" customHeight="1" s="14">
      <c r="A2" s="27" t="n">
        <v>46251</v>
      </c>
      <c r="B2" s="28" t="inlineStr">
        <is>
          <t>Mon</t>
        </is>
      </c>
      <c r="C2" s="28" t="n">
        <v>1</v>
      </c>
      <c r="D2" s="28" t="inlineStr">
        <is>
          <t>Botox, Honestly (Launch)</t>
        </is>
      </c>
      <c r="E2" s="28" t="inlineStr">
        <is>
          <t>Carousel</t>
        </is>
      </c>
      <c r="F2" s="28" t="inlineStr">
        <is>
          <t>Instagram feed + GBP</t>
        </is>
      </c>
      <c r="G2" s="28" t="inlineStr">
        <is>
          <t>Education</t>
        </is>
      </c>
      <c r="H2" s="28" t="inlineStr">
        <is>
          <t>5 Botox Lies You Still Believe | The truth, from a nurse injector.</t>
        </is>
      </c>
      <c r="I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J2" s="28" t="inlineStr">
        <is>
          <t>DM BOTOX or link in bio</t>
        </is>
      </c>
      <c r="K2" s="28" t="inlineStr">
        <is>
          <t>Set A</t>
        </is>
      </c>
      <c r="L2" s="28" t="inlineStr">
        <is>
          <t>READY: 8 final slides in this post's folder</t>
        </is>
      </c>
      <c r="M2" s="24" t="n"/>
      <c r="N2" s="24" t="n"/>
      <c r="O2" s="32" t="inlineStr">
        <is>
          <t>Open folder</t>
        </is>
      </c>
      <c r="P2" s="33" t="inlineStr">
        <is>
          <t>View 8 slides</t>
        </is>
      </c>
      <c r="Q2" s="24">
        <f>IMAGE("https://raw.githubusercontent.com/RepoKing23/InstagramCarousel/claude/convert-images-jpg-5jeayb/content/2026-08-17-5-botox-lies-you-still/images/slide-1.png")</f>
        <v/>
      </c>
      <c r="R2" s="28" t="inlineStr">
        <is>
          <t>Ready</t>
        </is>
      </c>
      <c r="S2" s="28" t="n"/>
      <c r="T2" s="28" t="n"/>
      <c r="U2" s="28" t="n"/>
      <c r="V2" s="28" t="n"/>
      <c r="W2" s="28" t="n"/>
      <c r="X2" s="28" t="n"/>
      <c r="Y2" s="24" t="n"/>
      <c r="Z2" s="24" t="n"/>
      <c r="AA2" s="33" t="inlineStr">
        <is>
          <t>View GBP image</t>
        </is>
      </c>
    </row>
    <row r="3" ht="57.45" customHeight="1" s="14">
      <c r="A3" s="29" t="n">
        <v>46252</v>
      </c>
      <c r="B3" s="30" t="inlineStr">
        <is>
          <t>Tue</t>
        </is>
      </c>
      <c r="C3" s="30" t="n">
        <v>1</v>
      </c>
      <c r="D3" s="30" t="inlineStr">
        <is>
          <t>Botox, Honestly (Launch)</t>
        </is>
      </c>
      <c r="E3" s="30" t="inlineStr">
        <is>
          <t>Single Image</t>
        </is>
      </c>
      <c r="F3" s="30" t="inlineStr">
        <is>
          <t>IG + FB + TikTok photo + GBP</t>
        </is>
      </c>
      <c r="G3" s="30" t="inlineStr">
        <is>
          <t>Education</t>
        </is>
      </c>
      <c r="H3" s="30" t="inlineStr">
        <is>
          <t>Service Spotlight: Botox | Smooth, not frozen.</t>
        </is>
      </c>
      <c r="I3" s="30" t="inlineStr">
        <is>
          <t>Softened lines, full expression, and nobody can tell why you look so rested. That is Botox done right.
#botox #botoxeducation #botoxmyths #preventativebotox #antiwrinkleinjections #nurseinjector #medspa #naturalbotox #botoxbeforeandafter #aestheticnurse</t>
        </is>
      </c>
      <c r="J3" s="30" t="inlineStr">
        <is>
          <t>DM BOTOX to book</t>
        </is>
      </c>
      <c r="K3" s="30" t="inlineStr">
        <is>
          <t>Set A</t>
        </is>
      </c>
      <c r="L3" s="30" t="inlineStr">
        <is>
          <t>READY: final image in this post's folder</t>
        </is>
      </c>
      <c r="M3" s="24" t="n"/>
      <c r="N3" s="24" t="n"/>
      <c r="O3" s="34" t="inlineStr">
        <is>
          <t>Open folder</t>
        </is>
      </c>
      <c r="P3" s="33" t="inlineStr">
        <is>
          <t>View image</t>
        </is>
      </c>
      <c r="Q3" s="24">
        <f>IMAGE("https://raw.githubusercontent.com/RepoKing23/InstagramCarousel/claude/convert-images-jpg-5jeayb/content/2026-08-18-service-spotlight-botox/images/post.png")</f>
        <v/>
      </c>
      <c r="R3" s="30" t="inlineStr">
        <is>
          <t>Ready</t>
        </is>
      </c>
      <c r="S3" s="30" t="n"/>
      <c r="T3" s="30" t="n"/>
      <c r="U3" s="30" t="n"/>
      <c r="V3" s="30" t="n"/>
      <c r="W3" s="30" t="n"/>
      <c r="X3" s="30" t="n"/>
      <c r="Y3" s="24" t="n"/>
      <c r="Z3" s="24" t="n"/>
      <c r="AA3" s="33" t="inlineStr">
        <is>
          <t>View GBP image</t>
        </is>
      </c>
    </row>
    <row r="4" ht="68.65000000000001" customHeight="1" s="14">
      <c r="A4" s="27" t="n">
        <v>46254</v>
      </c>
      <c r="B4" s="28" t="inlineStr">
        <is>
          <t>Thu</t>
        </is>
      </c>
      <c r="C4" s="28" t="n">
        <v>1</v>
      </c>
      <c r="D4" s="28" t="inlineStr">
        <is>
          <t>Botox, Honestly (Launch)</t>
        </is>
      </c>
      <c r="E4" s="28" t="inlineStr">
        <is>
          <t>Carousel</t>
        </is>
      </c>
      <c r="F4" s="28" t="inlineStr">
        <is>
          <t>Instagram feed + GBP</t>
        </is>
      </c>
      <c r="G4" s="28" t="inlineStr">
        <is>
          <t>Trust &amp; Proof</t>
        </is>
      </c>
      <c r="H4" s="28" t="inlineStr">
        <is>
          <t>5 Red Flags at a Med Spa. Run. | Your face deserves better than a bargain.</t>
        </is>
      </c>
      <c r="I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J4" s="28" t="inlineStr">
        <is>
          <t>Save this before you book</t>
        </is>
      </c>
      <c r="K4" s="28" t="inlineStr">
        <is>
          <t>Set C</t>
        </is>
      </c>
      <c r="L4" s="28" t="inlineStr">
        <is>
          <t>Design in editorial template (sequel to Choosing the Right NP)</t>
        </is>
      </c>
      <c r="M4" s="24" t="n"/>
      <c r="N4" s="24" t="n"/>
      <c r="O4" s="32" t="inlineStr">
        <is>
          <t>Open folder</t>
        </is>
      </c>
      <c r="P4" s="33" t="inlineStr">
        <is>
          <t>View 7 slides</t>
        </is>
      </c>
      <c r="Q4" s="24">
        <f>IMAGE("https://raw.githubusercontent.com/RepoKing23/InstagramCarousel/claude/convert-images-jpg-5jeayb/content/2026-08-20-5-red-flags-at-a/images/slide-1.png")</f>
        <v/>
      </c>
      <c r="R4" s="28" t="inlineStr">
        <is>
          <t>Ready</t>
        </is>
      </c>
      <c r="S4" s="28" t="n"/>
      <c r="T4" s="28" t="n"/>
      <c r="U4" s="28" t="n"/>
      <c r="V4" s="28" t="n"/>
      <c r="W4" s="28" t="n"/>
      <c r="X4" s="28" t="n"/>
      <c r="Y4" s="24" t="inlineStr">
        <is>
          <t>Five things to walk away from at a med spa: no consultation, bargain pricing, a provider who never says no, no named injector, and no plan for complications. Know them before you book anywhere. Serving Oakville, Burlington, Milton and Mississauga.</t>
        </is>
      </c>
      <c r="Z4" s="24" t="inlineStr">
        <is>
          <t>Learn more &gt; Instagram</t>
        </is>
      </c>
      <c r="AA4" s="33" t="inlineStr">
        <is>
          <t>View GBP image</t>
        </is>
      </c>
    </row>
    <row r="5" ht="57.45" customHeight="1" s="14">
      <c r="A5" s="29" t="n">
        <v>46255</v>
      </c>
      <c r="B5" s="30" t="inlineStr">
        <is>
          <t>Fri</t>
        </is>
      </c>
      <c r="C5" s="30" t="n">
        <v>1</v>
      </c>
      <c r="D5" s="30" t="inlineStr">
        <is>
          <t>Botox, Honestly (Launch)</t>
        </is>
      </c>
      <c r="E5" s="30" t="inlineStr">
        <is>
          <t>Single Image</t>
        </is>
      </c>
      <c r="F5" s="30" t="inlineStr">
        <is>
          <t>IG + FB + TikTok photo + GBP</t>
        </is>
      </c>
      <c r="G5" s="30" t="inlineStr">
        <is>
          <t>Personality &amp; BTS</t>
        </is>
      </c>
      <c r="H5" s="30" t="inlineStr">
        <is>
          <t>Behind the Scenes: The Prep | Zero shortcuts. Ever.</t>
        </is>
      </c>
      <c r="I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J5" s="30" t="inlineStr">
        <is>
          <t>Zero shortcuts. Ever.</t>
        </is>
      </c>
      <c r="K5" s="30" t="inlineStr">
        <is>
          <t>Set D</t>
        </is>
      </c>
      <c r="L5" s="30" t="inlineStr">
        <is>
          <t>prep tray photo + hook overlay</t>
        </is>
      </c>
      <c r="M5" s="24" t="n"/>
      <c r="N5" s="24" t="n"/>
      <c r="O5" s="34" t="inlineStr">
        <is>
          <t>Open folder</t>
        </is>
      </c>
      <c r="P5" s="33" t="inlineStr">
        <is>
          <t>View image</t>
        </is>
      </c>
      <c r="Q5" s="24">
        <f>IMAGE("https://raw.githubusercontent.com/RepoKing23/InstagramCarousel/claude/convert-images-jpg-5jeayb/content/2026-08-21-behind-the-scenes-the-prep/images/post.png")</f>
        <v/>
      </c>
      <c r="R5" s="30" t="inlineStr">
        <is>
          <t>Ready</t>
        </is>
      </c>
      <c r="S5" s="30" t="n"/>
      <c r="T5" s="30" t="n"/>
      <c r="U5" s="30" t="n"/>
      <c r="V5" s="30" t="n"/>
      <c r="W5" s="30" t="n"/>
      <c r="X5" s="30" t="n"/>
      <c r="Y5" s="24" t="inlineStr">
        <is>
          <t>Every appointment starts the same way. New tray, sealed product opened in front of you, and your face mapped while it moves so the plan fits how you actually move. Ask to watch. Serving Oakville, Burlington, Milton and Mississauga.</t>
        </is>
      </c>
      <c r="Z5" s="24" t="inlineStr">
        <is>
          <t>Learn more &gt; Instagram</t>
        </is>
      </c>
      <c r="AA5" s="33" t="inlineStr">
        <is>
          <t>View GBP image</t>
        </is>
      </c>
    </row>
    <row r="6" ht="46.25" customHeight="1" s="14">
      <c r="A6" s="29" t="n">
        <v>46256</v>
      </c>
      <c r="B6" s="30" t="inlineStr">
        <is>
          <t>Sat</t>
        </is>
      </c>
      <c r="C6" s="30" t="n">
        <v>1</v>
      </c>
      <c r="D6" s="30" t="inlineStr">
        <is>
          <t>Botox, Honestly (Launch)</t>
        </is>
      </c>
      <c r="E6" s="30" t="inlineStr">
        <is>
          <t>Before/After</t>
        </is>
      </c>
      <c r="F6" s="30" t="inlineStr">
        <is>
          <t>IG + FB + TikTok photo + GBP</t>
        </is>
      </c>
      <c r="G6" s="30" t="inlineStr">
        <is>
          <t>Trust &amp; Proof</t>
        </is>
      </c>
      <c r="H6" s="30" t="inlineStr">
        <is>
          <t>Great Work Is Invisible | You were not supposed to notice.</t>
        </is>
      </c>
      <c r="I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J6" s="30" t="inlineStr">
        <is>
          <t>Message to book</t>
        </is>
      </c>
      <c r="K6" s="30" t="inlineStr">
        <is>
          <t>Set B</t>
        </is>
      </c>
      <c r="L6" s="30" t="inlineStr">
        <is>
          <t>Before and after card in editorial template. Crop to treatment area, no faces</t>
        </is>
      </c>
      <c r="M6" s="24" t="inlineStr">
        <is>
          <t>img_9908 (before), img_9912 (after)</t>
        </is>
      </c>
      <c r="N6" s="24" t="inlineStr">
        <is>
          <t>Not needed</t>
        </is>
      </c>
      <c r="O6" s="34" t="inlineStr">
        <is>
          <t>Open folder</t>
        </is>
      </c>
      <c r="P6" s="33" t="inlineStr">
        <is>
          <t>View image</t>
        </is>
      </c>
      <c r="Q6" s="24">
        <f>IMAGE("https://raw.githubusercontent.com/RepoKing23/InstagramCarousel/claude/convert-images-jpg-5jeayb/content/2026-08-22-great-work-is-invisible/images/before-after-result.png")</f>
        <v/>
      </c>
      <c r="R6" s="30" t="inlineStr">
        <is>
          <t>Ready</t>
        </is>
      </c>
      <c r="S6" s="30" t="n"/>
      <c r="T6" s="30" t="n"/>
      <c r="U6" s="30" t="n"/>
      <c r="V6" s="30" t="n"/>
      <c r="W6" s="30" t="n"/>
      <c r="X6" s="30" t="n"/>
      <c r="Y6" s="24" t="inlineStr">
        <is>
          <t>One syringe of lip filler, with her own lip shape kept exactly where it was. Natural results are the whole point of how we practise. Shared with client consent, individual results vary. Serving Oakville, Burlington, Milton and Mississauga.</t>
        </is>
      </c>
      <c r="Z6" s="24" t="inlineStr">
        <is>
          <t>Learn more &gt; Instagram</t>
        </is>
      </c>
      <c r="AA6" s="33" t="inlineStr">
        <is>
          <t>View GBP image</t>
        </is>
      </c>
    </row>
    <row r="7" ht="57.45" customHeight="1" s="14">
      <c r="A7" s="27" t="n">
        <v>46258</v>
      </c>
      <c r="B7" s="28" t="inlineStr">
        <is>
          <t>Mon</t>
        </is>
      </c>
      <c r="C7" s="28" t="n">
        <v>2</v>
      </c>
      <c r="D7" s="28" t="inlineStr">
        <is>
          <t>Botox, Honestly (Launch)</t>
        </is>
      </c>
      <c r="E7" s="28" t="inlineStr">
        <is>
          <t>Carousel</t>
        </is>
      </c>
      <c r="F7" s="28" t="inlineStr">
        <is>
          <t>Instagram feed + GBP</t>
        </is>
      </c>
      <c r="G7" s="28" t="inlineStr">
        <is>
          <t>Education</t>
        </is>
      </c>
      <c r="H7" s="28" t="inlineStr">
        <is>
          <t>Your First Visit, Step by Step | Nervous about your first appointment? Here is exactly what happens.</t>
        </is>
      </c>
      <c r="I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J7" s="28" t="inlineStr">
        <is>
          <t>DM to book a consult</t>
        </is>
      </c>
      <c r="K7" s="28" t="inlineStr">
        <is>
          <t>Set A</t>
        </is>
      </c>
      <c r="L7" s="28" t="inlineStr">
        <is>
          <t>Design in editorial template + treatment room photos</t>
        </is>
      </c>
      <c r="M7" s="24" t="n"/>
      <c r="N7" s="24" t="n"/>
      <c r="O7" s="32" t="inlineStr">
        <is>
          <t>Open folder</t>
        </is>
      </c>
      <c r="P7" s="33" t="inlineStr">
        <is>
          <t>View 8 slides</t>
        </is>
      </c>
      <c r="Q7" s="24">
        <f>IMAGE("https://raw.githubusercontent.com/RepoKing23/InstagramCarousel/claude/convert-images-jpg-5jeayb/content/2026-08-24-your-first-visit-step-by/images/slide-1.png")</f>
        <v/>
      </c>
      <c r="R7" s="28" t="inlineStr">
        <is>
          <t>Ready</t>
        </is>
      </c>
      <c r="S7" s="28" t="n"/>
      <c r="T7" s="28" t="n"/>
      <c r="U7" s="28" t="n"/>
      <c r="V7" s="28" t="n"/>
      <c r="W7" s="28" t="n"/>
      <c r="X7" s="28" t="n"/>
      <c r="Y7" s="24" t="inlineStr">
        <is>
          <t>Nervous about your first appointment? A real consultation, your face mapped in motion, then the areas and the price agreed before anything is opened. The treatment itself takes about ten minutes. Serving Oakville, Burlington, Milton and Mississauga.</t>
        </is>
      </c>
      <c r="Z7" s="24" t="inlineStr">
        <is>
          <t>Learn more &gt; Instagram</t>
        </is>
      </c>
      <c r="AA7" s="33" t="inlineStr">
        <is>
          <t>View GBP image</t>
        </is>
      </c>
    </row>
    <row r="8" ht="57.45" customHeight="1" s="14">
      <c r="A8" s="29" t="n">
        <v>46259</v>
      </c>
      <c r="B8" s="30" t="inlineStr">
        <is>
          <t>Tue</t>
        </is>
      </c>
      <c r="C8" s="30" t="n">
        <v>2</v>
      </c>
      <c r="D8" s="30" t="inlineStr">
        <is>
          <t>Botox, Honestly (Launch)</t>
        </is>
      </c>
      <c r="E8" s="30" t="inlineStr">
        <is>
          <t>Single Image</t>
        </is>
      </c>
      <c r="F8" s="30" t="inlineStr">
        <is>
          <t>IG + FB + TikTok photo + GBP</t>
        </is>
      </c>
      <c r="G8" s="30" t="inlineStr">
        <is>
          <t>Trust &amp; Proof</t>
        </is>
      </c>
      <c r="H8" s="30" t="inlineStr">
        <is>
          <t>Why I Do Not Post Prices | Every clinic gets this DM. Almost nobody answers it honestly.</t>
        </is>
      </c>
      <c r="I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J8" s="30" t="inlineStr">
        <is>
          <t>DM the word PRICE</t>
        </is>
      </c>
      <c r="K8" s="30" t="inlineStr">
        <is>
          <t>Set C</t>
        </is>
      </c>
      <c r="L8" s="30" t="inlineStr">
        <is>
          <t>Single image, dark variant. Type led, no photo</t>
        </is>
      </c>
      <c r="M8" s="24" t="n"/>
      <c r="N8" s="24" t="n"/>
      <c r="O8" s="34" t="inlineStr">
        <is>
          <t>Open folder</t>
        </is>
      </c>
      <c r="P8" s="33" t="inlineStr">
        <is>
          <t>View image</t>
        </is>
      </c>
      <c r="Q8" s="24">
        <f>IMAGE("https://raw.githubusercontent.com/RepoKing23/InstagramCarousel/claude/convert-images-jpg-5jeayb/content/2026-08-25-why-i-do-not-post/images/post.png")</f>
        <v/>
      </c>
      <c r="R8" s="30" t="inlineStr">
        <is>
          <t>Ready</t>
        </is>
      </c>
      <c r="S8" s="30" t="n"/>
      <c r="T8" s="30" t="n"/>
      <c r="U8" s="30" t="n"/>
      <c r="V8" s="30" t="n"/>
      <c r="W8" s="30" t="n"/>
      <c r="X8" s="30" t="n"/>
      <c r="Y8" s="24" t="inlineStr">
        <is>
          <t>Why we do not post a price list. Doses differ from face to face, so one flat price either overcharges you or under treats you. You get a written number at your consult, before anything is opened. Serving Oakville, Burlington, Milton and Mississauga.</t>
        </is>
      </c>
      <c r="Z8" s="24" t="inlineStr">
        <is>
          <t>Learn more &gt; Instagram</t>
        </is>
      </c>
      <c r="AA8" s="33" t="inlineStr">
        <is>
          <t>View GBP image</t>
        </is>
      </c>
    </row>
    <row r="9" ht="57.45" customHeight="1" s="14">
      <c r="A9" s="27" t="n">
        <v>46261</v>
      </c>
      <c r="B9" s="28" t="inlineStr">
        <is>
          <t>Thu</t>
        </is>
      </c>
      <c r="C9" s="28" t="n">
        <v>2</v>
      </c>
      <c r="D9" s="28" t="inlineStr">
        <is>
          <t>Botox, Honestly (Launch)</t>
        </is>
      </c>
      <c r="E9" s="28" t="inlineStr">
        <is>
          <t>Carousel</t>
        </is>
      </c>
      <c r="F9" s="28" t="inlineStr">
        <is>
          <t>Instagram feed + GBP</t>
        </is>
      </c>
      <c r="G9" s="28" t="inlineStr">
        <is>
          <t>Personality &amp; BTS</t>
        </is>
      </c>
      <c r="H9" s="28" t="inlineStr">
        <is>
          <t>Meet NP Cleo: The Face Behind the Glow | Real education. Real results. Real care.</t>
        </is>
      </c>
      <c r="I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J9" s="28" t="inlineStr">
        <is>
          <t>DM the word CONSULT</t>
        </is>
      </c>
      <c r="K9" s="28" t="inlineStr">
        <is>
          <t>Set D</t>
        </is>
      </c>
      <c r="L9" s="28" t="inlineStr">
        <is>
          <t>Portrait photos of Cleo (reuse cleo.png + new shots)</t>
        </is>
      </c>
      <c r="M9" s="24" t="n"/>
      <c r="N9" s="24" t="n"/>
      <c r="O9" s="32" t="inlineStr">
        <is>
          <t>Open folder</t>
        </is>
      </c>
      <c r="P9" s="33" t="inlineStr">
        <is>
          <t>View 5 slides</t>
        </is>
      </c>
      <c r="Q9" s="24">
        <f>IMAGE("https://raw.githubusercontent.com/RepoKing23/InstagramCarousel/claude/convert-images-jpg-5jeayb/content/2026-08-27-meet-np-cleo-the-face/images/slide-1.png")</f>
        <v/>
      </c>
      <c r="R9" s="28" t="inlineStr">
        <is>
          <t>Ready</t>
        </is>
      </c>
      <c r="S9" s="28" t="n"/>
      <c r="T9" s="28" t="n"/>
      <c r="U9" s="28" t="n"/>
      <c r="V9" s="28" t="n"/>
      <c r="W9" s="28" t="n"/>
      <c r="X9" s="28" t="n"/>
      <c r="Y9" s="24" t="inlineStr">
        <is>
          <t>Meet NP Cleo. Nurse practitioner and injector, and the person who will tell you no when the honest answer is not yet. Every appointment is injected by Cleo, never delegated. Serving Oakville, Burlington, Milton and Mississauga.</t>
        </is>
      </c>
      <c r="Z9" s="24" t="inlineStr">
        <is>
          <t>Learn more &gt; Instagram</t>
        </is>
      </c>
      <c r="AA9" s="33" t="inlineStr">
        <is>
          <t>View GBP image</t>
        </is>
      </c>
    </row>
    <row r="10" ht="46.25" customHeight="1" s="14">
      <c r="A10" s="29" t="n">
        <v>46262</v>
      </c>
      <c r="B10" s="30" t="inlineStr">
        <is>
          <t>Fri</t>
        </is>
      </c>
      <c r="C10" s="30" t="n">
        <v>2</v>
      </c>
      <c r="D10" s="30" t="inlineStr">
        <is>
          <t>Botox, Honestly (Launch)</t>
        </is>
      </c>
      <c r="E10" s="30" t="inlineStr">
        <is>
          <t>Single Image</t>
        </is>
      </c>
      <c r="F10" s="30" t="inlineStr">
        <is>
          <t>IG + FB + TikTok photo + GBP</t>
        </is>
      </c>
      <c r="G10" s="30" t="inlineStr">
        <is>
          <t>Personality &amp; BTS</t>
        </is>
      </c>
      <c r="H10" s="30" t="inlineStr">
        <is>
          <t>Welcome to the Treatment Room | Where calm meets careful.</t>
        </is>
      </c>
      <c r="I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J10" s="30" t="inlineStr">
        <is>
          <t>Come see it</t>
        </is>
      </c>
      <c r="K10" s="30" t="inlineStr">
        <is>
          <t>Set D</t>
        </is>
      </c>
      <c r="L10" s="30" t="inlineStr">
        <is>
          <t>Single image, dark photo led. Uses botox-prep.png framed on the room</t>
        </is>
      </c>
      <c r="M10" s="24" t="n"/>
      <c r="N10" s="24" t="n"/>
      <c r="O10" s="34" t="inlineStr">
        <is>
          <t>Open folder</t>
        </is>
      </c>
      <c r="P10" s="33" t="inlineStr">
        <is>
          <t>View image</t>
        </is>
      </c>
      <c r="Q10" s="24">
        <f>IMAGE("https://raw.githubusercontent.com/RepoKing23/InstagramCarousel/claude/convert-images-jpg-5jeayb/content/2026-08-28-welcome-to-the-treatment-room/images/post.png")</f>
        <v/>
      </c>
      <c r="R10" s="30" t="inlineStr">
        <is>
          <t>Ready</t>
        </is>
      </c>
      <c r="S10" s="30" t="n"/>
      <c r="T10" s="30" t="n"/>
      <c r="U10" s="30" t="n"/>
      <c r="V10" s="30" t="n"/>
      <c r="W10" s="30" t="n"/>
      <c r="X10" s="30" t="n"/>
      <c r="Y10" s="24" t="inlineStr">
        <is>
          <t>One client in the treatment room at a time. Nobody rushes the person before you, so nobody rushes you. Questions welcome, and a plan agreed before anything happens. Serving Oakville, Burlington, Milton and Mississauga.</t>
        </is>
      </c>
      <c r="Z10" s="24" t="inlineStr">
        <is>
          <t>Learn more &gt; Instagram</t>
        </is>
      </c>
      <c r="AA10" s="33" t="inlineStr">
        <is>
          <t>View GBP image</t>
        </is>
      </c>
    </row>
    <row r="11" ht="46.25" customHeight="1" s="14">
      <c r="A11" s="29" t="n">
        <v>46263</v>
      </c>
      <c r="B11" s="30" t="inlineStr">
        <is>
          <t>Sat</t>
        </is>
      </c>
      <c r="C11" s="30" t="n">
        <v>2</v>
      </c>
      <c r="D11" s="30" t="inlineStr">
        <is>
          <t>Botox, Honestly (Launch)</t>
        </is>
      </c>
      <c r="E11" s="30" t="inlineStr">
        <is>
          <t>Single Image</t>
        </is>
      </c>
      <c r="F11" s="30" t="inlineStr">
        <is>
          <t>IG + FB + TikTok photo + GBP</t>
        </is>
      </c>
      <c r="G11" s="30" t="inlineStr">
        <is>
          <t>Trust &amp; Proof</t>
        </is>
      </c>
      <c r="H11" s="30" t="inlineStr">
        <is>
          <t>This or That: Rested vs Frozen | If people ask what you had done, the dose was wrong.</t>
        </is>
      </c>
      <c r="I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J11" s="30" t="inlineStr">
        <is>
          <t>Which one do you want?</t>
        </is>
      </c>
      <c r="K11" s="30" t="inlineStr">
        <is>
          <t>Set C</t>
        </is>
      </c>
      <c r="L11" s="30" t="inlineStr">
        <is>
          <t>Two-panel comparison card in brand style</t>
        </is>
      </c>
      <c r="M11" s="24" t="n"/>
      <c r="N11" s="24" t="n"/>
      <c r="O11" s="34" t="inlineStr">
        <is>
          <t>Open folder</t>
        </is>
      </c>
      <c r="P11" s="33" t="inlineStr">
        <is>
          <t>View image</t>
        </is>
      </c>
      <c r="Q11" s="24">
        <f>IMAGE("https://raw.githubusercontent.com/RepoKing23/InstagramCarousel/claude/convert-images-jpg-5jeayb/content/2026-08-29-this-or-that-rested-vs/images/post.png")</f>
        <v/>
      </c>
      <c r="R11" s="30" t="inlineStr">
        <is>
          <t>Ready</t>
        </is>
      </c>
      <c r="S11" s="30" t="n"/>
      <c r="T11" s="30" t="n"/>
      <c r="U11" s="30" t="n"/>
      <c r="V11" s="30" t="n"/>
      <c r="W11" s="30" t="n"/>
      <c r="X11" s="30" t="n"/>
      <c r="Y11" s="24" t="inlineStr">
        <is>
          <t>Rested, not frozen. You should still frown, squint and smile. If people ask what you had done instead of whether you slept well, the dose was wrong. Serving Oakville, Burlington, Milton and Mississauga.</t>
        </is>
      </c>
      <c r="Z11" s="24" t="inlineStr">
        <is>
          <t>Learn more &gt; Instagram</t>
        </is>
      </c>
      <c r="AA11" s="33" t="inlineStr">
        <is>
          <t>View GBP image</t>
        </is>
      </c>
    </row>
    <row r="12" ht="57.45" customHeight="1" s="14">
      <c r="A12" s="27" t="n">
        <v>46265</v>
      </c>
      <c r="B12" s="28" t="inlineStr">
        <is>
          <t>Mon</t>
        </is>
      </c>
      <c r="C12" s="28" t="n">
        <v>3</v>
      </c>
      <c r="D12" s="28" t="inlineStr">
        <is>
          <t>Botox, Honestly (Launch)</t>
        </is>
      </c>
      <c r="E12" s="28" t="inlineStr">
        <is>
          <t>Carousel</t>
        </is>
      </c>
      <c r="F12" s="28" t="inlineStr">
        <is>
          <t>Instagram feed + GBP</t>
        </is>
      </c>
      <c r="G12" s="28" t="inlineStr">
        <is>
          <t>Education</t>
        </is>
      </c>
      <c r="H12" s="28" t="inlineStr">
        <is>
          <t>Preventative Botox: When to Actually Start | Your friend who never seems to age? This is why.</t>
        </is>
      </c>
      <c r="I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J12" s="28" t="inlineStr">
        <is>
          <t>DM the word START</t>
        </is>
      </c>
      <c r="K12" s="28" t="inlineStr">
        <is>
          <t>Set A</t>
        </is>
      </c>
      <c r="L12" s="28" t="inlineStr">
        <is>
          <t>Carousel, 7 slides. Photo cover using smile-portrait.png</t>
        </is>
      </c>
      <c r="M12" s="24" t="n"/>
      <c r="N12" s="24" t="n"/>
      <c r="O12" s="32" t="inlineStr">
        <is>
          <t>Open folder</t>
        </is>
      </c>
      <c r="P12" s="33" t="inlineStr">
        <is>
          <t>View 7 slides</t>
        </is>
      </c>
      <c r="Q12" s="24">
        <f>IMAGE("https://raw.githubusercontent.com/RepoKing23/InstagramCarousel/claude/convert-images-jpg-5jeayb/content/2026-08-31-preventative-botox-when-to-actually/images/slide-1.png")</f>
        <v/>
      </c>
      <c r="R12" s="28" t="inlineStr">
        <is>
          <t>Ready</t>
        </is>
      </c>
      <c r="S12" s="28" t="n"/>
      <c r="T12" s="28" t="n"/>
      <c r="U12" s="28" t="n"/>
      <c r="V12" s="28" t="n"/>
      <c r="W12" s="28" t="n"/>
      <c r="X12" s="28" t="n"/>
      <c r="Y12" s="24" t="inlineStr">
        <is>
          <t>When should you actually start preventative treatment? It is not about your age. Make your strongest expression, then relax completely. A line that stays is one that is setting in. Serving Oakville, Burlington, Milton and Mississauga.</t>
        </is>
      </c>
      <c r="Z12" s="24" t="inlineStr">
        <is>
          <t>Learn more &gt; Instagram</t>
        </is>
      </c>
      <c r="AA12" s="33" t="inlineStr">
        <is>
          <t>View GBP image</t>
        </is>
      </c>
    </row>
    <row r="13" ht="57.45" customHeight="1" s="14">
      <c r="A13" s="29" t="n">
        <v>46266</v>
      </c>
      <c r="B13" s="30" t="inlineStr">
        <is>
          <t>Tue</t>
        </is>
      </c>
      <c r="C13" s="30" t="n">
        <v>3</v>
      </c>
      <c r="D13" s="30" t="inlineStr">
        <is>
          <t>Botox Education Month</t>
        </is>
      </c>
      <c r="E13" s="30" t="inlineStr">
        <is>
          <t>Single Image</t>
        </is>
      </c>
      <c r="F13" s="30" t="inlineStr">
        <is>
          <t>IG + FB + TikTok photo + GBP</t>
        </is>
      </c>
      <c r="G13" s="30" t="inlineStr">
        <is>
          <t>Education</t>
        </is>
      </c>
      <c r="H13" s="30" t="inlineStr">
        <is>
          <t>Service Spotlight: Preventative Botox | Start before the lines do.</t>
        </is>
      </c>
      <c r="I13" s="30" t="inlineStr">
        <is>
          <t>The friend who never seems to age did not find a miracle cream. She started early and kept it subtle.
#botox #botoxeducation #botoxmyths #preventativebotox #antiwrinkleinjections #nurseinjector #medspa #naturalbotox #botoxbeforeandafter #aestheticnurse</t>
        </is>
      </c>
      <c r="J13" s="30" t="inlineStr">
        <is>
          <t>DM PREVENT to talk</t>
        </is>
      </c>
      <c r="K13" s="30" t="inlineStr">
        <is>
          <t>Set A</t>
        </is>
      </c>
      <c r="L13" s="30" t="inlineStr">
        <is>
          <t>Single image: young client or product photo + hook</t>
        </is>
      </c>
      <c r="M13" s="24" t="n"/>
      <c r="N13" s="24" t="n"/>
      <c r="O13" s="34" t="inlineStr">
        <is>
          <t>Open folder</t>
        </is>
      </c>
      <c r="P13" s="24" t="inlineStr">
        <is>
          <t>Not designed yet</t>
        </is>
      </c>
      <c r="Q13" s="24" t="n"/>
      <c r="R13" s="30" t="inlineStr">
        <is>
          <t>Idea</t>
        </is>
      </c>
      <c r="S13" s="30" t="n"/>
      <c r="T13" s="30" t="n"/>
      <c r="U13" s="30" t="n"/>
      <c r="V13" s="30" t="n"/>
      <c r="W13" s="30" t="n"/>
      <c r="X13" s="30" t="n"/>
      <c r="Y13" s="24" t="n"/>
      <c r="Z13" s="24" t="n"/>
      <c r="AA13" s="24" t="inlineStr">
        <is>
          <t>Not designed yet</t>
        </is>
      </c>
    </row>
    <row r="14" ht="57.45" customHeight="1" s="14">
      <c r="A14" s="27" t="n">
        <v>46268</v>
      </c>
      <c r="B14" s="28" t="inlineStr">
        <is>
          <t>Thu</t>
        </is>
      </c>
      <c r="C14" s="28" t="n">
        <v>3</v>
      </c>
      <c r="D14" s="28" t="inlineStr">
        <is>
          <t>Botox Education Month</t>
        </is>
      </c>
      <c r="E14" s="28" t="inlineStr">
        <is>
          <t>Carousel</t>
        </is>
      </c>
      <c r="F14" s="28" t="inlineStr">
        <is>
          <t>Instagram feed + GBP</t>
        </is>
      </c>
      <c r="G14" s="28" t="inlineStr">
        <is>
          <t>Education</t>
        </is>
      </c>
      <c r="H14" s="28" t="inlineStr">
        <is>
          <t>What 20 Units Actually Looks Like | Unit math, finally explained.</t>
        </is>
      </c>
      <c r="I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J14" s="28" t="inlineStr">
        <is>
          <t>Save this for your consult</t>
        </is>
      </c>
      <c r="K14" s="28" t="inlineStr">
        <is>
          <t>Set A</t>
        </is>
      </c>
      <c r="L14" s="28" t="inlineStr">
        <is>
          <t>Design in editorial template + dosing diagram</t>
        </is>
      </c>
      <c r="M14" s="24" t="n"/>
      <c r="N14" s="24" t="n"/>
      <c r="O14" s="32" t="inlineStr">
        <is>
          <t>Open folder</t>
        </is>
      </c>
      <c r="P14" s="24" t="inlineStr">
        <is>
          <t>Not designed yet</t>
        </is>
      </c>
      <c r="Q14" s="24" t="n"/>
      <c r="R14" s="28" t="inlineStr">
        <is>
          <t>Idea</t>
        </is>
      </c>
      <c r="S14" s="28" t="n"/>
      <c r="T14" s="28" t="n"/>
      <c r="U14" s="28" t="n"/>
      <c r="V14" s="28" t="n"/>
      <c r="W14" s="28" t="n"/>
      <c r="X14" s="28" t="n"/>
      <c r="Y14" s="24" t="n"/>
      <c r="Z14" s="24" t="n"/>
      <c r="AA14" s="24" t="inlineStr">
        <is>
          <t>Not designed yet</t>
        </is>
      </c>
    </row>
    <row r="15" ht="57.45" customHeight="1" s="14">
      <c r="A15" s="29" t="n">
        <v>46269</v>
      </c>
      <c r="B15" s="30" t="inlineStr">
        <is>
          <t>Fri</t>
        </is>
      </c>
      <c r="C15" s="30" t="n">
        <v>3</v>
      </c>
      <c r="D15" s="30" t="inlineStr">
        <is>
          <t>Botox Education Month</t>
        </is>
      </c>
      <c r="E15" s="30" t="inlineStr">
        <is>
          <t>Single Image</t>
        </is>
      </c>
      <c r="F15" s="30" t="inlineStr">
        <is>
          <t>IG + FB + TikTok photo + GBP</t>
        </is>
      </c>
      <c r="G15" s="30" t="inlineStr">
        <is>
          <t>Personality &amp; BTS</t>
        </is>
      </c>
      <c r="H15" s="30" t="inlineStr">
        <is>
          <t>Meet Your Injector | Board certified. Botox obsessed. Brutally honest.</t>
        </is>
      </c>
      <c r="I15" s="30" t="inlineStr">
        <is>
          <t>Your face deserves a nurse practitioner who tells the truth about what you need and what you do not. Hi, I am Cleo. 💛
#npinjector #nursepractitioner #medspalife #luxurybeauty #aestheticnurse #skincareexpert #beautyclinic #selfcare #naturalresults #honestbeauty</t>
        </is>
      </c>
      <c r="J15" s="30" t="inlineStr">
        <is>
          <t>Say hi in the comments</t>
        </is>
      </c>
      <c r="K15" s="30" t="inlineStr">
        <is>
          <t>Set C</t>
        </is>
      </c>
      <c r="L15" s="30" t="inlineStr">
        <is>
          <t>Single image: Cleo portrait + credentials hook</t>
        </is>
      </c>
      <c r="M15" s="24" t="n"/>
      <c r="N15" s="24" t="n"/>
      <c r="O15" s="34" t="inlineStr">
        <is>
          <t>Open folder</t>
        </is>
      </c>
      <c r="P15" s="24" t="inlineStr">
        <is>
          <t>Not designed yet</t>
        </is>
      </c>
      <c r="Q15" s="24" t="n"/>
      <c r="R15" s="30" t="inlineStr">
        <is>
          <t>Idea</t>
        </is>
      </c>
      <c r="S15" s="30" t="n"/>
      <c r="T15" s="30" t="n"/>
      <c r="U15" s="30" t="n"/>
      <c r="V15" s="30" t="n"/>
      <c r="W15" s="30" t="n"/>
      <c r="X15" s="30" t="n"/>
      <c r="Y15" s="24" t="n"/>
      <c r="Z15" s="24" t="n"/>
      <c r="AA15" s="24" t="inlineStr">
        <is>
          <t>Not designed yet</t>
        </is>
      </c>
    </row>
    <row r="16" ht="46.25" customHeight="1" s="14">
      <c r="A16" s="29" t="n">
        <v>46270</v>
      </c>
      <c r="B16" s="30" t="inlineStr">
        <is>
          <t>Sat</t>
        </is>
      </c>
      <c r="C16" s="30" t="n">
        <v>3</v>
      </c>
      <c r="D16" s="30" t="inlineStr">
        <is>
          <t>Botox Education Month</t>
        </is>
      </c>
      <c r="E16" s="30" t="inlineStr">
        <is>
          <t>Single Image</t>
        </is>
      </c>
      <c r="F16" s="30" t="inlineStr">
        <is>
          <t>IG + FB + TikTok photo + GBP</t>
        </is>
      </c>
      <c r="G16" s="30" t="inlineStr">
        <is>
          <t>Education</t>
        </is>
      </c>
      <c r="H16" s="30" t="inlineStr">
        <is>
          <t>Quote: Prevention Beats Erasing | Brand quote card.</t>
        </is>
      </c>
      <c r="I16" s="30" t="inlineStr">
        <is>
          <t>Lines are easier to prevent than to erase. Save this reminder.
#npinjector #nursepractitioner #medspalife #luxurybeauty #aestheticnurse #skincareexpert #beautyclinic #selfcare #naturalresults #honestbeauty</t>
        </is>
      </c>
      <c r="J16" s="30" t="inlineStr">
        <is>
          <t>Save this</t>
        </is>
      </c>
      <c r="K16" s="30" t="inlineStr">
        <is>
          <t>Set C</t>
        </is>
      </c>
      <c r="L16" s="30" t="inlineStr">
        <is>
          <t>Quote card in brand style</t>
        </is>
      </c>
      <c r="M16" s="24" t="n"/>
      <c r="N16" s="24" t="n"/>
      <c r="O16" s="34" t="inlineStr">
        <is>
          <t>Open folder</t>
        </is>
      </c>
      <c r="P16" s="24" t="inlineStr">
        <is>
          <t>Not designed yet</t>
        </is>
      </c>
      <c r="Q16" s="24" t="n"/>
      <c r="R16" s="30" t="inlineStr">
        <is>
          <t>Idea</t>
        </is>
      </c>
      <c r="S16" s="30" t="n"/>
      <c r="T16" s="30" t="n"/>
      <c r="U16" s="30" t="n"/>
      <c r="V16" s="30" t="n"/>
      <c r="W16" s="30" t="n"/>
      <c r="X16" s="30" t="n"/>
      <c r="Y16" s="24" t="n"/>
      <c r="Z16" s="24" t="n"/>
      <c r="AA16" s="24" t="inlineStr">
        <is>
          <t>Not designed yet</t>
        </is>
      </c>
    </row>
    <row r="17" ht="57.45" customHeight="1" s="14">
      <c r="A17" s="27" t="n">
        <v>46272</v>
      </c>
      <c r="B17" s="28" t="inlineStr">
        <is>
          <t>Mon</t>
        </is>
      </c>
      <c r="C17" s="28" t="n">
        <v>4</v>
      </c>
      <c r="D17" s="28" t="inlineStr">
        <is>
          <t>Botox Education Month</t>
        </is>
      </c>
      <c r="E17" s="28" t="inlineStr">
        <is>
          <t>Carousel</t>
        </is>
      </c>
      <c r="F17" s="28" t="inlineStr">
        <is>
          <t>Instagram feed + GBP</t>
        </is>
      </c>
      <c r="G17" s="28" t="inlineStr">
        <is>
          <t>Education</t>
        </is>
      </c>
      <c r="H17" s="28" t="inlineStr">
        <is>
          <t>Botox vs Dysport: The Real Difference | Same family. Different personalities.</t>
        </is>
      </c>
      <c r="I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J17" s="28" t="inlineStr">
        <is>
          <t>Book a consult. Link in bio</t>
        </is>
      </c>
      <c r="K17" s="28" t="inlineStr">
        <is>
          <t>Set A</t>
        </is>
      </c>
      <c r="L17" s="28" t="inlineStr">
        <is>
          <t>Design in editorial template</t>
        </is>
      </c>
      <c r="M17" s="24" t="n"/>
      <c r="N17" s="24" t="n"/>
      <c r="O17" s="32" t="inlineStr">
        <is>
          <t>Open folder</t>
        </is>
      </c>
      <c r="P17" s="24" t="inlineStr">
        <is>
          <t>Not designed yet</t>
        </is>
      </c>
      <c r="Q17" s="24" t="n"/>
      <c r="R17" s="28" t="inlineStr">
        <is>
          <t>Idea</t>
        </is>
      </c>
      <c r="S17" s="28" t="n"/>
      <c r="T17" s="28" t="n"/>
      <c r="U17" s="28" t="n"/>
      <c r="V17" s="28" t="n"/>
      <c r="W17" s="28" t="n"/>
      <c r="X17" s="28" t="n"/>
      <c r="Y17" s="24" t="n"/>
      <c r="Z17" s="24" t="n"/>
      <c r="AA17" s="24" t="inlineStr">
        <is>
          <t>Not designed yet</t>
        </is>
      </c>
    </row>
    <row r="18" ht="57.45" customHeight="1" s="14">
      <c r="A18" s="29" t="n">
        <v>46273</v>
      </c>
      <c r="B18" s="30" t="inlineStr">
        <is>
          <t>Tue</t>
        </is>
      </c>
      <c r="C18" s="30" t="n">
        <v>4</v>
      </c>
      <c r="D18" s="30" t="inlineStr">
        <is>
          <t>Botox Education Month</t>
        </is>
      </c>
      <c r="E18" s="30" t="inlineStr">
        <is>
          <t>Single Image</t>
        </is>
      </c>
      <c r="F18" s="30" t="inlineStr">
        <is>
          <t>IG + FB + TikTok photo + GBP</t>
        </is>
      </c>
      <c r="G18" s="30" t="inlineStr">
        <is>
          <t>Education</t>
        </is>
      </c>
      <c r="H18" s="30" t="inlineStr">
        <is>
          <t>Botox vs Dysport at a Glance | Same family. Different personalities.</t>
        </is>
      </c>
      <c r="I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J18" s="30" t="inlineStr">
        <is>
          <t>Full breakdown on our feed</t>
        </is>
      </c>
      <c r="K18" s="30" t="inlineStr">
        <is>
          <t>Set A</t>
        </is>
      </c>
      <c r="L18" s="30" t="inlineStr">
        <is>
          <t>Single image: side-by-side comparison card</t>
        </is>
      </c>
      <c r="M18" s="24" t="n"/>
      <c r="N18" s="24" t="n"/>
      <c r="O18" s="34" t="inlineStr">
        <is>
          <t>Open folder</t>
        </is>
      </c>
      <c r="P18" s="24" t="inlineStr">
        <is>
          <t>Not designed yet</t>
        </is>
      </c>
      <c r="Q18" s="24" t="n"/>
      <c r="R18" s="30" t="inlineStr">
        <is>
          <t>Idea</t>
        </is>
      </c>
      <c r="S18" s="30" t="n"/>
      <c r="T18" s="30" t="n"/>
      <c r="U18" s="30" t="n"/>
      <c r="V18" s="30" t="n"/>
      <c r="W18" s="30" t="n"/>
      <c r="X18" s="30" t="n"/>
      <c r="Y18" s="24" t="n"/>
      <c r="Z18" s="24" t="n"/>
      <c r="AA18" s="24" t="inlineStr">
        <is>
          <t>Not designed yet</t>
        </is>
      </c>
    </row>
    <row r="19" ht="57.45" customHeight="1" s="14">
      <c r="A19" s="27" t="n">
        <v>46275</v>
      </c>
      <c r="B19" s="28" t="inlineStr">
        <is>
          <t>Thu</t>
        </is>
      </c>
      <c r="C19" s="28" t="n">
        <v>4</v>
      </c>
      <c r="D19" s="28" t="inlineStr">
        <is>
          <t>Botox Education Month</t>
        </is>
      </c>
      <c r="E19" s="28" t="inlineStr">
        <is>
          <t>Carousel</t>
        </is>
      </c>
      <c r="F19" s="28" t="inlineStr">
        <is>
          <t>Instagram feed + GBP</t>
        </is>
      </c>
      <c r="G19" s="28" t="inlineStr">
        <is>
          <t>Education</t>
        </is>
      </c>
      <c r="H19" s="28" t="inlineStr">
        <is>
          <t>Botox Aftercare: The First 48 Hours | You got Botox. Now what?</t>
        </is>
      </c>
      <c r="I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J19" s="28" t="inlineStr">
        <is>
          <t>Save this guide</t>
        </is>
      </c>
      <c r="K19" s="28" t="inlineStr">
        <is>
          <t>Set A</t>
        </is>
      </c>
      <c r="L19" s="28" t="inlineStr">
        <is>
          <t>Design in editorial template</t>
        </is>
      </c>
      <c r="M19" s="24" t="n"/>
      <c r="N19" s="24" t="n"/>
      <c r="O19" s="32" t="inlineStr">
        <is>
          <t>Open folder</t>
        </is>
      </c>
      <c r="P19" s="24" t="inlineStr">
        <is>
          <t>Not designed yet</t>
        </is>
      </c>
      <c r="Q19" s="24" t="n"/>
      <c r="R19" s="28" t="inlineStr">
        <is>
          <t>Idea</t>
        </is>
      </c>
      <c r="S19" s="28" t="n"/>
      <c r="T19" s="28" t="n"/>
      <c r="U19" s="28" t="n"/>
      <c r="V19" s="28" t="n"/>
      <c r="W19" s="28" t="n"/>
      <c r="X19" s="28" t="n"/>
      <c r="Y19" s="24" t="n"/>
      <c r="Z19" s="24" t="n"/>
      <c r="AA19" s="24" t="inlineStr">
        <is>
          <t>Not designed yet</t>
        </is>
      </c>
    </row>
    <row r="20" ht="57.45" customHeight="1" s="14">
      <c r="A20" s="29" t="n">
        <v>46276</v>
      </c>
      <c r="B20" s="30" t="inlineStr">
        <is>
          <t>Fri</t>
        </is>
      </c>
      <c r="C20" s="30" t="n">
        <v>4</v>
      </c>
      <c r="D20" s="30" t="inlineStr">
        <is>
          <t>Botox Education Month</t>
        </is>
      </c>
      <c r="E20" s="30" t="inlineStr">
        <is>
          <t>Single Image</t>
        </is>
      </c>
      <c r="F20" s="30" t="inlineStr">
        <is>
          <t>IG + FB + TikTok photo + GBP</t>
        </is>
      </c>
      <c r="G20" s="30" t="inlineStr">
        <is>
          <t>Trust &amp; Proof</t>
        </is>
      </c>
      <c r="H20" s="30" t="inlineStr">
        <is>
          <t>The Face Map | Every face gets a plan.</t>
        </is>
      </c>
      <c r="I20" s="30" t="inlineStr">
        <is>
          <t>Nothing touches your skin before I map your anatomy, your movement, and your goals. Planning is the treatment.
#npinjector #nursepractitioner #medspalife #luxurybeauty #aestheticnurse #skincareexpert #beautyclinic #selfcare #naturalresults #honestbeauty</t>
        </is>
      </c>
      <c r="J20" s="30" t="inlineStr">
        <is>
          <t>Book your mapping. Link in bio</t>
        </is>
      </c>
      <c r="K20" s="30" t="inlineStr">
        <is>
          <t>Set C</t>
        </is>
      </c>
      <c r="L20" s="30" t="inlineStr">
        <is>
          <t>Single image: assessment photo + hook</t>
        </is>
      </c>
      <c r="M20" s="24" t="n"/>
      <c r="N20" s="24" t="n"/>
      <c r="O20" s="34" t="inlineStr">
        <is>
          <t>Open folder</t>
        </is>
      </c>
      <c r="P20" s="24" t="inlineStr">
        <is>
          <t>Not designed yet</t>
        </is>
      </c>
      <c r="Q20" s="24" t="n"/>
      <c r="R20" s="30" t="inlineStr">
        <is>
          <t>Idea</t>
        </is>
      </c>
      <c r="S20" s="30" t="n"/>
      <c r="T20" s="30" t="n"/>
      <c r="U20" s="30" t="n"/>
      <c r="V20" s="30" t="n"/>
      <c r="W20" s="30" t="n"/>
      <c r="X20" s="30" t="n"/>
      <c r="Y20" s="24" t="n"/>
      <c r="Z20" s="24" t="n"/>
      <c r="AA20" s="24" t="inlineStr">
        <is>
          <t>Not designed yet</t>
        </is>
      </c>
    </row>
    <row r="21" ht="57.45" customHeight="1" s="14">
      <c r="A21" s="29" t="n">
        <v>46277</v>
      </c>
      <c r="B21" s="30" t="inlineStr">
        <is>
          <t>Sat</t>
        </is>
      </c>
      <c r="C21" s="30" t="n">
        <v>4</v>
      </c>
      <c r="D21" s="30" t="inlineStr">
        <is>
          <t>Botox Education Month</t>
        </is>
      </c>
      <c r="E21" s="30" t="inlineStr">
        <is>
          <t>Single Image</t>
        </is>
      </c>
      <c r="F21" s="30" t="inlineStr">
        <is>
          <t>IG + FB + TikTok photo + GBP</t>
        </is>
      </c>
      <c r="G21" s="30" t="inlineStr">
        <is>
          <t>Education</t>
        </is>
      </c>
      <c r="H21" s="30" t="inlineStr">
        <is>
          <t>FAQ: Does Botox Hurt? | Honest answer, no fluff.</t>
        </is>
      </c>
      <c r="I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J21" s="30" t="inlineStr">
        <is>
          <t>More questions? DM me</t>
        </is>
      </c>
      <c r="K21" s="30" t="inlineStr">
        <is>
          <t>Set C</t>
        </is>
      </c>
      <c r="L21" s="30" t="inlineStr">
        <is>
          <t>FAQ card in brand style</t>
        </is>
      </c>
      <c r="M21" s="24" t="n"/>
      <c r="N21" s="24" t="n"/>
      <c r="O21" s="34" t="inlineStr">
        <is>
          <t>Open folder</t>
        </is>
      </c>
      <c r="P21" s="24" t="inlineStr">
        <is>
          <t>Not designed yet</t>
        </is>
      </c>
      <c r="Q21" s="24" t="n"/>
      <c r="R21" s="30" t="inlineStr">
        <is>
          <t>Idea</t>
        </is>
      </c>
      <c r="S21" s="30" t="n"/>
      <c r="T21" s="30" t="n"/>
      <c r="U21" s="30" t="n"/>
      <c r="V21" s="30" t="n"/>
      <c r="W21" s="30" t="n"/>
      <c r="X21" s="30" t="n"/>
      <c r="Y21" s="24" t="n"/>
      <c r="Z21" s="24" t="n"/>
      <c r="AA21" s="24" t="inlineStr">
        <is>
          <t>Not designed yet</t>
        </is>
      </c>
    </row>
    <row r="22" ht="57.45" customHeight="1" s="14">
      <c r="A22" s="27" t="n">
        <v>46279</v>
      </c>
      <c r="B22" s="28" t="inlineStr">
        <is>
          <t>Mon</t>
        </is>
      </c>
      <c r="C22" s="28" t="n">
        <v>5</v>
      </c>
      <c r="D22" s="28" t="inlineStr">
        <is>
          <t>Botox Education Month</t>
        </is>
      </c>
      <c r="E22" s="28" t="inlineStr">
        <is>
          <t>Carousel</t>
        </is>
      </c>
      <c r="F22" s="28" t="inlineStr">
        <is>
          <t>Instagram feed + GBP</t>
        </is>
      </c>
      <c r="G22" s="28" t="inlineStr">
        <is>
          <t>Trust &amp; Proof</t>
        </is>
      </c>
      <c r="H22" s="28" t="inlineStr">
        <is>
          <t>5 Things Botox Can't Do | Honest expectations, always.</t>
        </is>
      </c>
      <c r="I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J22" s="28" t="inlineStr">
        <is>
          <t>Comment your questions</t>
        </is>
      </c>
      <c r="K22" s="28" t="inlineStr">
        <is>
          <t>Set A</t>
        </is>
      </c>
      <c r="L22" s="28" t="inlineStr">
        <is>
          <t>Design in editorial template</t>
        </is>
      </c>
      <c r="M22" s="24" t="n"/>
      <c r="N22" s="24" t="n"/>
      <c r="O22" s="32" t="inlineStr">
        <is>
          <t>Open folder</t>
        </is>
      </c>
      <c r="P22" s="24" t="inlineStr">
        <is>
          <t>Not designed yet</t>
        </is>
      </c>
      <c r="Q22" s="24" t="n"/>
      <c r="R22" s="28" t="inlineStr">
        <is>
          <t>Idea</t>
        </is>
      </c>
      <c r="S22" s="28" t="n"/>
      <c r="T22" s="28" t="n"/>
      <c r="U22" s="28" t="n"/>
      <c r="V22" s="28" t="n"/>
      <c r="W22" s="28" t="n"/>
      <c r="X22" s="28" t="n"/>
      <c r="Y22" s="24" t="n"/>
      <c r="Z22" s="24" t="n"/>
      <c r="AA22" s="24" t="inlineStr">
        <is>
          <t>Not designed yet</t>
        </is>
      </c>
    </row>
    <row r="23" ht="57.45" customHeight="1" s="14">
      <c r="A23" s="29" t="n">
        <v>46280</v>
      </c>
      <c r="B23" s="30" t="inlineStr">
        <is>
          <t>Tue</t>
        </is>
      </c>
      <c r="C23" s="30" t="n">
        <v>5</v>
      </c>
      <c r="D23" s="30" t="inlineStr">
        <is>
          <t>Botox Education Month</t>
        </is>
      </c>
      <c r="E23" s="30" t="inlineStr">
        <is>
          <t>Single Image</t>
        </is>
      </c>
      <c r="F23" s="30" t="inlineStr">
        <is>
          <t>IG + FB + TikTok photo + GBP</t>
        </is>
      </c>
      <c r="G23" s="30" t="inlineStr">
        <is>
          <t>Education</t>
        </is>
      </c>
      <c r="H23" s="30" t="inlineStr">
        <is>
          <t>What Botox Can't Fix | Honest expectations, always.</t>
        </is>
      </c>
      <c r="I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J23" s="30" t="inlineStr">
        <is>
          <t>Save this</t>
        </is>
      </c>
      <c r="K23" s="30" t="inlineStr">
        <is>
          <t>Set A</t>
        </is>
      </c>
      <c r="L23" s="30" t="inlineStr">
        <is>
          <t>Single image: myth-vs-reality card</t>
        </is>
      </c>
      <c r="M23" s="24" t="n"/>
      <c r="N23" s="24" t="n"/>
      <c r="O23" s="34" t="inlineStr">
        <is>
          <t>Open folder</t>
        </is>
      </c>
      <c r="P23" s="24" t="inlineStr">
        <is>
          <t>Not designed yet</t>
        </is>
      </c>
      <c r="Q23" s="24" t="n"/>
      <c r="R23" s="30" t="inlineStr">
        <is>
          <t>Idea</t>
        </is>
      </c>
      <c r="S23" s="30" t="n"/>
      <c r="T23" s="30" t="n"/>
      <c r="U23" s="30" t="n"/>
      <c r="V23" s="30" t="n"/>
      <c r="W23" s="30" t="n"/>
      <c r="X23" s="30" t="n"/>
      <c r="Y23" s="24" t="n"/>
      <c r="Z23" s="24" t="n"/>
      <c r="AA23" s="24" t="inlineStr">
        <is>
          <t>Not designed yet</t>
        </is>
      </c>
    </row>
    <row r="24" ht="57.45" customHeight="1" s="14">
      <c r="A24" s="27" t="n">
        <v>46282</v>
      </c>
      <c r="B24" s="28" t="inlineStr">
        <is>
          <t>Thu</t>
        </is>
      </c>
      <c r="C24" s="28" t="n">
        <v>5</v>
      </c>
      <c r="D24" s="28" t="inlineStr">
        <is>
          <t>Botox Education Month</t>
        </is>
      </c>
      <c r="E24" s="28" t="inlineStr">
        <is>
          <t>Carousel</t>
        </is>
      </c>
      <c r="F24" s="28" t="inlineStr">
        <is>
          <t>Instagram feed + GBP</t>
        </is>
      </c>
      <c r="G24" s="28" t="inlineStr">
        <is>
          <t>Trust &amp; Proof</t>
        </is>
      </c>
      <c r="H24" s="28" t="inlineStr">
        <is>
          <t>Still You, Just Refreshed | You won't look done. You'll look rested.</t>
        </is>
      </c>
      <c r="I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J24" s="28" t="inlineStr">
        <is>
          <t>DM GLOW to start</t>
        </is>
      </c>
      <c r="K24" s="28" t="inlineStr">
        <is>
          <t>Set C</t>
        </is>
      </c>
      <c r="L24" s="28" t="inlineStr">
        <is>
          <t>Template exists (design/slides.html), needs photos</t>
        </is>
      </c>
      <c r="M24" s="24" t="n"/>
      <c r="N24" s="24" t="n"/>
      <c r="O24" s="32" t="inlineStr">
        <is>
          <t>Open folder</t>
        </is>
      </c>
      <c r="P24" s="24" t="inlineStr">
        <is>
          <t>Not designed yet</t>
        </is>
      </c>
      <c r="Q24" s="24" t="n"/>
      <c r="R24" s="28" t="inlineStr">
        <is>
          <t>Idea</t>
        </is>
      </c>
      <c r="S24" s="28" t="n"/>
      <c r="T24" s="28" t="n"/>
      <c r="U24" s="28" t="n"/>
      <c r="V24" s="28" t="n"/>
      <c r="W24" s="28" t="n"/>
      <c r="X24" s="28" t="n"/>
      <c r="Y24" s="24" t="n"/>
      <c r="Z24" s="24" t="n"/>
      <c r="AA24" s="24" t="inlineStr">
        <is>
          <t>Not designed yet</t>
        </is>
      </c>
    </row>
    <row r="25" ht="57.45" customHeight="1" s="14">
      <c r="A25" s="29" t="n">
        <v>46283</v>
      </c>
      <c r="B25" s="30" t="inlineStr">
        <is>
          <t>Fri</t>
        </is>
      </c>
      <c r="C25" s="30" t="n">
        <v>5</v>
      </c>
      <c r="D25" s="30" t="inlineStr">
        <is>
          <t>Botox Education Month</t>
        </is>
      </c>
      <c r="E25" s="30" t="inlineStr">
        <is>
          <t>Single Image</t>
        </is>
      </c>
      <c r="F25" s="30" t="inlineStr">
        <is>
          <t>IG + FB + TikTok photo + GBP</t>
        </is>
      </c>
      <c r="G25" s="30" t="inlineStr">
        <is>
          <t>Education</t>
        </is>
      </c>
      <c r="H25" s="30" t="inlineStr">
        <is>
          <t>Myth vs Truth: The Frozen Face | The classic fear, debunked.</t>
        </is>
      </c>
      <c r="I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J25" s="30" t="inlineStr">
        <is>
          <t>Share with a friend</t>
        </is>
      </c>
      <c r="K25" s="30" t="inlineStr">
        <is>
          <t>Set A</t>
        </is>
      </c>
      <c r="L25" s="30" t="inlineStr">
        <is>
          <t>Single image: myth vs truth split card</t>
        </is>
      </c>
      <c r="M25" s="24" t="n"/>
      <c r="N25" s="24" t="n"/>
      <c r="O25" s="34" t="inlineStr">
        <is>
          <t>Open folder</t>
        </is>
      </c>
      <c r="P25" s="24" t="inlineStr">
        <is>
          <t>Not designed yet</t>
        </is>
      </c>
      <c r="Q25" s="24" t="n"/>
      <c r="R25" s="30" t="inlineStr">
        <is>
          <t>Idea</t>
        </is>
      </c>
      <c r="S25" s="30" t="n"/>
      <c r="T25" s="30" t="n"/>
      <c r="U25" s="30" t="n"/>
      <c r="V25" s="30" t="n"/>
      <c r="W25" s="30" t="n"/>
      <c r="X25" s="30" t="n"/>
      <c r="Y25" s="24" t="n"/>
      <c r="Z25" s="24" t="n"/>
      <c r="AA25" s="24" t="inlineStr">
        <is>
          <t>Not designed yet</t>
        </is>
      </c>
    </row>
    <row r="26" ht="57.45" customHeight="1" s="14">
      <c r="A26" s="29" t="n">
        <v>46284</v>
      </c>
      <c r="B26" s="30" t="inlineStr">
        <is>
          <t>Sat</t>
        </is>
      </c>
      <c r="C26" s="30" t="n">
        <v>5</v>
      </c>
      <c r="D26" s="30" t="inlineStr">
        <is>
          <t>Botox Education Month</t>
        </is>
      </c>
      <c r="E26" s="30" t="inlineStr">
        <is>
          <t>Single Image</t>
        </is>
      </c>
      <c r="F26" s="30" t="inlineStr">
        <is>
          <t>IG + FB + TikTok photo + GBP</t>
        </is>
      </c>
      <c r="G26" s="30" t="inlineStr">
        <is>
          <t>Trust &amp; Proof</t>
        </is>
      </c>
      <c r="H26" s="30" t="inlineStr">
        <is>
          <t>Client Words: Natural Results | Testimonial card.</t>
        </is>
      </c>
      <c r="I26" s="30" t="inlineStr">
        <is>
          <t>Nobody could tell. They just kept saying I looked happy and rested. That is the whole goal. 💛 (Shared with permission.)
#npinjector #nursepractitioner #medspalife #luxurybeauty #aestheticnurse #skincareexpert #beautyclinic #selfcare #naturalresults #honestbeauty</t>
        </is>
      </c>
      <c r="J26" s="30" t="inlineStr">
        <is>
          <t>Your turn. Link in bio</t>
        </is>
      </c>
      <c r="K26" s="30" t="inlineStr">
        <is>
          <t>Set C</t>
        </is>
      </c>
      <c r="L26" s="30" t="inlineStr">
        <is>
          <t>Testimonial quote card (with consent)</t>
        </is>
      </c>
      <c r="M26" s="24" t="n"/>
      <c r="N26" s="24" t="n"/>
      <c r="O26" s="34" t="inlineStr">
        <is>
          <t>Open folder</t>
        </is>
      </c>
      <c r="P26" s="24" t="inlineStr">
        <is>
          <t>Not designed yet</t>
        </is>
      </c>
      <c r="Q26" s="24" t="n"/>
      <c r="R26" s="30" t="inlineStr">
        <is>
          <t>Idea</t>
        </is>
      </c>
      <c r="S26" s="30" t="n"/>
      <c r="T26" s="30" t="n"/>
      <c r="U26" s="30" t="n"/>
      <c r="V26" s="30" t="n"/>
      <c r="W26" s="30" t="n"/>
      <c r="X26" s="30" t="n"/>
      <c r="Y26" s="24" t="n"/>
      <c r="Z26" s="24" t="n"/>
      <c r="AA26" s="24" t="inlineStr">
        <is>
          <t>Not designed yet</t>
        </is>
      </c>
    </row>
    <row r="27" ht="57.45" customHeight="1" s="14">
      <c r="A27" s="27" t="n">
        <v>46286</v>
      </c>
      <c r="B27" s="28" t="inlineStr">
        <is>
          <t>Mon</t>
        </is>
      </c>
      <c r="C27" s="28" t="n">
        <v>6</v>
      </c>
      <c r="D27" s="28" t="inlineStr">
        <is>
          <t>Botox Education Month</t>
        </is>
      </c>
      <c r="E27" s="28" t="inlineStr">
        <is>
          <t>Carousel</t>
        </is>
      </c>
      <c r="F27" s="28" t="inlineStr">
        <is>
          <t>Instagram feed + GBP</t>
        </is>
      </c>
      <c r="G27" s="28" t="inlineStr">
        <is>
          <t>Education</t>
        </is>
      </c>
      <c r="H27" s="28" t="inlineStr">
        <is>
          <t>Botox or Filler? You Might Be Asking for the Wrong One | Lines or volume? They are not the same problem.</t>
        </is>
      </c>
      <c r="I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J27" s="28" t="inlineStr">
        <is>
          <t>DM CONSULT and I will help</t>
        </is>
      </c>
      <c r="K27" s="28" t="inlineStr">
        <is>
          <t>Set B</t>
        </is>
      </c>
      <c r="L27" s="28" t="inlineStr">
        <is>
          <t>Design in editorial template</t>
        </is>
      </c>
      <c r="M27" s="24" t="n"/>
      <c r="N27" s="24" t="n"/>
      <c r="O27" s="32" t="inlineStr">
        <is>
          <t>Open folder</t>
        </is>
      </c>
      <c r="P27" s="24" t="inlineStr">
        <is>
          <t>Not designed yet</t>
        </is>
      </c>
      <c r="Q27" s="24" t="n"/>
      <c r="R27" s="28" t="inlineStr">
        <is>
          <t>Idea</t>
        </is>
      </c>
      <c r="S27" s="28" t="n"/>
      <c r="T27" s="28" t="n"/>
      <c r="U27" s="28" t="n"/>
      <c r="V27" s="28" t="n"/>
      <c r="W27" s="28" t="n"/>
      <c r="X27" s="28" t="n"/>
      <c r="Y27" s="24" t="n"/>
      <c r="Z27" s="24" t="n"/>
      <c r="AA27" s="24" t="inlineStr">
        <is>
          <t>Not designed yet</t>
        </is>
      </c>
    </row>
    <row r="28" ht="57.45" customHeight="1" s="14">
      <c r="A28" s="29" t="n">
        <v>46287</v>
      </c>
      <c r="B28" s="30" t="inlineStr">
        <is>
          <t>Tue</t>
        </is>
      </c>
      <c r="C28" s="30" t="n">
        <v>6</v>
      </c>
      <c r="D28" s="30" t="inlineStr">
        <is>
          <t>Botox Education Month</t>
        </is>
      </c>
      <c r="E28" s="30" t="inlineStr">
        <is>
          <t>Single Image</t>
        </is>
      </c>
      <c r="F28" s="30" t="inlineStr">
        <is>
          <t>IG + FB + TikTok photo + GBP</t>
        </is>
      </c>
      <c r="G28" s="30" t="inlineStr">
        <is>
          <t>Education</t>
        </is>
      </c>
      <c r="H28" s="30" t="inlineStr">
        <is>
          <t>Lines vs Volume | Which one is your concern?</t>
        </is>
      </c>
      <c r="I28" s="30" t="inlineStr">
        <is>
          <t>Smile in the mirror. Movement lines need Botox. Lost volume needs filler. The answer decides your plan.
#dermalfiller #lipfiller #cheekfiller #naturalfiller #facialbalancing #lipfillernatural #aestheticnurse #medspa #fillerjourney #lipgoals</t>
        </is>
      </c>
      <c r="J28" s="30" t="inlineStr">
        <is>
          <t>DM CONSULT for help</t>
        </is>
      </c>
      <c r="K28" s="30" t="inlineStr">
        <is>
          <t>Set B</t>
        </is>
      </c>
      <c r="L28" s="30" t="inlineStr">
        <is>
          <t>Single image: two-column explainer card</t>
        </is>
      </c>
      <c r="M28" s="24" t="n"/>
      <c r="N28" s="24" t="n"/>
      <c r="O28" s="34" t="inlineStr">
        <is>
          <t>Open folder</t>
        </is>
      </c>
      <c r="P28" s="24" t="inlineStr">
        <is>
          <t>Not designed yet</t>
        </is>
      </c>
      <c r="Q28" s="24" t="n"/>
      <c r="R28" s="30" t="inlineStr">
        <is>
          <t>Idea</t>
        </is>
      </c>
      <c r="S28" s="30" t="n"/>
      <c r="T28" s="30" t="n"/>
      <c r="U28" s="30" t="n"/>
      <c r="V28" s="30" t="n"/>
      <c r="W28" s="30" t="n"/>
      <c r="X28" s="30" t="n"/>
      <c r="Y28" s="24" t="n"/>
      <c r="Z28" s="24" t="n"/>
      <c r="AA28" s="24" t="inlineStr">
        <is>
          <t>Not designed yet</t>
        </is>
      </c>
    </row>
    <row r="29" ht="57.45" customHeight="1" s="14">
      <c r="A29" s="27" t="n">
        <v>46289</v>
      </c>
      <c r="B29" s="28" t="inlineStr">
        <is>
          <t>Thu</t>
        </is>
      </c>
      <c r="C29" s="28" t="n">
        <v>6</v>
      </c>
      <c r="D29" s="28" t="inlineStr">
        <is>
          <t>Botox Education Month</t>
        </is>
      </c>
      <c r="E29" s="28" t="inlineStr">
        <is>
          <t>Carousel</t>
        </is>
      </c>
      <c r="F29" s="28" t="inlineStr">
        <is>
          <t>Instagram feed + GBP</t>
        </is>
      </c>
      <c r="G29" s="28" t="inlineStr">
        <is>
          <t>Personality &amp; BTS</t>
        </is>
      </c>
      <c r="H29" s="28" t="inlineStr">
        <is>
          <t>Ask NP Cleo: Your Questions, Answered Honestly | You asked. I answered. No filter.</t>
        </is>
      </c>
      <c r="I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J29" s="28" t="inlineStr">
        <is>
          <t>Drop your question below</t>
        </is>
      </c>
      <c r="K29" s="28" t="inlineStr">
        <is>
          <t>Set C</t>
        </is>
      </c>
      <c r="L29" s="28" t="inlineStr">
        <is>
          <t>Design Q&amp;A layout from real DM questions</t>
        </is>
      </c>
      <c r="M29" s="24" t="n"/>
      <c r="N29" s="24" t="n"/>
      <c r="O29" s="32" t="inlineStr">
        <is>
          <t>Open folder</t>
        </is>
      </c>
      <c r="P29" s="24" t="inlineStr">
        <is>
          <t>Not designed yet</t>
        </is>
      </c>
      <c r="Q29" s="24" t="n"/>
      <c r="R29" s="28" t="inlineStr">
        <is>
          <t>Idea</t>
        </is>
      </c>
      <c r="S29" s="28" t="n"/>
      <c r="T29" s="28" t="n"/>
      <c r="U29" s="28" t="n"/>
      <c r="V29" s="28" t="n"/>
      <c r="W29" s="28" t="n"/>
      <c r="X29" s="28" t="n"/>
      <c r="Y29" s="24" t="n"/>
      <c r="Z29" s="24" t="n"/>
      <c r="AA29" s="24" t="inlineStr">
        <is>
          <t>Not designed yet</t>
        </is>
      </c>
    </row>
    <row r="30" ht="57.45" customHeight="1" s="14">
      <c r="A30" s="29" t="n">
        <v>46290</v>
      </c>
      <c r="B30" s="30" t="inlineStr">
        <is>
          <t>Fri</t>
        </is>
      </c>
      <c r="C30" s="30" t="n">
        <v>6</v>
      </c>
      <c r="D30" s="30" t="inlineStr">
        <is>
          <t>Botox Education Month</t>
        </is>
      </c>
      <c r="E30" s="30" t="inlineStr">
        <is>
          <t>Single Image</t>
        </is>
      </c>
      <c r="F30" s="30" t="inlineStr">
        <is>
          <t>IG + FB + TikTok photo + GBP</t>
        </is>
      </c>
      <c r="G30" s="30" t="inlineStr">
        <is>
          <t>Personality &amp; BTS</t>
        </is>
      </c>
      <c r="H30" s="30" t="inlineStr">
        <is>
          <t>Your DMs, Answered | The question everyone asks quietly.</t>
        </is>
      </c>
      <c r="I30" s="30" t="inlineStr">
        <is>
          <t>You asked: will people know I had work done? Honest answer: only if you want them to. Subtle is the standard here.
#npinjector #nursepractitioner #medspalife #luxurybeauty #aestheticnurse #skincareexpert #beautyclinic #selfcare #naturalresults #honestbeauty</t>
        </is>
      </c>
      <c r="J30" s="30" t="inlineStr">
        <is>
          <t>Send your question</t>
        </is>
      </c>
      <c r="K30" s="30" t="inlineStr">
        <is>
          <t>Set C</t>
        </is>
      </c>
      <c r="L30" s="30" t="inlineStr">
        <is>
          <t>Single image: Q&amp;A card in brand style</t>
        </is>
      </c>
      <c r="M30" s="24" t="n"/>
      <c r="N30" s="24" t="n"/>
      <c r="O30" s="34" t="inlineStr">
        <is>
          <t>Open folder</t>
        </is>
      </c>
      <c r="P30" s="24" t="inlineStr">
        <is>
          <t>Not designed yet</t>
        </is>
      </c>
      <c r="Q30" s="24" t="n"/>
      <c r="R30" s="30" t="inlineStr">
        <is>
          <t>Idea</t>
        </is>
      </c>
      <c r="S30" s="30" t="n"/>
      <c r="T30" s="30" t="n"/>
      <c r="U30" s="30" t="n"/>
      <c r="V30" s="30" t="n"/>
      <c r="W30" s="30" t="n"/>
      <c r="X30" s="30" t="n"/>
      <c r="Y30" s="24" t="n"/>
      <c r="Z30" s="24" t="n"/>
      <c r="AA30" s="24" t="inlineStr">
        <is>
          <t>Not designed yet</t>
        </is>
      </c>
    </row>
    <row r="31" ht="57.45" customHeight="1" s="14">
      <c r="A31" s="29" t="n">
        <v>46291</v>
      </c>
      <c r="B31" s="30" t="inlineStr">
        <is>
          <t>Sat</t>
        </is>
      </c>
      <c r="C31" s="30" t="n">
        <v>6</v>
      </c>
      <c r="D31" s="30" t="inlineStr">
        <is>
          <t>Botox Education Month</t>
        </is>
      </c>
      <c r="E31" s="30" t="inlineStr">
        <is>
          <t>Single Image</t>
        </is>
      </c>
      <c r="F31" s="30" t="inlineStr">
        <is>
          <t>IG + FB + TikTok photo + GBP</t>
        </is>
      </c>
      <c r="G31" s="30" t="inlineStr">
        <is>
          <t>Personality &amp; BTS</t>
        </is>
      </c>
      <c r="H31" s="30" t="inlineStr">
        <is>
          <t>Poll: What Should NP Cleo Cover Next? | Audience chooses next month's content.</t>
        </is>
      </c>
      <c r="I31" s="30" t="inlineStr">
        <is>
          <t>October is filler month. What do you want the truth about first: lips, cheeks, or under eyes? Vote. 👇
#npinjector #nursepractitioner #medspalife #luxurybeauty #aestheticnurse #skincareexpert #beautyclinic #selfcare #naturalresults #honestbeauty</t>
        </is>
      </c>
      <c r="J31" s="30" t="inlineStr">
        <is>
          <t>Vote in comments</t>
        </is>
      </c>
      <c r="K31" s="30" t="inlineStr">
        <is>
          <t>Set C</t>
        </is>
      </c>
      <c r="L31" s="30" t="inlineStr">
        <is>
          <t>Poll card + matching story poll</t>
        </is>
      </c>
      <c r="M31" s="24" t="n"/>
      <c r="N31" s="24" t="n"/>
      <c r="O31" s="34" t="inlineStr">
        <is>
          <t>Open folder</t>
        </is>
      </c>
      <c r="P31" s="24" t="inlineStr">
        <is>
          <t>Not designed yet</t>
        </is>
      </c>
      <c r="Q31" s="24" t="n"/>
      <c r="R31" s="30" t="inlineStr">
        <is>
          <t>Idea</t>
        </is>
      </c>
      <c r="S31" s="30" t="n"/>
      <c r="T31" s="30" t="n"/>
      <c r="U31" s="30" t="n"/>
      <c r="V31" s="30" t="n"/>
      <c r="W31" s="30" t="n"/>
      <c r="X31" s="30" t="n"/>
      <c r="Y31" s="24" t="n"/>
      <c r="Z31" s="24" t="n"/>
      <c r="AA31" s="24" t="inlineStr">
        <is>
          <t>Not designed yet</t>
        </is>
      </c>
    </row>
    <row r="32" ht="57.45" customHeight="1" s="14">
      <c r="A32" s="27" t="n">
        <v>46293</v>
      </c>
      <c r="B32" s="28" t="inlineStr">
        <is>
          <t>Mon</t>
        </is>
      </c>
      <c r="C32" s="28" t="n">
        <v>7</v>
      </c>
      <c r="D32" s="28" t="inlineStr">
        <is>
          <t>Botox Education Month</t>
        </is>
      </c>
      <c r="E32" s="28" t="inlineStr">
        <is>
          <t>Carousel</t>
        </is>
      </c>
      <c r="F32" s="28" t="inlineStr">
        <is>
          <t>Instagram feed + GBP</t>
        </is>
      </c>
      <c r="G32" s="28" t="inlineStr">
        <is>
          <t>Education</t>
        </is>
      </c>
      <c r="H32" s="28" t="inlineStr">
        <is>
          <t>How Long Does Botox Really Last? | The honest timeline, month by month.</t>
        </is>
      </c>
      <c r="I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J32" s="28" t="inlineStr">
        <is>
          <t>Save this timeline</t>
        </is>
      </c>
      <c r="K32" s="28" t="inlineStr">
        <is>
          <t>Set A</t>
        </is>
      </c>
      <c r="L32" s="28" t="inlineStr">
        <is>
          <t>Design timeline layout in editorial template</t>
        </is>
      </c>
      <c r="M32" s="24" t="n"/>
      <c r="N32" s="24" t="n"/>
      <c r="O32" s="32" t="inlineStr">
        <is>
          <t>Open folder</t>
        </is>
      </c>
      <c r="P32" s="24" t="inlineStr">
        <is>
          <t>Not designed yet</t>
        </is>
      </c>
      <c r="Q32" s="24" t="n"/>
      <c r="R32" s="28" t="inlineStr">
        <is>
          <t>Idea</t>
        </is>
      </c>
      <c r="S32" s="28" t="n"/>
      <c r="T32" s="28" t="n"/>
      <c r="U32" s="28" t="n"/>
      <c r="V32" s="28" t="n"/>
      <c r="W32" s="28" t="n"/>
      <c r="X32" s="28" t="n"/>
      <c r="Y32" s="24" t="n"/>
      <c r="Z32" s="24" t="n"/>
      <c r="AA32" s="24" t="inlineStr">
        <is>
          <t>Not designed yet</t>
        </is>
      </c>
    </row>
    <row r="33" ht="57.45" customHeight="1" s="14">
      <c r="A33" s="29" t="n">
        <v>46294</v>
      </c>
      <c r="B33" s="30" t="inlineStr">
        <is>
          <t>Tue</t>
        </is>
      </c>
      <c r="C33" s="30" t="n">
        <v>7</v>
      </c>
      <c r="D33" s="30" t="inlineStr">
        <is>
          <t>Botox Education Month</t>
        </is>
      </c>
      <c r="E33" s="30" t="inlineStr">
        <is>
          <t>Single Image</t>
        </is>
      </c>
      <c r="F33" s="30" t="inlineStr">
        <is>
          <t>IG + FB + TikTok photo + GBP</t>
        </is>
      </c>
      <c r="G33" s="30" t="inlineStr">
        <is>
          <t>Education</t>
        </is>
      </c>
      <c r="H33" s="30" t="inlineStr">
        <is>
          <t>The 3-Month Botox Timeline | Week by week, what to expect.</t>
        </is>
      </c>
      <c r="I33" s="30" t="inlineStr">
        <is>
          <t>Day 3 it starts. Week 2 it settles. Month 3 it softens. Save this so you know exactly what is normal.
#botox #botoxeducation #botoxmyths #preventativebotox #antiwrinkleinjections #nurseinjector #medspa #naturalbotox #botoxbeforeandafter #aestheticnurse</t>
        </is>
      </c>
      <c r="J33" s="30" t="inlineStr">
        <is>
          <t>Save this timeline</t>
        </is>
      </c>
      <c r="K33" s="30" t="inlineStr">
        <is>
          <t>Set A</t>
        </is>
      </c>
      <c r="L33" s="30" t="inlineStr">
        <is>
          <t>Single image: timeline infographic card</t>
        </is>
      </c>
      <c r="M33" s="24" t="n"/>
      <c r="N33" s="24" t="n"/>
      <c r="O33" s="34" t="inlineStr">
        <is>
          <t>Open folder</t>
        </is>
      </c>
      <c r="P33" s="24" t="inlineStr">
        <is>
          <t>Not designed yet</t>
        </is>
      </c>
      <c r="Q33" s="24" t="n"/>
      <c r="R33" s="30" t="inlineStr">
        <is>
          <t>Idea</t>
        </is>
      </c>
      <c r="S33" s="30" t="n"/>
      <c r="T33" s="30" t="n"/>
      <c r="U33" s="30" t="n"/>
      <c r="V33" s="30" t="n"/>
      <c r="W33" s="30" t="n"/>
      <c r="X33" s="30" t="n"/>
      <c r="Y33" s="24" t="n"/>
      <c r="Z33" s="24" t="n"/>
      <c r="AA33" s="24" t="inlineStr">
        <is>
          <t>Not designed yet</t>
        </is>
      </c>
    </row>
    <row r="34" ht="57.45" customHeight="1" s="14">
      <c r="A34" s="27" t="n">
        <v>46296</v>
      </c>
      <c r="B34" s="28" t="inlineStr">
        <is>
          <t>Thu</t>
        </is>
      </c>
      <c r="C34" s="28" t="n">
        <v>7</v>
      </c>
      <c r="D34" s="28" t="inlineStr">
        <is>
          <t>Fillers, Naturally</t>
        </is>
      </c>
      <c r="E34" s="28" t="inlineStr">
        <is>
          <t>Carousel</t>
        </is>
      </c>
      <c r="F34" s="28" t="inlineStr">
        <is>
          <t>Instagram feed + GBP</t>
        </is>
      </c>
      <c r="G34" s="28" t="inlineStr">
        <is>
          <t>Trust &amp; Proof</t>
        </is>
      </c>
      <c r="H34" s="28" t="inlineStr">
        <is>
          <t>Why We Sometimes Say No | A provider who says yes to everyone is a red flag.</t>
        </is>
      </c>
      <c r="I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J34" s="28" t="inlineStr">
        <is>
          <t>Book an honest consult</t>
        </is>
      </c>
      <c r="K34" s="28" t="inlineStr">
        <is>
          <t>Set C</t>
        </is>
      </c>
      <c r="L34" s="28" t="inlineStr">
        <is>
          <t>Design in editorial template</t>
        </is>
      </c>
      <c r="M34" s="24" t="n"/>
      <c r="N34" s="24" t="n"/>
      <c r="O34" s="32" t="inlineStr">
        <is>
          <t>Open folder</t>
        </is>
      </c>
      <c r="P34" s="24" t="inlineStr">
        <is>
          <t>Not designed yet</t>
        </is>
      </c>
      <c r="Q34" s="24" t="n"/>
      <c r="R34" s="28" t="inlineStr">
        <is>
          <t>Idea</t>
        </is>
      </c>
      <c r="S34" s="28" t="n"/>
      <c r="T34" s="28" t="n"/>
      <c r="U34" s="28" t="n"/>
      <c r="V34" s="28" t="n"/>
      <c r="W34" s="28" t="n"/>
      <c r="X34" s="28" t="n"/>
      <c r="Y34" s="24" t="n"/>
      <c r="Z34" s="24" t="n"/>
      <c r="AA34" s="24" t="inlineStr">
        <is>
          <t>Not designed yet</t>
        </is>
      </c>
    </row>
    <row r="35" ht="57.45" customHeight="1" s="14">
      <c r="A35" s="29" t="n">
        <v>46297</v>
      </c>
      <c r="B35" s="30" t="inlineStr">
        <is>
          <t>Fri</t>
        </is>
      </c>
      <c r="C35" s="30" t="n">
        <v>7</v>
      </c>
      <c r="D35" s="30" t="inlineStr">
        <is>
          <t>Fillers, Naturally</t>
        </is>
      </c>
      <c r="E35" s="30" t="inlineStr">
        <is>
          <t>Single Image</t>
        </is>
      </c>
      <c r="F35" s="30" t="inlineStr">
        <is>
          <t>IG + FB + TikTok photo + GBP</t>
        </is>
      </c>
      <c r="G35" s="30" t="inlineStr">
        <is>
          <t>Trust &amp; Proof</t>
        </is>
      </c>
      <c r="H35" s="30" t="inlineStr">
        <is>
          <t>What I Tell Every First-Timer | The pep talk before every first appointment.</t>
        </is>
      </c>
      <c r="I35" s="30" t="inlineStr">
        <is>
          <t>You do not need to know the treatment names. You just need to show up honest about your goals. I handle the rest. 💛
#npinjector #nursepractitioner #medspalife #luxurybeauty #aestheticnurse #skincareexpert #beautyclinic #selfcare #naturalresults #honestbeauty</t>
        </is>
      </c>
      <c r="J35" s="30" t="inlineStr">
        <is>
          <t>Book your first visit</t>
        </is>
      </c>
      <c r="K35" s="30" t="inlineStr">
        <is>
          <t>Set C</t>
        </is>
      </c>
      <c r="L35" s="30" t="inlineStr">
        <is>
          <t>Single image: Cleo photo + quote overlay</t>
        </is>
      </c>
      <c r="M35" s="24" t="n"/>
      <c r="N35" s="24" t="n"/>
      <c r="O35" s="34" t="inlineStr">
        <is>
          <t>Open folder</t>
        </is>
      </c>
      <c r="P35" s="24" t="inlineStr">
        <is>
          <t>Not designed yet</t>
        </is>
      </c>
      <c r="Q35" s="24" t="n"/>
      <c r="R35" s="30" t="inlineStr">
        <is>
          <t>Idea</t>
        </is>
      </c>
      <c r="S35" s="30" t="n"/>
      <c r="T35" s="30" t="n"/>
      <c r="U35" s="30" t="n"/>
      <c r="V35" s="30" t="n"/>
      <c r="W35" s="30" t="n"/>
      <c r="X35" s="30" t="n"/>
      <c r="Y35" s="24" t="n"/>
      <c r="Z35" s="24" t="n"/>
      <c r="AA35" s="24" t="inlineStr">
        <is>
          <t>Not designed yet</t>
        </is>
      </c>
    </row>
    <row r="36" ht="46.25" customHeight="1" s="14">
      <c r="A36" s="29" t="n">
        <v>46298</v>
      </c>
      <c r="B36" s="30" t="inlineStr">
        <is>
          <t>Sat</t>
        </is>
      </c>
      <c r="C36" s="30" t="n">
        <v>7</v>
      </c>
      <c r="D36" s="30" t="inlineStr">
        <is>
          <t>Fillers, Naturally</t>
        </is>
      </c>
      <c r="E36" s="30" t="inlineStr">
        <is>
          <t>Single Image</t>
        </is>
      </c>
      <c r="F36" s="30" t="inlineStr">
        <is>
          <t>IG + FB + TikTok photo + GBP</t>
        </is>
      </c>
      <c r="G36" s="30" t="inlineStr">
        <is>
          <t>Trust &amp; Proof</t>
        </is>
      </c>
      <c r="H36" s="30" t="inlineStr">
        <is>
          <t>Quote: No Is Protection | Brand quote card.</t>
        </is>
      </c>
      <c r="I36" s="30" t="inlineStr">
        <is>
          <t>An honest provider will sometimes tell you no. That is protection, not rejection.
#npinjector #nursepractitioner #medspalife #luxurybeauty #aestheticnurse #skincareexpert #beautyclinic #selfcare #naturalresults #honestbeauty</t>
        </is>
      </c>
      <c r="J36" s="30" t="inlineStr">
        <is>
          <t>Share this</t>
        </is>
      </c>
      <c r="K36" s="30" t="inlineStr">
        <is>
          <t>Set C</t>
        </is>
      </c>
      <c r="L36" s="30" t="inlineStr">
        <is>
          <t>Quote card in brand style</t>
        </is>
      </c>
      <c r="M36" s="24" t="n"/>
      <c r="N36" s="24" t="n"/>
      <c r="O36" s="34" t="inlineStr">
        <is>
          <t>Open folder</t>
        </is>
      </c>
      <c r="P36" s="24" t="inlineStr">
        <is>
          <t>Not designed yet</t>
        </is>
      </c>
      <c r="Q36" s="24" t="n"/>
      <c r="R36" s="30" t="inlineStr">
        <is>
          <t>Idea</t>
        </is>
      </c>
      <c r="S36" s="30" t="n"/>
      <c r="T36" s="30" t="n"/>
      <c r="U36" s="30" t="n"/>
      <c r="V36" s="30" t="n"/>
      <c r="W36" s="30" t="n"/>
      <c r="X36" s="30" t="n"/>
      <c r="Y36" s="24" t="n"/>
      <c r="Z36" s="24" t="n"/>
      <c r="AA36" s="24" t="inlineStr">
        <is>
          <t>Not designed yet</t>
        </is>
      </c>
    </row>
    <row r="37" ht="57.45" customHeight="1" s="14">
      <c r="A37" s="27" t="n">
        <v>46300</v>
      </c>
      <c r="B37" s="28" t="inlineStr">
        <is>
          <t>Mon</t>
        </is>
      </c>
      <c r="C37" s="28" t="n">
        <v>8</v>
      </c>
      <c r="D37" s="28" t="inlineStr">
        <is>
          <t>Fillers, Naturally</t>
        </is>
      </c>
      <c r="E37" s="28" t="inlineStr">
        <is>
          <t>Carousel</t>
        </is>
      </c>
      <c r="F37" s="28" t="inlineStr">
        <is>
          <t>Instagram feed + GBP</t>
        </is>
      </c>
      <c r="G37" s="28" t="inlineStr">
        <is>
          <t>Education</t>
        </is>
      </c>
      <c r="H37" s="28" t="inlineStr">
        <is>
          <t>Filler Won't Make You Look Fake. Bad Technique Does. | The fear is real. The cause is not what you think.</t>
        </is>
      </c>
      <c r="I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J37" s="28" t="inlineStr">
        <is>
          <t>DM FILLER for a consult</t>
        </is>
      </c>
      <c r="K37" s="28" t="inlineStr">
        <is>
          <t>Set B</t>
        </is>
      </c>
      <c r="L37" s="28" t="inlineStr">
        <is>
          <t>Design in editorial template. October filler month opener</t>
        </is>
      </c>
      <c r="M37" s="24" t="n"/>
      <c r="N37" s="24" t="n"/>
      <c r="O37" s="32" t="inlineStr">
        <is>
          <t>Open folder</t>
        </is>
      </c>
      <c r="P37" s="24" t="inlineStr">
        <is>
          <t>Not designed yet</t>
        </is>
      </c>
      <c r="Q37" s="24" t="n"/>
      <c r="R37" s="28" t="inlineStr">
        <is>
          <t>Idea</t>
        </is>
      </c>
      <c r="S37" s="28" t="n"/>
      <c r="T37" s="28" t="n"/>
      <c r="U37" s="28" t="n"/>
      <c r="V37" s="28" t="n"/>
      <c r="W37" s="28" t="n"/>
      <c r="X37" s="28" t="n"/>
      <c r="Y37" s="24" t="n"/>
      <c r="Z37" s="24" t="n"/>
      <c r="AA37" s="24" t="inlineStr">
        <is>
          <t>Not designed yet</t>
        </is>
      </c>
    </row>
    <row r="38" ht="57.45" customHeight="1" s="14">
      <c r="A38" s="29" t="n">
        <v>46301</v>
      </c>
      <c r="B38" s="30" t="inlineStr">
        <is>
          <t>Tue</t>
        </is>
      </c>
      <c r="C38" s="30" t="n">
        <v>8</v>
      </c>
      <c r="D38" s="30" t="inlineStr">
        <is>
          <t>Fillers, Naturally</t>
        </is>
      </c>
      <c r="E38" s="30" t="inlineStr">
        <is>
          <t>Single Image</t>
        </is>
      </c>
      <c r="F38" s="30" t="inlineStr">
        <is>
          <t>IG + FB + TikTok photo + GBP</t>
        </is>
      </c>
      <c r="G38" s="30" t="inlineStr">
        <is>
          <t>Education</t>
        </is>
      </c>
      <c r="H38" s="30" t="inlineStr">
        <is>
          <t>Service Spotlight: Dermal Filler | Volume where you lost it. Nowhere else.</t>
        </is>
      </c>
      <c r="I38" s="30" t="inlineStr">
        <is>
          <t>Filler is not about changing your face. It is about restoring what time quietly took. October is filler month. 👀
#dermalfiller #lipfiller #cheekfiller #naturalfiller #facialbalancing #lipfillernatural #aestheticnurse #medspa #fillerjourney #lipgoals</t>
        </is>
      </c>
      <c r="J38" s="30" t="inlineStr">
        <is>
          <t>DM FILLER to start</t>
        </is>
      </c>
      <c r="K38" s="30" t="inlineStr">
        <is>
          <t>Set B</t>
        </is>
      </c>
      <c r="L38" s="30" t="inlineStr">
        <is>
          <t>Single image: filler product or treatment photo + hook</t>
        </is>
      </c>
      <c r="M38" s="24" t="n"/>
      <c r="N38" s="24" t="n"/>
      <c r="O38" s="34" t="inlineStr">
        <is>
          <t>Open folder</t>
        </is>
      </c>
      <c r="P38" s="24" t="inlineStr">
        <is>
          <t>Not designed yet</t>
        </is>
      </c>
      <c r="Q38" s="24" t="n"/>
      <c r="R38" s="30" t="inlineStr">
        <is>
          <t>Idea</t>
        </is>
      </c>
      <c r="S38" s="30" t="n"/>
      <c r="T38" s="30" t="n"/>
      <c r="U38" s="30" t="n"/>
      <c r="V38" s="30" t="n"/>
      <c r="W38" s="30" t="n"/>
      <c r="X38" s="30" t="n"/>
      <c r="Y38" s="24" t="n"/>
      <c r="Z38" s="24" t="n"/>
      <c r="AA38" s="24" t="inlineStr">
        <is>
          <t>Not designed yet</t>
        </is>
      </c>
    </row>
    <row r="39" ht="57.45" customHeight="1" s="14">
      <c r="A39" s="27" t="n">
        <v>46303</v>
      </c>
      <c r="B39" s="28" t="inlineStr">
        <is>
          <t>Thu</t>
        </is>
      </c>
      <c r="C39" s="28" t="n">
        <v>8</v>
      </c>
      <c r="D39" s="28" t="inlineStr">
        <is>
          <t>Fillers, Naturally</t>
        </is>
      </c>
      <c r="E39" s="28" t="inlineStr">
        <is>
          <t>Carousel</t>
        </is>
      </c>
      <c r="F39" s="28" t="inlineStr">
        <is>
          <t>Instagram feed + GBP</t>
        </is>
      </c>
      <c r="G39" s="28" t="inlineStr">
        <is>
          <t>Education</t>
        </is>
      </c>
      <c r="H39" s="28" t="inlineStr">
        <is>
          <t>Lip Filler: Natural vs Overdone | The difference is the injector.</t>
        </is>
      </c>
      <c r="I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J39" s="28" t="inlineStr">
        <is>
          <t>Save before you book anywhere</t>
        </is>
      </c>
      <c r="K39" s="28" t="inlineStr">
        <is>
          <t>Set B</t>
        </is>
      </c>
      <c r="L39" s="28" t="inlineStr">
        <is>
          <t>READY: before and after result card in this post's folder</t>
        </is>
      </c>
      <c r="M39" s="24" t="inlineStr">
        <is>
          <t>img_9908 (before), img_9912 (after)</t>
        </is>
      </c>
      <c r="N39" s="24" t="inlineStr">
        <is>
          <t>Not needed</t>
        </is>
      </c>
      <c r="O39" s="32" t="inlineStr">
        <is>
          <t>Open folder</t>
        </is>
      </c>
      <c r="P39" s="33" t="inlineStr">
        <is>
          <t>View image</t>
        </is>
      </c>
      <c r="Q39" s="24">
        <f>IMAGE("https://raw.githubusercontent.com/RepoKing23/InstagramCarousel/claude/convert-images-jpg-5jeayb/content/2026-10-08-lip-filler-natural-vs-overdone/images/before-after-result.png")</f>
        <v/>
      </c>
      <c r="R39" s="28" t="inlineStr">
        <is>
          <t>Ready</t>
        </is>
      </c>
      <c r="S39" s="28" t="n"/>
      <c r="T39" s="28" t="n"/>
      <c r="U39" s="28" t="n"/>
      <c r="V39" s="28" t="n"/>
      <c r="W39" s="28" t="n"/>
      <c r="X39" s="28" t="n"/>
      <c r="Y39" s="24" t="n"/>
      <c r="Z39" s="24" t="n"/>
      <c r="AA39" s="24" t="inlineStr">
        <is>
          <t>Not designed yet</t>
        </is>
      </c>
    </row>
    <row r="40" ht="46.25" customHeight="1" s="14">
      <c r="A40" s="29" t="n">
        <v>46304</v>
      </c>
      <c r="B40" s="30" t="inlineStr">
        <is>
          <t>Fri</t>
        </is>
      </c>
      <c r="C40" s="30" t="n">
        <v>8</v>
      </c>
      <c r="D40" s="30" t="inlineStr">
        <is>
          <t>Fillers, Naturally</t>
        </is>
      </c>
      <c r="E40" s="30" t="inlineStr">
        <is>
          <t>Single Image</t>
        </is>
      </c>
      <c r="F40" s="30" t="inlineStr">
        <is>
          <t>IG + FB + TikTok photo + GBP</t>
        </is>
      </c>
      <c r="G40" s="30" t="inlineStr">
        <is>
          <t>Personality &amp; BTS</t>
        </is>
      </c>
      <c r="H40" s="30" t="inlineStr">
        <is>
          <t>Inside the Filler Appointment | Planned to the last drop.</t>
        </is>
      </c>
      <c r="I40" s="30" t="inlineStr">
        <is>
          <t>Cannulas, numbing, and a plan drawn before we start. This is what careful looks like.
#dermalfiller #lipfiller #cheekfiller #naturalfiller #facialbalancing #lipfillernatural #aestheticnurse #medspa #fillerjourney #lipgoals</t>
        </is>
      </c>
      <c r="J40" s="30" t="inlineStr">
        <is>
          <t>Follow for filler month</t>
        </is>
      </c>
      <c r="K40" s="30" t="inlineStr">
        <is>
          <t>Set B</t>
        </is>
      </c>
      <c r="L40" s="30" t="inlineStr">
        <is>
          <t>Single image: filler prep photo + hook</t>
        </is>
      </c>
      <c r="M40" s="24" t="n"/>
      <c r="N40" s="24" t="n"/>
      <c r="O40" s="34" t="inlineStr">
        <is>
          <t>Open folder</t>
        </is>
      </c>
      <c r="P40" s="24" t="inlineStr">
        <is>
          <t>Not designed yet</t>
        </is>
      </c>
      <c r="Q40" s="24" t="n"/>
      <c r="R40" s="30" t="inlineStr">
        <is>
          <t>Idea</t>
        </is>
      </c>
      <c r="S40" s="30" t="n"/>
      <c r="T40" s="30" t="n"/>
      <c r="U40" s="30" t="n"/>
      <c r="V40" s="30" t="n"/>
      <c r="W40" s="30" t="n"/>
      <c r="X40" s="30" t="n"/>
      <c r="Y40" s="24" t="n"/>
      <c r="Z40" s="24" t="n"/>
      <c r="AA40" s="24" t="inlineStr">
        <is>
          <t>Not designed yet</t>
        </is>
      </c>
    </row>
    <row r="41" ht="46.25" customHeight="1" s="14">
      <c r="A41" s="29" t="n">
        <v>46305</v>
      </c>
      <c r="B41" s="30" t="inlineStr">
        <is>
          <t>Sat</t>
        </is>
      </c>
      <c r="C41" s="30" t="n">
        <v>8</v>
      </c>
      <c r="D41" s="30" t="inlineStr">
        <is>
          <t>Fillers, Naturally</t>
        </is>
      </c>
      <c r="E41" s="30" t="inlineStr">
        <is>
          <t>Before/After</t>
        </is>
      </c>
      <c r="F41" s="30" t="inlineStr">
        <is>
          <t>IG + FB + TikTok photo + GBP</t>
        </is>
      </c>
      <c r="G41" s="30" t="inlineStr">
        <is>
          <t>Trust &amp; Proof</t>
        </is>
      </c>
      <c r="H41" s="30" t="inlineStr">
        <is>
          <t>Subtle Is the New Dramatic | The quote, proved.</t>
        </is>
      </c>
      <c r="I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J41" s="30" t="inlineStr">
        <is>
          <t>Save this</t>
        </is>
      </c>
      <c r="K41" s="30" t="inlineStr">
        <is>
          <t>Set C</t>
        </is>
      </c>
      <c r="L41" s="30" t="inlineStr">
        <is>
          <t>Before and after card in editorial template. Crop to treatment area, no faces</t>
        </is>
      </c>
      <c r="M41" s="24" t="inlineStr">
        <is>
          <t>img_1119 (before), img_1123 (after)</t>
        </is>
      </c>
      <c r="N41" s="24" t="inlineStr">
        <is>
          <t>On file</t>
        </is>
      </c>
      <c r="O41" s="34" t="inlineStr">
        <is>
          <t>Open folder</t>
        </is>
      </c>
      <c r="P41" s="33" t="inlineStr">
        <is>
          <t>View image</t>
        </is>
      </c>
      <c r="Q41" s="24">
        <f>IMAGE("https://raw.githubusercontent.com/RepoKing23/InstagramCarousel/claude/convert-images-jpg-5jeayb/content/2026-10-10-subtle-is-the-new-dramatic/images/before-after-result.png")</f>
        <v/>
      </c>
      <c r="R41" s="30" t="inlineStr">
        <is>
          <t>Ready</t>
        </is>
      </c>
      <c r="S41" s="30" t="n"/>
      <c r="T41" s="30" t="n"/>
      <c r="U41" s="30" t="n"/>
      <c r="V41" s="30" t="n"/>
      <c r="W41" s="30" t="n"/>
      <c r="X41" s="30" t="n"/>
      <c r="Y41" s="24" t="n"/>
      <c r="Z41" s="24" t="n"/>
      <c r="AA41" s="24" t="inlineStr">
        <is>
          <t>Not designed yet</t>
        </is>
      </c>
    </row>
    <row r="42" ht="57.45" customHeight="1" s="14">
      <c r="A42" s="27" t="n">
        <v>46307</v>
      </c>
      <c r="B42" s="28" t="inlineStr">
        <is>
          <t>Mon</t>
        </is>
      </c>
      <c r="C42" s="28" t="n">
        <v>9</v>
      </c>
      <c r="D42" s="28" t="inlineStr">
        <is>
          <t>Fillers, Naturally</t>
        </is>
      </c>
      <c r="E42" s="28" t="inlineStr">
        <is>
          <t>Carousel</t>
        </is>
      </c>
      <c r="F42" s="28" t="inlineStr">
        <is>
          <t>Instagram feed + GBP</t>
        </is>
      </c>
      <c r="G42" s="28" t="inlineStr">
        <is>
          <t>Education</t>
        </is>
      </c>
      <c r="H42" s="28" t="inlineStr">
        <is>
          <t>Cheek Filler: The Secret Nobody Talks About | The treatment behind the best natural glow-ups.</t>
        </is>
      </c>
      <c r="I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J42" s="28" t="inlineStr">
        <is>
          <t>DM CHEEKS to learn more</t>
        </is>
      </c>
      <c r="K42" s="28" t="inlineStr">
        <is>
          <t>Set B</t>
        </is>
      </c>
      <c r="L42" s="28" t="inlineStr">
        <is>
          <t>Design in editorial template</t>
        </is>
      </c>
      <c r="M42" s="24" t="n"/>
      <c r="N42" s="24" t="n"/>
      <c r="O42" s="32" t="inlineStr">
        <is>
          <t>Open folder</t>
        </is>
      </c>
      <c r="P42" s="24" t="inlineStr">
        <is>
          <t>Not designed yet</t>
        </is>
      </c>
      <c r="Q42" s="24" t="n"/>
      <c r="R42" s="28" t="inlineStr">
        <is>
          <t>Idea</t>
        </is>
      </c>
      <c r="S42" s="28" t="n"/>
      <c r="T42" s="28" t="n"/>
      <c r="U42" s="28" t="n"/>
      <c r="V42" s="28" t="n"/>
      <c r="W42" s="28" t="n"/>
      <c r="X42" s="28" t="n"/>
      <c r="Y42" s="24" t="n"/>
      <c r="Z42" s="24" t="n"/>
      <c r="AA42" s="24" t="inlineStr">
        <is>
          <t>Not designed yet</t>
        </is>
      </c>
    </row>
    <row r="43" ht="57.45" customHeight="1" s="14">
      <c r="A43" s="29" t="n">
        <v>46308</v>
      </c>
      <c r="B43" s="30" t="inlineStr">
        <is>
          <t>Tue</t>
        </is>
      </c>
      <c r="C43" s="30" t="n">
        <v>9</v>
      </c>
      <c r="D43" s="30" t="inlineStr">
        <is>
          <t>Fillers, Naturally</t>
        </is>
      </c>
      <c r="E43" s="30" t="inlineStr">
        <is>
          <t>Single Image</t>
        </is>
      </c>
      <c r="F43" s="30" t="inlineStr">
        <is>
          <t>IG + FB + TikTok photo + GBP</t>
        </is>
      </c>
      <c r="G43" s="30" t="inlineStr">
        <is>
          <t>Education</t>
        </is>
      </c>
      <c r="H43" s="30" t="inlineStr">
        <is>
          <t>Service Spotlight: Cheek Filler | The lift nobody talks about.</t>
        </is>
      </c>
      <c r="I43" s="30" t="inlineStr">
        <is>
          <t>Lifted, refreshed, never puffy. Cheek filler is quietly behind the most natural glow-ups you have seen.
#dermalfiller #lipfiller #cheekfiller #naturalfiller #facialbalancing #lipfillernatural #aestheticnurse #medspa #fillerjourney #lipgoals</t>
        </is>
      </c>
      <c r="J43" s="30" t="inlineStr">
        <is>
          <t>DM CHEEKS to learn more</t>
        </is>
      </c>
      <c r="K43" s="30" t="inlineStr">
        <is>
          <t>Set B</t>
        </is>
      </c>
      <c r="L43" s="30" t="inlineStr">
        <is>
          <t>Single image: cheek treatment photo + hook</t>
        </is>
      </c>
      <c r="M43" s="24" t="n"/>
      <c r="N43" s="24" t="n"/>
      <c r="O43" s="34" t="inlineStr">
        <is>
          <t>Open folder</t>
        </is>
      </c>
      <c r="P43" s="24" t="inlineStr">
        <is>
          <t>Not designed yet</t>
        </is>
      </c>
      <c r="Q43" s="24" t="n"/>
      <c r="R43" s="30" t="inlineStr">
        <is>
          <t>Idea</t>
        </is>
      </c>
      <c r="S43" s="30" t="n"/>
      <c r="T43" s="30" t="n"/>
      <c r="U43" s="30" t="n"/>
      <c r="V43" s="30" t="n"/>
      <c r="W43" s="30" t="n"/>
      <c r="X43" s="30" t="n"/>
      <c r="Y43" s="24" t="n"/>
      <c r="Z43" s="24" t="n"/>
      <c r="AA43" s="24" t="inlineStr">
        <is>
          <t>Not designed yet</t>
        </is>
      </c>
    </row>
    <row r="44" ht="57.45" customHeight="1" s="14">
      <c r="A44" s="27" t="n">
        <v>46310</v>
      </c>
      <c r="B44" s="28" t="inlineStr">
        <is>
          <t>Thu</t>
        </is>
      </c>
      <c r="C44" s="28" t="n">
        <v>9</v>
      </c>
      <c r="D44" s="28" t="inlineStr">
        <is>
          <t>Fillers, Naturally</t>
        </is>
      </c>
      <c r="E44" s="28" t="inlineStr">
        <is>
          <t>Carousel</t>
        </is>
      </c>
      <c r="F44" s="28" t="inlineStr">
        <is>
          <t>Instagram feed + GBP</t>
        </is>
      </c>
      <c r="G44" s="28" t="inlineStr">
        <is>
          <t>Trust &amp; Proof</t>
        </is>
      </c>
      <c r="H44" s="28" t="inlineStr">
        <is>
          <t>Real Lips. Real Results. | Four clients. One syringe each.</t>
        </is>
      </c>
      <c r="I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J44" s="28" t="inlineStr">
        <is>
          <t>DM LIPS to book yours</t>
        </is>
      </c>
      <c r="K44" s="28" t="inlineStr">
        <is>
          <t>Set B</t>
        </is>
      </c>
      <c r="L44" s="28" t="inlineStr">
        <is>
          <t>Carousel: cover + 5 before and after slides + CTA. Crop to treatment area, no faces</t>
        </is>
      </c>
      <c r="M44" s="24" t="inlineStr">
        <is>
          <t>Pairs: 9908/9912, 0221/0233, 0962/0998, 1119/1123, 9848/9850</t>
        </is>
      </c>
      <c r="N44" s="24" t="inlineStr">
        <is>
          <t>On file</t>
        </is>
      </c>
      <c r="O44" s="32" t="inlineStr">
        <is>
          <t>Open folder</t>
        </is>
      </c>
      <c r="P44" s="33" t="inlineStr">
        <is>
          <t>View 7 slides</t>
        </is>
      </c>
      <c r="Q44" s="24">
        <f>IMAGE("https://raw.githubusercontent.com/RepoKing23/InstagramCarousel/claude/convert-images-jpg-5jeayb/content/2026-10-15-real-lips-real-results/images/slide-1.png")</f>
        <v/>
      </c>
      <c r="R44" s="28" t="inlineStr">
        <is>
          <t>Ready</t>
        </is>
      </c>
      <c r="S44" s="28" t="n"/>
      <c r="T44" s="28" t="n"/>
      <c r="U44" s="28" t="n"/>
      <c r="V44" s="28" t="n"/>
      <c r="W44" s="28" t="n"/>
      <c r="X44" s="28" t="n"/>
      <c r="Y44" s="24" t="n"/>
      <c r="Z44" s="24" t="n"/>
      <c r="AA44" s="24" t="inlineStr">
        <is>
          <t>Not designed yet</t>
        </is>
      </c>
    </row>
    <row r="45" ht="57.45" customHeight="1" s="14">
      <c r="A45" s="29" t="n">
        <v>46311</v>
      </c>
      <c r="B45" s="30" t="inlineStr">
        <is>
          <t>Fri</t>
        </is>
      </c>
      <c r="C45" s="30" t="n">
        <v>9</v>
      </c>
      <c r="D45" s="30" t="inlineStr">
        <is>
          <t>Fillers, Naturally</t>
        </is>
      </c>
      <c r="E45" s="30" t="inlineStr">
        <is>
          <t>Single Image</t>
        </is>
      </c>
      <c r="F45" s="30" t="inlineStr">
        <is>
          <t>IG + FB + TikTok photo + GBP</t>
        </is>
      </c>
      <c r="G45" s="30" t="inlineStr">
        <is>
          <t>Education</t>
        </is>
      </c>
      <c r="H45" s="30" t="inlineStr">
        <is>
          <t>Facial Balancing 101 | One plan beats three syringes.</t>
        </is>
      </c>
      <c r="I45" s="30" t="inlineStr">
        <is>
          <t>One syringe in the right place beats three in the wrong ones. Balance first, volume second. Always.
#dermalfiller #lipfiller #cheekfiller #naturalfiller #facialbalancing #lipfillernatural #aestheticnurse #medspa #fillerjourney #lipgoals</t>
        </is>
      </c>
      <c r="J45" s="30" t="inlineStr">
        <is>
          <t>Book a balancing consult</t>
        </is>
      </c>
      <c r="K45" s="30" t="inlineStr">
        <is>
          <t>Set B</t>
        </is>
      </c>
      <c r="L45" s="30" t="inlineStr">
        <is>
          <t>Single image: face-map diagram card</t>
        </is>
      </c>
      <c r="M45" s="24" t="n"/>
      <c r="N45" s="24" t="n"/>
      <c r="O45" s="34" t="inlineStr">
        <is>
          <t>Open folder</t>
        </is>
      </c>
      <c r="P45" s="24" t="inlineStr">
        <is>
          <t>Not designed yet</t>
        </is>
      </c>
      <c r="Q45" s="24" t="n"/>
      <c r="R45" s="30" t="inlineStr">
        <is>
          <t>Idea</t>
        </is>
      </c>
      <c r="S45" s="30" t="n"/>
      <c r="T45" s="30" t="n"/>
      <c r="U45" s="30" t="n"/>
      <c r="V45" s="30" t="n"/>
      <c r="W45" s="30" t="n"/>
      <c r="X45" s="30" t="n"/>
      <c r="Y45" s="24" t="n"/>
      <c r="Z45" s="24" t="n"/>
      <c r="AA45" s="24" t="inlineStr">
        <is>
          <t>Not designed yet</t>
        </is>
      </c>
    </row>
    <row r="46" ht="57.45" customHeight="1" s="14">
      <c r="A46" s="29" t="n">
        <v>46312</v>
      </c>
      <c r="B46" s="30" t="inlineStr">
        <is>
          <t>Sat</t>
        </is>
      </c>
      <c r="C46" s="30" t="n">
        <v>9</v>
      </c>
      <c r="D46" s="30" t="inlineStr">
        <is>
          <t>Fillers, Naturally</t>
        </is>
      </c>
      <c r="E46" s="30" t="inlineStr">
        <is>
          <t>Single Image</t>
        </is>
      </c>
      <c r="F46" s="30" t="inlineStr">
        <is>
          <t>IG + FB + TikTok photo + GBP</t>
        </is>
      </c>
      <c r="G46" s="30" t="inlineStr">
        <is>
          <t>Education</t>
        </is>
      </c>
      <c r="H46" s="30" t="inlineStr">
        <is>
          <t>FAQ: How Much Filler Do I Need? | The honest answer.</t>
        </is>
      </c>
      <c r="I46" s="30" t="inlineStr">
        <is>
          <t>Less than Instagram makes you think. Most natural results start with one syringe or less. Here is why.
#npinjector #nursepractitioner #medspalife #luxurybeauty #aestheticnurse #skincareexpert #beautyclinic #selfcare #naturalresults #honestbeauty</t>
        </is>
      </c>
      <c r="J46" s="30" t="inlineStr">
        <is>
          <t>More FAQs? DM me</t>
        </is>
      </c>
      <c r="K46" s="30" t="inlineStr">
        <is>
          <t>Set C</t>
        </is>
      </c>
      <c r="L46" s="30" t="inlineStr">
        <is>
          <t>FAQ card in brand style</t>
        </is>
      </c>
      <c r="M46" s="24" t="n"/>
      <c r="N46" s="24" t="n"/>
      <c r="O46" s="34" t="inlineStr">
        <is>
          <t>Open folder</t>
        </is>
      </c>
      <c r="P46" s="24" t="inlineStr">
        <is>
          <t>Not designed yet</t>
        </is>
      </c>
      <c r="Q46" s="24" t="n"/>
      <c r="R46" s="30" t="inlineStr">
        <is>
          <t>Idea</t>
        </is>
      </c>
      <c r="S46" s="30" t="n"/>
      <c r="T46" s="30" t="n"/>
      <c r="U46" s="30" t="n"/>
      <c r="V46" s="30" t="n"/>
      <c r="W46" s="30" t="n"/>
      <c r="X46" s="30" t="n"/>
      <c r="Y46" s="24" t="n"/>
      <c r="Z46" s="24" t="n"/>
      <c r="AA46" s="24" t="inlineStr">
        <is>
          <t>Not designed yet</t>
        </is>
      </c>
    </row>
    <row r="47" ht="57.45" customHeight="1" s="14">
      <c r="A47" s="27" t="n">
        <v>46314</v>
      </c>
      <c r="B47" s="28" t="inlineStr">
        <is>
          <t>Mon</t>
        </is>
      </c>
      <c r="C47" s="28" t="n">
        <v>10</v>
      </c>
      <c r="D47" s="28" t="inlineStr">
        <is>
          <t>Fillers, Naturally</t>
        </is>
      </c>
      <c r="E47" s="28" t="inlineStr">
        <is>
          <t>Carousel</t>
        </is>
      </c>
      <c r="F47" s="28" t="inlineStr">
        <is>
          <t>Instagram feed + GBP</t>
        </is>
      </c>
      <c r="G47" s="28" t="inlineStr">
        <is>
          <t>Education</t>
        </is>
      </c>
      <c r="H47" s="28" t="inlineStr">
        <is>
          <t>Filler Dissolves. Here Is the Real Timeline. | What they do not tell you about longevity.</t>
        </is>
      </c>
      <c r="I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J47" s="28" t="inlineStr">
        <is>
          <t>Book your plan. Link in bio</t>
        </is>
      </c>
      <c r="K47" s="28" t="inlineStr">
        <is>
          <t>Set B</t>
        </is>
      </c>
      <c r="L47" s="28" t="inlineStr">
        <is>
          <t>Design timeline layout</t>
        </is>
      </c>
      <c r="M47" s="24" t="n"/>
      <c r="N47" s="24" t="n"/>
      <c r="O47" s="32" t="inlineStr">
        <is>
          <t>Open folder</t>
        </is>
      </c>
      <c r="P47" s="24" t="inlineStr">
        <is>
          <t>Not designed yet</t>
        </is>
      </c>
      <c r="Q47" s="24" t="n"/>
      <c r="R47" s="28" t="inlineStr">
        <is>
          <t>Idea</t>
        </is>
      </c>
      <c r="S47" s="28" t="n"/>
      <c r="T47" s="28" t="n"/>
      <c r="U47" s="28" t="n"/>
      <c r="V47" s="28" t="n"/>
      <c r="W47" s="28" t="n"/>
      <c r="X47" s="28" t="n"/>
      <c r="Y47" s="24" t="n"/>
      <c r="Z47" s="24" t="n"/>
      <c r="AA47" s="24" t="inlineStr">
        <is>
          <t>Not designed yet</t>
        </is>
      </c>
    </row>
    <row r="48" ht="57.45" customHeight="1" s="14">
      <c r="A48" s="29" t="n">
        <v>46315</v>
      </c>
      <c r="B48" s="30" t="inlineStr">
        <is>
          <t>Tue</t>
        </is>
      </c>
      <c r="C48" s="30" t="n">
        <v>10</v>
      </c>
      <c r="D48" s="30" t="inlineStr">
        <is>
          <t>Fillers, Naturally</t>
        </is>
      </c>
      <c r="E48" s="30" t="inlineStr">
        <is>
          <t>Single Image</t>
        </is>
      </c>
      <c r="F48" s="30" t="inlineStr">
        <is>
          <t>IG + FB + TikTok photo + GBP</t>
        </is>
      </c>
      <c r="G48" s="30" t="inlineStr">
        <is>
          <t>Education</t>
        </is>
      </c>
      <c r="H48" s="30" t="inlineStr">
        <is>
          <t>The Filler Timeline | What happens as it fades.</t>
        </is>
      </c>
      <c r="I48" s="30" t="inlineStr">
        <is>
          <t>Filler does not vanish overnight and you will not deflate. It softens slowly, on a schedule you can plan around.
#dermalfiller #lipfiller #cheekfiller #naturalfiller #facialbalancing #lipfillernatural #aestheticnurse #medspa #fillerjourney #lipgoals</t>
        </is>
      </c>
      <c r="J48" s="30" t="inlineStr">
        <is>
          <t>Save this</t>
        </is>
      </c>
      <c r="K48" s="30" t="inlineStr">
        <is>
          <t>Set B</t>
        </is>
      </c>
      <c r="L48" s="30" t="inlineStr">
        <is>
          <t>Single image: timeline infographic card</t>
        </is>
      </c>
      <c r="M48" s="24" t="n"/>
      <c r="N48" s="24" t="n"/>
      <c r="O48" s="34" t="inlineStr">
        <is>
          <t>Open folder</t>
        </is>
      </c>
      <c r="P48" s="24" t="inlineStr">
        <is>
          <t>Not designed yet</t>
        </is>
      </c>
      <c r="Q48" s="24" t="n"/>
      <c r="R48" s="30" t="inlineStr">
        <is>
          <t>Idea</t>
        </is>
      </c>
      <c r="S48" s="30" t="n"/>
      <c r="T48" s="30" t="n"/>
      <c r="U48" s="30" t="n"/>
      <c r="V48" s="30" t="n"/>
      <c r="W48" s="30" t="n"/>
      <c r="X48" s="30" t="n"/>
      <c r="Y48" s="24" t="n"/>
      <c r="Z48" s="24" t="n"/>
      <c r="AA48" s="24" t="inlineStr">
        <is>
          <t>Not designed yet</t>
        </is>
      </c>
    </row>
    <row r="49" ht="57.45" customHeight="1" s="14">
      <c r="A49" s="27" t="n">
        <v>46317</v>
      </c>
      <c r="B49" s="28" t="inlineStr">
        <is>
          <t>Thu</t>
        </is>
      </c>
      <c r="C49" s="28" t="n">
        <v>10</v>
      </c>
      <c r="D49" s="28" t="inlineStr">
        <is>
          <t>Fillers, Naturally</t>
        </is>
      </c>
      <c r="E49" s="28" t="inlineStr">
        <is>
          <t>Carousel</t>
        </is>
      </c>
      <c r="F49" s="28" t="inlineStr">
        <is>
          <t>Instagram feed + GBP</t>
        </is>
      </c>
      <c r="G49" s="28" t="inlineStr">
        <is>
          <t>Education</t>
        </is>
      </c>
      <c r="H49" s="28" t="inlineStr">
        <is>
          <t>Lip Filler Aftercare: Your First Week | Swelling is normal. Panic is optional.</t>
        </is>
      </c>
      <c r="I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J49" s="28" t="inlineStr">
        <is>
          <t>Save this guide</t>
        </is>
      </c>
      <c r="K49" s="28" t="inlineStr">
        <is>
          <t>Set B</t>
        </is>
      </c>
      <c r="L49" s="28" t="inlineStr">
        <is>
          <t>Carousel: day by day. Day zero card built from the img_9848 / img_9850 pair. Crop to treatment area, no faces</t>
        </is>
      </c>
      <c r="M49" s="24" t="inlineStr">
        <is>
          <t>img_9848 (before) + img_9850 (right after); img_7715, whatsapp composite</t>
        </is>
      </c>
      <c r="N49" s="24" t="inlineStr">
        <is>
          <t>On file</t>
        </is>
      </c>
      <c r="O49" s="32" t="inlineStr">
        <is>
          <t>Open folder</t>
        </is>
      </c>
      <c r="P49" s="33" t="inlineStr">
        <is>
          <t>View image</t>
        </is>
      </c>
      <c r="Q49" s="24">
        <f>IMAGE("https://raw.githubusercontent.com/RepoKing23/InstagramCarousel/claude/convert-images-jpg-5jeayb/content/2026-10-22-lip-filler-aftercare-your-first/images/day-zero-before-after.png")</f>
        <v/>
      </c>
      <c r="R49" s="28" t="inlineStr">
        <is>
          <t>Design</t>
        </is>
      </c>
      <c r="S49" s="28" t="n"/>
      <c r="T49" s="28" t="n"/>
      <c r="U49" s="28" t="n"/>
      <c r="V49" s="28" t="n"/>
      <c r="W49" s="28" t="n"/>
      <c r="X49" s="28" t="n"/>
      <c r="Y49" s="24" t="n"/>
      <c r="Z49" s="24" t="n"/>
      <c r="AA49" s="24" t="inlineStr">
        <is>
          <t>Not designed yet</t>
        </is>
      </c>
    </row>
    <row r="50" ht="57.45" customHeight="1" s="14">
      <c r="A50" s="29" t="n">
        <v>46318</v>
      </c>
      <c r="B50" s="30" t="inlineStr">
        <is>
          <t>Fri</t>
        </is>
      </c>
      <c r="C50" s="30" t="n">
        <v>10</v>
      </c>
      <c r="D50" s="30" t="inlineStr">
        <is>
          <t>Fillers, Naturally</t>
        </is>
      </c>
      <c r="E50" s="30" t="inlineStr">
        <is>
          <t>Single Image</t>
        </is>
      </c>
      <c r="F50" s="30" t="inlineStr">
        <is>
          <t>IG + FB + TikTok photo + GBP</t>
        </is>
      </c>
      <c r="G50" s="30" t="inlineStr">
        <is>
          <t>Education</t>
        </is>
      </c>
      <c r="H50" s="30" t="inlineStr">
        <is>
          <t>Aftercare Essentials | Save this for after your appointment.</t>
        </is>
      </c>
      <c r="I50" s="30" t="inlineStr">
        <is>
          <t>Ice, no gym for 24 hours, sleep on your back, and message me with anything. That is it. Save this.
#dermalfiller #lipfiller #cheekfiller #naturalfiller #facialbalancing #lipfillernatural #aestheticnurse #medspa #fillerjourney #lipgoals</t>
        </is>
      </c>
      <c r="J50" s="30" t="inlineStr">
        <is>
          <t>Save + share</t>
        </is>
      </c>
      <c r="K50" s="30" t="inlineStr">
        <is>
          <t>Set B</t>
        </is>
      </c>
      <c r="L50" s="30" t="inlineStr">
        <is>
          <t>Single image: 4-point checklist card</t>
        </is>
      </c>
      <c r="M50" s="24" t="n"/>
      <c r="N50" s="24" t="n"/>
      <c r="O50" s="34" t="inlineStr">
        <is>
          <t>Open folder</t>
        </is>
      </c>
      <c r="P50" s="24" t="inlineStr">
        <is>
          <t>Not designed yet</t>
        </is>
      </c>
      <c r="Q50" s="24" t="n"/>
      <c r="R50" s="30" t="inlineStr">
        <is>
          <t>Idea</t>
        </is>
      </c>
      <c r="S50" s="30" t="n"/>
      <c r="T50" s="30" t="n"/>
      <c r="U50" s="30" t="n"/>
      <c r="V50" s="30" t="n"/>
      <c r="W50" s="30" t="n"/>
      <c r="X50" s="30" t="n"/>
      <c r="Y50" s="24" t="n"/>
      <c r="Z50" s="24" t="n"/>
      <c r="AA50" s="24" t="inlineStr">
        <is>
          <t>Not designed yet</t>
        </is>
      </c>
    </row>
    <row r="51" ht="57.45" customHeight="1" s="14">
      <c r="A51" s="29" t="n">
        <v>46319</v>
      </c>
      <c r="B51" s="30" t="inlineStr">
        <is>
          <t>Sat</t>
        </is>
      </c>
      <c r="C51" s="30" t="n">
        <v>10</v>
      </c>
      <c r="D51" s="30" t="inlineStr">
        <is>
          <t>Fillers, Naturally</t>
        </is>
      </c>
      <c r="E51" s="30" t="inlineStr">
        <is>
          <t>Before/After</t>
        </is>
      </c>
      <c r="F51" s="30" t="inlineStr">
        <is>
          <t>IG + FB + TikTok photo + GBP</t>
        </is>
      </c>
      <c r="G51" s="30" t="inlineStr">
        <is>
          <t>Trust &amp; Proof</t>
        </is>
      </c>
      <c r="H51" s="30" t="inlineStr">
        <is>
          <t>Client Words: The Lip Glow-Up | Her words, her result.</t>
        </is>
      </c>
      <c r="I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J51" s="30" t="inlineStr">
        <is>
          <t>Your turn. DM FILLER</t>
        </is>
      </c>
      <c r="K51" s="30" t="inlineStr">
        <is>
          <t>Set C</t>
        </is>
      </c>
      <c r="L51" s="30" t="inlineStr">
        <is>
          <t>Testimonial quote over before and after card. Crop to treatment area, no faces</t>
        </is>
      </c>
      <c r="M51" s="24" t="inlineStr">
        <is>
          <t>img_0962 (before), img_0998 (after)</t>
        </is>
      </c>
      <c r="N51" s="24" t="inlineStr">
        <is>
          <t>On file</t>
        </is>
      </c>
      <c r="O51" s="34" t="inlineStr">
        <is>
          <t>Open folder</t>
        </is>
      </c>
      <c r="P51" s="33" t="inlineStr">
        <is>
          <t>View image</t>
        </is>
      </c>
      <c r="Q51" s="24">
        <f>IMAGE("https://raw.githubusercontent.com/RepoKing23/InstagramCarousel/claude/convert-images-jpg-5jeayb/content/2026-10-24-client-words-the-lip-glow/images/before-after-result.png")</f>
        <v/>
      </c>
      <c r="R51" s="30" t="inlineStr">
        <is>
          <t>Ready</t>
        </is>
      </c>
      <c r="S51" s="30" t="n"/>
      <c r="T51" s="30" t="n"/>
      <c r="U51" s="30" t="n"/>
      <c r="V51" s="30" t="n"/>
      <c r="W51" s="30" t="n"/>
      <c r="X51" s="30" t="n"/>
      <c r="Y51" s="24" t="n"/>
      <c r="Z51" s="24" t="n"/>
      <c r="AA51" s="24" t="inlineStr">
        <is>
          <t>Not designed yet</t>
        </is>
      </c>
    </row>
    <row r="52" ht="57.45" customHeight="1" s="14">
      <c r="A52" s="27" t="n">
        <v>46321</v>
      </c>
      <c r="B52" s="28" t="inlineStr">
        <is>
          <t>Mon</t>
        </is>
      </c>
      <c r="C52" s="28" t="n">
        <v>11</v>
      </c>
      <c r="D52" s="28" t="inlineStr">
        <is>
          <t>Fillers, Naturally</t>
        </is>
      </c>
      <c r="E52" s="28" t="inlineStr">
        <is>
          <t>Carousel</t>
        </is>
      </c>
      <c r="F52" s="28" t="inlineStr">
        <is>
          <t>Instagram feed + GBP</t>
        </is>
      </c>
      <c r="G52" s="28" t="inlineStr">
        <is>
          <t>Education</t>
        </is>
      </c>
      <c r="H52" s="28" t="inlineStr">
        <is>
          <t>5 Filler Lies You Still Believe | The sequel you asked for.</t>
        </is>
      </c>
      <c r="I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J52" s="28" t="inlineStr">
        <is>
          <t>Share with a friend</t>
        </is>
      </c>
      <c r="K52" s="28" t="inlineStr">
        <is>
          <t>Set B</t>
        </is>
      </c>
      <c r="L52" s="28" t="inlineStr">
        <is>
          <t>Design in editorial template. Sequel to Botox lies</t>
        </is>
      </c>
      <c r="M52" s="24" t="n"/>
      <c r="N52" s="24" t="n"/>
      <c r="O52" s="32" t="inlineStr">
        <is>
          <t>Open folder</t>
        </is>
      </c>
      <c r="P52" s="24" t="inlineStr">
        <is>
          <t>Not designed yet</t>
        </is>
      </c>
      <c r="Q52" s="24" t="n"/>
      <c r="R52" s="28" t="inlineStr">
        <is>
          <t>Idea</t>
        </is>
      </c>
      <c r="S52" s="28" t="n"/>
      <c r="T52" s="28" t="n"/>
      <c r="U52" s="28" t="n"/>
      <c r="V52" s="28" t="n"/>
      <c r="W52" s="28" t="n"/>
      <c r="X52" s="28" t="n"/>
      <c r="Y52" s="24" t="n"/>
      <c r="Z52" s="24" t="n"/>
      <c r="AA52" s="24" t="inlineStr">
        <is>
          <t>Not designed yet</t>
        </is>
      </c>
    </row>
    <row r="53" ht="57.45" customHeight="1" s="14">
      <c r="A53" s="29" t="n">
        <v>46322</v>
      </c>
      <c r="B53" s="30" t="inlineStr">
        <is>
          <t>Tue</t>
        </is>
      </c>
      <c r="C53" s="30" t="n">
        <v>11</v>
      </c>
      <c r="D53" s="30" t="inlineStr">
        <is>
          <t>Fillers, Naturally</t>
        </is>
      </c>
      <c r="E53" s="30" t="inlineStr">
        <is>
          <t>Single Image</t>
        </is>
      </c>
      <c r="F53" s="30" t="inlineStr">
        <is>
          <t>IG + FB + TikTok photo + GBP</t>
        </is>
      </c>
      <c r="G53" s="30" t="inlineStr">
        <is>
          <t>Education</t>
        </is>
      </c>
      <c r="H53" s="30" t="inlineStr">
        <is>
          <t>Myth vs Truth: Filler Edition | The one everyone believes.</t>
        </is>
      </c>
      <c r="I53" s="30" t="inlineStr">
        <is>
          <t>MYTH: filler stretches your lips forever. TRUTH: treated well, your lips return to baseline as filler softens.
#dermalfiller #lipfiller #cheekfiller #naturalfiller #facialbalancing #lipfillernatural #aestheticnurse #medspa #fillerjourney #lipgoals</t>
        </is>
      </c>
      <c r="J53" s="30" t="inlineStr">
        <is>
          <t>Full carousel on our feed</t>
        </is>
      </c>
      <c r="K53" s="30" t="inlineStr">
        <is>
          <t>Set B</t>
        </is>
      </c>
      <c r="L53" s="30" t="inlineStr">
        <is>
          <t>Single image: myth vs truth split card</t>
        </is>
      </c>
      <c r="M53" s="24" t="n"/>
      <c r="N53" s="24" t="n"/>
      <c r="O53" s="34" t="inlineStr">
        <is>
          <t>Open folder</t>
        </is>
      </c>
      <c r="P53" s="24" t="inlineStr">
        <is>
          <t>Not designed yet</t>
        </is>
      </c>
      <c r="Q53" s="24" t="n"/>
      <c r="R53" s="30" t="inlineStr">
        <is>
          <t>Idea</t>
        </is>
      </c>
      <c r="S53" s="30" t="n"/>
      <c r="T53" s="30" t="n"/>
      <c r="U53" s="30" t="n"/>
      <c r="V53" s="30" t="n"/>
      <c r="W53" s="30" t="n"/>
      <c r="X53" s="30" t="n"/>
      <c r="Y53" s="24" t="n"/>
      <c r="Z53" s="24" t="n"/>
      <c r="AA53" s="24" t="inlineStr">
        <is>
          <t>Not designed yet</t>
        </is>
      </c>
    </row>
    <row r="54" ht="57.45" customHeight="1" s="14">
      <c r="A54" s="27" t="n">
        <v>46324</v>
      </c>
      <c r="B54" s="28" t="inlineStr">
        <is>
          <t>Thu</t>
        </is>
      </c>
      <c r="C54" s="28" t="n">
        <v>11</v>
      </c>
      <c r="D54" s="28" t="inlineStr">
        <is>
          <t>Fillers, Naturally</t>
        </is>
      </c>
      <c r="E54" s="28" t="inlineStr">
        <is>
          <t>Carousel</t>
        </is>
      </c>
      <c r="F54" s="28" t="inlineStr">
        <is>
          <t>Instagram feed + GBP</t>
        </is>
      </c>
      <c r="G54" s="28" t="inlineStr">
        <is>
          <t>Trust &amp; Proof</t>
        </is>
      </c>
      <c r="H54" s="28" t="inlineStr">
        <is>
          <t>Facial Balancing: Why We Treat Faces, Not Lines | Chasing lines is old school.</t>
        </is>
      </c>
      <c r="I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J54" s="28" t="inlineStr">
        <is>
          <t>DM BALANCE for a consult</t>
        </is>
      </c>
      <c r="K54" s="28" t="inlineStr">
        <is>
          <t>Set B</t>
        </is>
      </c>
      <c r="L54" s="28" t="inlineStr">
        <is>
          <t>Design in editorial template</t>
        </is>
      </c>
      <c r="M54" s="24" t="n"/>
      <c r="N54" s="24" t="n"/>
      <c r="O54" s="32" t="inlineStr">
        <is>
          <t>Open folder</t>
        </is>
      </c>
      <c r="P54" s="24" t="inlineStr">
        <is>
          <t>Not designed yet</t>
        </is>
      </c>
      <c r="Q54" s="24" t="n"/>
      <c r="R54" s="28" t="inlineStr">
        <is>
          <t>Idea</t>
        </is>
      </c>
      <c r="S54" s="28" t="n"/>
      <c r="T54" s="28" t="n"/>
      <c r="U54" s="28" t="n"/>
      <c r="V54" s="28" t="n"/>
      <c r="W54" s="28" t="n"/>
      <c r="X54" s="28" t="n"/>
      <c r="Y54" s="24" t="n"/>
      <c r="Z54" s="24" t="n"/>
      <c r="AA54" s="24" t="inlineStr">
        <is>
          <t>Not designed yet</t>
        </is>
      </c>
    </row>
    <row r="55" ht="57.45" customHeight="1" s="14">
      <c r="A55" s="29" t="n">
        <v>46325</v>
      </c>
      <c r="B55" s="30" t="inlineStr">
        <is>
          <t>Fri</t>
        </is>
      </c>
      <c r="C55" s="30" t="n">
        <v>11</v>
      </c>
      <c r="D55" s="30" t="inlineStr">
        <is>
          <t>Fillers, Naturally</t>
        </is>
      </c>
      <c r="E55" s="30" t="inlineStr">
        <is>
          <t>Before/After</t>
        </is>
      </c>
      <c r="F55" s="30" t="inlineStr">
        <is>
          <t>IG + FB + TikTok photo + GBP</t>
        </is>
      </c>
      <c r="G55" s="30" t="inlineStr">
        <is>
          <t>Trust &amp; Proof</t>
        </is>
      </c>
      <c r="H55" s="30" t="inlineStr">
        <is>
          <t>One Syringe. Balanced Lips. | Faces, not lines.</t>
        </is>
      </c>
      <c r="I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J55" s="30" t="inlineStr">
        <is>
          <t>Book a consult. Link in bio</t>
        </is>
      </c>
      <c r="K55" s="30" t="inlineStr">
        <is>
          <t>Set B</t>
        </is>
      </c>
      <c r="L55" s="30" t="inlineStr">
        <is>
          <t>Before and after card in editorial template. Crop to treatment area, no faces</t>
        </is>
      </c>
      <c r="M55" s="24" t="inlineStr">
        <is>
          <t>img_0221 (before), img_0233 (after)</t>
        </is>
      </c>
      <c r="N55" s="24" t="inlineStr">
        <is>
          <t>On file</t>
        </is>
      </c>
      <c r="O55" s="34" t="inlineStr">
        <is>
          <t>Open folder</t>
        </is>
      </c>
      <c r="P55" s="33" t="inlineStr">
        <is>
          <t>View image</t>
        </is>
      </c>
      <c r="Q55" s="24">
        <f>IMAGE("https://raw.githubusercontent.com/RepoKing23/InstagramCarousel/claude/convert-images-jpg-5jeayb/content/2026-10-30-one-syringe-balanced-lips/images/before-after-result.png")</f>
        <v/>
      </c>
      <c r="R55" s="30" t="inlineStr">
        <is>
          <t>Ready</t>
        </is>
      </c>
      <c r="S55" s="30" t="n"/>
      <c r="T55" s="30" t="n"/>
      <c r="U55" s="30" t="n"/>
      <c r="V55" s="30" t="n"/>
      <c r="W55" s="30" t="n"/>
      <c r="X55" s="30" t="n"/>
      <c r="Y55" s="24" t="n"/>
      <c r="Z55" s="24" t="n"/>
      <c r="AA55" s="24" t="inlineStr">
        <is>
          <t>Not designed yet</t>
        </is>
      </c>
    </row>
    <row r="56" ht="57.45" customHeight="1" s="14">
      <c r="A56" s="29" t="n">
        <v>46326</v>
      </c>
      <c r="B56" s="30" t="inlineStr">
        <is>
          <t>Sat</t>
        </is>
      </c>
      <c r="C56" s="30" t="n">
        <v>11</v>
      </c>
      <c r="D56" s="30" t="inlineStr">
        <is>
          <t>Fillers, Naturally</t>
        </is>
      </c>
      <c r="E56" s="30" t="inlineStr">
        <is>
          <t>Single Image</t>
        </is>
      </c>
      <c r="F56" s="30" t="inlineStr">
        <is>
          <t>IG + FB + TikTok photo + GBP</t>
        </is>
      </c>
      <c r="G56" s="30" t="inlineStr">
        <is>
          <t>Personality &amp; BTS</t>
        </is>
      </c>
      <c r="H56" s="30" t="inlineStr">
        <is>
          <t>Ask Anything: Filler Edition | Engagement post.</t>
        </is>
      </c>
      <c r="I56" s="30" t="inlineStr">
        <is>
          <t>Filler month is almost over. Drop every remaining question below and I will answer all of them. No judgment. 👇
#npinjector #nursepractitioner #medspalife #luxurybeauty #aestheticnurse #skincareexpert #beautyclinic #selfcare #naturalresults #honestbeauty</t>
        </is>
      </c>
      <c r="J56" s="30" t="inlineStr">
        <is>
          <t>Comment your question</t>
        </is>
      </c>
      <c r="K56" s="30" t="inlineStr">
        <is>
          <t>Set C</t>
        </is>
      </c>
      <c r="L56" s="30" t="inlineStr">
        <is>
          <t>Engagement card in brand style</t>
        </is>
      </c>
      <c r="M56" s="24" t="n"/>
      <c r="N56" s="24" t="n"/>
      <c r="O56" s="34" t="inlineStr">
        <is>
          <t>Open folder</t>
        </is>
      </c>
      <c r="P56" s="24" t="inlineStr">
        <is>
          <t>Not designed yet</t>
        </is>
      </c>
      <c r="Q56" s="24" t="n"/>
      <c r="R56" s="30" t="inlineStr">
        <is>
          <t>Idea</t>
        </is>
      </c>
      <c r="S56" s="30" t="n"/>
      <c r="T56" s="30" t="n"/>
      <c r="U56" s="30" t="n"/>
      <c r="V56" s="30" t="n"/>
      <c r="W56" s="30" t="n"/>
      <c r="X56" s="30" t="n"/>
      <c r="Y56" s="24" t="n"/>
      <c r="Z56" s="24" t="n"/>
      <c r="AA56" s="24" t="inlineStr">
        <is>
          <t>Not designed yet</t>
        </is>
      </c>
    </row>
    <row r="57" ht="57.45" customHeight="1" s="14">
      <c r="A57" s="27" t="n">
        <v>46328</v>
      </c>
      <c r="B57" s="28" t="inlineStr">
        <is>
          <t>Mon</t>
        </is>
      </c>
      <c r="C57" s="28" t="n">
        <v>12</v>
      </c>
      <c r="D57" s="28" t="inlineStr">
        <is>
          <t>Rested by the Holidays</t>
        </is>
      </c>
      <c r="E57" s="28" t="inlineStr">
        <is>
          <t>Carousel</t>
        </is>
      </c>
      <c r="F57" s="28" t="inlineStr">
        <is>
          <t>Instagram feed + GBP</t>
        </is>
      </c>
      <c r="G57" s="28" t="inlineStr">
        <is>
          <t>Promo &amp; CTA</t>
        </is>
      </c>
      <c r="H57" s="28" t="inlineStr">
        <is>
          <t>Rested by the Holidays: Your Treatment Timeline | Party season is closer than you think.</t>
        </is>
      </c>
      <c r="I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J57" s="28" t="inlineStr">
        <is>
          <t>Book now. Link in bio</t>
        </is>
      </c>
      <c r="K57" s="28" t="inlineStr">
        <is>
          <t>Set E</t>
        </is>
      </c>
      <c r="L57" s="28" t="inlineStr">
        <is>
          <t>Design holiday timeline layout</t>
        </is>
      </c>
      <c r="M57" s="24" t="n"/>
      <c r="N57" s="24" t="n"/>
      <c r="O57" s="32" t="inlineStr">
        <is>
          <t>Open folder</t>
        </is>
      </c>
      <c r="P57" s="24" t="inlineStr">
        <is>
          <t>Not designed yet</t>
        </is>
      </c>
      <c r="Q57" s="24" t="n"/>
      <c r="R57" s="28" t="inlineStr">
        <is>
          <t>Idea</t>
        </is>
      </c>
      <c r="S57" s="28" t="n"/>
      <c r="T57" s="28" t="n"/>
      <c r="U57" s="28" t="n"/>
      <c r="V57" s="28" t="n"/>
      <c r="W57" s="28" t="n"/>
      <c r="X57" s="28" t="n"/>
      <c r="Y57" s="24" t="n"/>
      <c r="Z57" s="24" t="n"/>
      <c r="AA57" s="24" t="inlineStr">
        <is>
          <t>Not designed yet</t>
        </is>
      </c>
    </row>
    <row r="58" ht="57.45" customHeight="1" s="14">
      <c r="A58" s="29" t="n">
        <v>46329</v>
      </c>
      <c r="B58" s="30" t="inlineStr">
        <is>
          <t>Tue</t>
        </is>
      </c>
      <c r="C58" s="30" t="n">
        <v>12</v>
      </c>
      <c r="D58" s="30" t="inlineStr">
        <is>
          <t>Rested by the Holidays</t>
        </is>
      </c>
      <c r="E58" s="30" t="inlineStr">
        <is>
          <t>Single Image</t>
        </is>
      </c>
      <c r="F58" s="30" t="inlineStr">
        <is>
          <t>IG + FB + TikTok photo + GBP</t>
        </is>
      </c>
      <c r="G58" s="30" t="inlineStr">
        <is>
          <t>Promo &amp; CTA</t>
        </is>
      </c>
      <c r="H58" s="30" t="inlineStr">
        <is>
          <t>Holiday Countdown: Book by These Dates | Work backwards from party season.</t>
        </is>
      </c>
      <c r="I58" s="30" t="inlineStr">
        <is>
          <t>Botox needs 2 weeks. Filler needs 4. If you want to glow in the December photos, these are your deadlines. 🗓️
#holidayglow #treatyourself #giftcertificate #bookyourappointment #medspaspecial #glowupseason #selfcaregift #luxuryselfcare #holidayready #giftideas</t>
        </is>
      </c>
      <c r="J58" s="30" t="inlineStr">
        <is>
          <t>Book now. Link in bio</t>
        </is>
      </c>
      <c r="K58" s="30" t="inlineStr">
        <is>
          <t>Set E</t>
        </is>
      </c>
      <c r="L58" s="30" t="inlineStr">
        <is>
          <t>Single image: countdown-dates card</t>
        </is>
      </c>
      <c r="M58" s="24" t="n"/>
      <c r="N58" s="24" t="n"/>
      <c r="O58" s="34" t="inlineStr">
        <is>
          <t>Open folder</t>
        </is>
      </c>
      <c r="P58" s="24" t="inlineStr">
        <is>
          <t>Not designed yet</t>
        </is>
      </c>
      <c r="Q58" s="24" t="n"/>
      <c r="R58" s="30" t="inlineStr">
        <is>
          <t>Idea</t>
        </is>
      </c>
      <c r="S58" s="30" t="n"/>
      <c r="T58" s="30" t="n"/>
      <c r="U58" s="30" t="n"/>
      <c r="V58" s="30" t="n"/>
      <c r="W58" s="30" t="n"/>
      <c r="X58" s="30" t="n"/>
      <c r="Y58" s="24" t="n"/>
      <c r="Z58" s="24" t="n"/>
      <c r="AA58" s="24" t="inlineStr">
        <is>
          <t>Not designed yet</t>
        </is>
      </c>
    </row>
    <row r="59" ht="57.45" customHeight="1" s="14">
      <c r="A59" s="27" t="n">
        <v>46331</v>
      </c>
      <c r="B59" s="28" t="inlineStr">
        <is>
          <t>Thu</t>
        </is>
      </c>
      <c r="C59" s="28" t="n">
        <v>12</v>
      </c>
      <c r="D59" s="28" t="inlineStr">
        <is>
          <t>Rested by the Holidays</t>
        </is>
      </c>
      <c r="E59" s="28" t="inlineStr">
        <is>
          <t>Carousel</t>
        </is>
      </c>
      <c r="F59" s="28" t="inlineStr">
        <is>
          <t>Instagram feed + GBP</t>
        </is>
      </c>
      <c r="G59" s="28" t="inlineStr">
        <is>
          <t>Promo &amp; CTA</t>
        </is>
      </c>
      <c r="H59" s="28" t="inlineStr">
        <is>
          <t>Party Season Prep: What to Book and When | Your holiday glow, planned backwards.</t>
        </is>
      </c>
      <c r="I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J59" s="28" t="inlineStr">
        <is>
          <t>DM HOLIDAY to book</t>
        </is>
      </c>
      <c r="K59" s="28" t="inlineStr">
        <is>
          <t>Set E</t>
        </is>
      </c>
      <c r="L59" s="28" t="inlineStr">
        <is>
          <t>Design in editorial template</t>
        </is>
      </c>
      <c r="M59" s="24" t="n"/>
      <c r="N59" s="24" t="n"/>
      <c r="O59" s="32" t="inlineStr">
        <is>
          <t>Open folder</t>
        </is>
      </c>
      <c r="P59" s="24" t="inlineStr">
        <is>
          <t>Not designed yet</t>
        </is>
      </c>
      <c r="Q59" s="24" t="n"/>
      <c r="R59" s="28" t="inlineStr">
        <is>
          <t>Idea</t>
        </is>
      </c>
      <c r="S59" s="28" t="n"/>
      <c r="T59" s="28" t="n"/>
      <c r="U59" s="28" t="n"/>
      <c r="V59" s="28" t="n"/>
      <c r="W59" s="28" t="n"/>
      <c r="X59" s="28" t="n"/>
      <c r="Y59" s="24" t="n"/>
      <c r="Z59" s="24" t="n"/>
      <c r="AA59" s="24" t="inlineStr">
        <is>
          <t>Not designed yet</t>
        </is>
      </c>
    </row>
    <row r="60" ht="57.45" customHeight="1" s="14">
      <c r="A60" s="29" t="n">
        <v>46332</v>
      </c>
      <c r="B60" s="30" t="inlineStr">
        <is>
          <t>Fri</t>
        </is>
      </c>
      <c r="C60" s="30" t="n">
        <v>12</v>
      </c>
      <c r="D60" s="30" t="inlineStr">
        <is>
          <t>Rested by the Holidays</t>
        </is>
      </c>
      <c r="E60" s="30" t="inlineStr">
        <is>
          <t>Carousel</t>
        </is>
      </c>
      <c r="F60" s="30" t="inlineStr">
        <is>
          <t>Instagram feed + GBP</t>
        </is>
      </c>
      <c r="G60" s="30" t="inlineStr">
        <is>
          <t>Trust &amp; Proof</t>
        </is>
      </c>
      <c r="H60" s="30" t="inlineStr">
        <is>
          <t>One Result, Every Angle | No flattering angle. Every angle.</t>
        </is>
      </c>
      <c r="I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J60" s="30" t="inlineStr">
        <is>
          <t>DM LIPS to book</t>
        </is>
      </c>
      <c r="K60" s="30" t="inlineStr">
        <is>
          <t>Set B</t>
        </is>
      </c>
      <c r="L60" s="30" t="inlineStr">
        <is>
          <t>Carousel: 6 angles of one healed result. Crop to treatment area, no faces</t>
        </is>
      </c>
      <c r="M60" s="24" t="inlineStr">
        <is>
          <t>img_4775, 4777, 4778, 4780, 4781, 4782</t>
        </is>
      </c>
      <c r="N60" s="24" t="inlineStr">
        <is>
          <t>On file</t>
        </is>
      </c>
      <c r="O60" s="34" t="inlineStr">
        <is>
          <t>Open folder</t>
        </is>
      </c>
      <c r="P60" s="33" t="inlineStr">
        <is>
          <t>View 7 slides</t>
        </is>
      </c>
      <c r="Q60" s="24">
        <f>IMAGE("https://raw.githubusercontent.com/RepoKing23/InstagramCarousel/claude/convert-images-jpg-5jeayb/content/2026-11-06-one-result-every-angle/images/slide-1.png")</f>
        <v/>
      </c>
      <c r="R60" s="30" t="inlineStr">
        <is>
          <t>Ready</t>
        </is>
      </c>
      <c r="S60" s="30" t="n"/>
      <c r="T60" s="30" t="n"/>
      <c r="U60" s="30" t="n"/>
      <c r="V60" s="30" t="n"/>
      <c r="W60" s="30" t="n"/>
      <c r="X60" s="30" t="n"/>
      <c r="Y60" s="24" t="n"/>
      <c r="Z60" s="24" t="n"/>
      <c r="AA60" s="24" t="inlineStr">
        <is>
          <t>Not designed yet</t>
        </is>
      </c>
    </row>
    <row r="61" ht="57.45" customHeight="1" s="14">
      <c r="A61" s="29" t="n">
        <v>46333</v>
      </c>
      <c r="B61" s="30" t="inlineStr">
        <is>
          <t>Sat</t>
        </is>
      </c>
      <c r="C61" s="30" t="n">
        <v>12</v>
      </c>
      <c r="D61" s="30" t="inlineStr">
        <is>
          <t>Rested by the Holidays</t>
        </is>
      </c>
      <c r="E61" s="30" t="inlineStr">
        <is>
          <t>Single Image</t>
        </is>
      </c>
      <c r="F61" s="30" t="inlineStr">
        <is>
          <t>IG + FB + TikTok photo + GBP</t>
        </is>
      </c>
      <c r="G61" s="30" t="inlineStr">
        <is>
          <t>Promo &amp; CTA</t>
        </is>
      </c>
      <c r="H61" s="30" t="inlineStr">
        <is>
          <t>Quote: Book the Appointment | Seasonal self-care push.</t>
        </is>
      </c>
      <c r="I61" s="30" t="inlineStr">
        <is>
          <t>You cannot pour from an empty cup. Book the appointment. Take the hour. You have earned it. 💛
#holidayglow #treatyourself #giftcertificate #bookyourappointment #medspaspecial #glowupseason #selfcaregift #luxuryselfcare #holidayready #giftideas</t>
        </is>
      </c>
      <c r="J61" s="30" t="inlineStr">
        <is>
          <t>Link in bio</t>
        </is>
      </c>
      <c r="K61" s="30" t="inlineStr">
        <is>
          <t>Set E</t>
        </is>
      </c>
      <c r="L61" s="30" t="inlineStr">
        <is>
          <t>Quote card in brand style</t>
        </is>
      </c>
      <c r="M61" s="24" t="n"/>
      <c r="N61" s="24" t="n"/>
      <c r="O61" s="34" t="inlineStr">
        <is>
          <t>Open folder</t>
        </is>
      </c>
      <c r="P61" s="24" t="inlineStr">
        <is>
          <t>Not designed yet</t>
        </is>
      </c>
      <c r="Q61" s="24" t="n"/>
      <c r="R61" s="30" t="inlineStr">
        <is>
          <t>Idea</t>
        </is>
      </c>
      <c r="S61" s="30" t="n"/>
      <c r="T61" s="30" t="n"/>
      <c r="U61" s="30" t="n"/>
      <c r="V61" s="30" t="n"/>
      <c r="W61" s="30" t="n"/>
      <c r="X61" s="30" t="n"/>
      <c r="Y61" s="24" t="n"/>
      <c r="Z61" s="24" t="n"/>
      <c r="AA61" s="24" t="inlineStr">
        <is>
          <t>Not designed yet</t>
        </is>
      </c>
    </row>
    <row r="62" ht="57.45" customHeight="1" s="14">
      <c r="A62" s="27" t="n">
        <v>46335</v>
      </c>
      <c r="B62" s="28" t="inlineStr">
        <is>
          <t>Mon</t>
        </is>
      </c>
      <c r="C62" s="28" t="n">
        <v>13</v>
      </c>
      <c r="D62" s="28" t="inlineStr">
        <is>
          <t>Rested by the Holidays</t>
        </is>
      </c>
      <c r="E62" s="28" t="inlineStr">
        <is>
          <t>Carousel</t>
        </is>
      </c>
      <c r="F62" s="28" t="inlineStr">
        <is>
          <t>Instagram feed + GBP</t>
        </is>
      </c>
      <c r="G62" s="28" t="inlineStr">
        <is>
          <t>Promo &amp; CTA</t>
        </is>
      </c>
      <c r="H62" s="28" t="inlineStr">
        <is>
          <t>The Gift of Glow: Gift Certificates Are Here | The present nobody returns.</t>
        </is>
      </c>
      <c r="I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J62" s="28" t="inlineStr">
        <is>
          <t>DM GIFT to order</t>
        </is>
      </c>
      <c r="K62" s="28" t="inlineStr">
        <is>
          <t>Set E</t>
        </is>
      </c>
      <c r="L62" s="28" t="inlineStr">
        <is>
          <t>Design gift certificate reveal layout</t>
        </is>
      </c>
      <c r="M62" s="24" t="n"/>
      <c r="N62" s="24" t="n"/>
      <c r="O62" s="32" t="inlineStr">
        <is>
          <t>Open folder</t>
        </is>
      </c>
      <c r="P62" s="24" t="inlineStr">
        <is>
          <t>Not designed yet</t>
        </is>
      </c>
      <c r="Q62" s="24" t="n"/>
      <c r="R62" s="28" t="inlineStr">
        <is>
          <t>Idea</t>
        </is>
      </c>
      <c r="S62" s="28" t="n"/>
      <c r="T62" s="28" t="n"/>
      <c r="U62" s="28" t="n"/>
      <c r="V62" s="28" t="n"/>
      <c r="W62" s="28" t="n"/>
      <c r="X62" s="28" t="n"/>
      <c r="Y62" s="24" t="n"/>
      <c r="Z62" s="24" t="n"/>
      <c r="AA62" s="24" t="inlineStr">
        <is>
          <t>Not designed yet</t>
        </is>
      </c>
    </row>
    <row r="63" ht="57.45" customHeight="1" s="14">
      <c r="A63" s="29" t="n">
        <v>46336</v>
      </c>
      <c r="B63" s="30" t="inlineStr">
        <is>
          <t>Tue</t>
        </is>
      </c>
      <c r="C63" s="30" t="n">
        <v>13</v>
      </c>
      <c r="D63" s="30" t="inlineStr">
        <is>
          <t>Rested by the Holidays</t>
        </is>
      </c>
      <c r="E63" s="30" t="inlineStr">
        <is>
          <t>Single Image</t>
        </is>
      </c>
      <c r="F63" s="30" t="inlineStr">
        <is>
          <t>IG + FB + TikTok photo + GBP</t>
        </is>
      </c>
      <c r="G63" s="30" t="inlineStr">
        <is>
          <t>Promo &amp; CTA</t>
        </is>
      </c>
      <c r="H63" s="30" t="inlineStr">
        <is>
          <t>Gift Certificates Are Here | The present nobody returns.</t>
        </is>
      </c>
      <c r="I63" s="30" t="inlineStr">
        <is>
          <t>In any amount, wrapped and beautiful. Give the people you love something they actually want. 🎁
#holidayglow #treatyourself #giftcertificate #bookyourappointment #medspaspecial #glowupseason #selfcaregift #luxuryselfcare #holidayready #giftideas</t>
        </is>
      </c>
      <c r="J63" s="30" t="inlineStr">
        <is>
          <t>DM GIFT to order</t>
        </is>
      </c>
      <c r="K63" s="30" t="inlineStr">
        <is>
          <t>Set E</t>
        </is>
      </c>
      <c r="L63" s="30" t="inlineStr">
        <is>
          <t>Single image: gift certificate photo + hook</t>
        </is>
      </c>
      <c r="M63" s="24" t="n"/>
      <c r="N63" s="24" t="n"/>
      <c r="O63" s="34" t="inlineStr">
        <is>
          <t>Open folder</t>
        </is>
      </c>
      <c r="P63" s="24" t="inlineStr">
        <is>
          <t>Not designed yet</t>
        </is>
      </c>
      <c r="Q63" s="24" t="n"/>
      <c r="R63" s="30" t="inlineStr">
        <is>
          <t>Idea</t>
        </is>
      </c>
      <c r="S63" s="30" t="n"/>
      <c r="T63" s="30" t="n"/>
      <c r="U63" s="30" t="n"/>
      <c r="V63" s="30" t="n"/>
      <c r="W63" s="30" t="n"/>
      <c r="X63" s="30" t="n"/>
      <c r="Y63" s="24" t="n"/>
      <c r="Z63" s="24" t="n"/>
      <c r="AA63" s="24" t="inlineStr">
        <is>
          <t>Not designed yet</t>
        </is>
      </c>
    </row>
    <row r="64" ht="57.45" customHeight="1" s="14">
      <c r="A64" s="27" t="n">
        <v>46338</v>
      </c>
      <c r="B64" s="28" t="inlineStr">
        <is>
          <t>Thu</t>
        </is>
      </c>
      <c r="C64" s="28" t="n">
        <v>13</v>
      </c>
      <c r="D64" s="28" t="inlineStr">
        <is>
          <t>Rested by the Holidays</t>
        </is>
      </c>
      <c r="E64" s="28" t="inlineStr">
        <is>
          <t>Carousel</t>
        </is>
      </c>
      <c r="F64" s="28" t="inlineStr">
        <is>
          <t>Instagram feed + GBP</t>
        </is>
      </c>
      <c r="G64" s="28" t="inlineStr">
        <is>
          <t>Trust &amp; Proof</t>
        </is>
      </c>
      <c r="H64" s="28" t="inlineStr">
        <is>
          <t>3 Months of Honest Answers: The Recap | Real education. Real results. Thank you.</t>
        </is>
      </c>
      <c r="I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J64" s="28" t="inlineStr">
        <is>
          <t>Follow for what is next</t>
        </is>
      </c>
      <c r="K64" s="28" t="inlineStr">
        <is>
          <t>Set C</t>
        </is>
      </c>
      <c r="L64" s="28" t="inlineStr">
        <is>
          <t>Compile top slides from past carousels</t>
        </is>
      </c>
      <c r="M64" s="24" t="n"/>
      <c r="N64" s="24" t="n"/>
      <c r="O64" s="32" t="inlineStr">
        <is>
          <t>Open folder</t>
        </is>
      </c>
      <c r="P64" s="24" t="inlineStr">
        <is>
          <t>Not designed yet</t>
        </is>
      </c>
      <c r="Q64" s="24" t="n"/>
      <c r="R64" s="28" t="inlineStr">
        <is>
          <t>Idea</t>
        </is>
      </c>
      <c r="S64" s="28" t="n"/>
      <c r="T64" s="28" t="n"/>
      <c r="U64" s="28" t="n"/>
      <c r="V64" s="28" t="n"/>
      <c r="W64" s="28" t="n"/>
      <c r="X64" s="28" t="n"/>
      <c r="Y64" s="24" t="n"/>
      <c r="Z64" s="24" t="n"/>
      <c r="AA64" s="24" t="inlineStr">
        <is>
          <t>Not designed yet</t>
        </is>
      </c>
    </row>
    <row r="65" ht="57.45" customHeight="1" s="14">
      <c r="A65" s="29" t="n">
        <v>46339</v>
      </c>
      <c r="B65" s="30" t="inlineStr">
        <is>
          <t>Fri</t>
        </is>
      </c>
      <c r="C65" s="30" t="n">
        <v>13</v>
      </c>
      <c r="D65" s="30" t="inlineStr">
        <is>
          <t>Rested by the Holidays</t>
        </is>
      </c>
      <c r="E65" s="30" t="inlineStr">
        <is>
          <t>Single Image</t>
        </is>
      </c>
      <c r="F65" s="30" t="inlineStr">
        <is>
          <t>IG + FB + TikTok photo + GBP</t>
        </is>
      </c>
      <c r="G65" s="30" t="inlineStr">
        <is>
          <t>Personality &amp; BTS</t>
        </is>
      </c>
      <c r="H65" s="30" t="inlineStr">
        <is>
          <t>Thank You: 3 Months of Honest Aesthetics | Gratitude post.</t>
        </is>
      </c>
      <c r="I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J65" s="30" t="inlineStr">
        <is>
          <t>Follow for what is next</t>
        </is>
      </c>
      <c r="K65" s="30" t="inlineStr">
        <is>
          <t>Set C</t>
        </is>
      </c>
      <c r="L65" s="30" t="inlineStr">
        <is>
          <t>Single image: team or Cleo photo + thank you overlay</t>
        </is>
      </c>
      <c r="M65" s="24" t="n"/>
      <c r="N65" s="24" t="n"/>
      <c r="O65" s="34" t="inlineStr">
        <is>
          <t>Open folder</t>
        </is>
      </c>
      <c r="P65" s="24" t="inlineStr">
        <is>
          <t>Not designed yet</t>
        </is>
      </c>
      <c r="Q65" s="24" t="n"/>
      <c r="R65" s="30" t="inlineStr">
        <is>
          <t>Idea</t>
        </is>
      </c>
      <c r="S65" s="30" t="n"/>
      <c r="T65" s="30" t="n"/>
      <c r="U65" s="30" t="n"/>
      <c r="V65" s="30" t="n"/>
      <c r="W65" s="30" t="n"/>
      <c r="X65" s="30" t="n"/>
      <c r="Y65" s="24" t="n"/>
      <c r="Z65" s="24" t="n"/>
      <c r="AA65" s="24" t="inlineStr">
        <is>
          <t>Not designed yet</t>
        </is>
      </c>
    </row>
    <row r="66" ht="57.45" customHeight="1" s="14">
      <c r="A66" s="29" t="n">
        <v>46340</v>
      </c>
      <c r="B66" s="30" t="inlineStr">
        <is>
          <t>Sat</t>
        </is>
      </c>
      <c r="C66" s="30" t="n">
        <v>13</v>
      </c>
      <c r="D66" s="30" t="inlineStr">
        <is>
          <t>Rested by the Holidays</t>
        </is>
      </c>
      <c r="E66" s="30" t="inlineStr">
        <is>
          <t>Single Image</t>
        </is>
      </c>
      <c r="F66" s="30" t="inlineStr">
        <is>
          <t>IG + FB + TikTok photo + GBP</t>
        </is>
      </c>
      <c r="G66" s="30" t="inlineStr">
        <is>
          <t>Promo &amp; CTA</t>
        </is>
      </c>
      <c r="H66" s="30" t="inlineStr">
        <is>
          <t>Tag Someone Who Deserves a Glow-Up Gift | Engagement + promo close.</t>
        </is>
      </c>
      <c r="I66" s="30" t="inlineStr">
        <is>
          <t>Know someone who never treats themselves? Tag them below. We will take care of the rest. 🎁
#holidayglow #treatyourself #giftcertificate #bookyourappointment #medspaspecial #glowupseason #selfcaregift #luxuryselfcare #holidayready #giftideas</t>
        </is>
      </c>
      <c r="J66" s="30" t="inlineStr">
        <is>
          <t>Tag a friend</t>
        </is>
      </c>
      <c r="K66" s="30" t="inlineStr">
        <is>
          <t>Set E</t>
        </is>
      </c>
      <c r="L66" s="30" t="inlineStr">
        <is>
          <t>Engagement card in brand style</t>
        </is>
      </c>
      <c r="M66" s="24" t="n"/>
      <c r="N66" s="24" t="n"/>
      <c r="O66" s="34" t="inlineStr">
        <is>
          <t>Open folder</t>
        </is>
      </c>
      <c r="P66" s="24" t="inlineStr">
        <is>
          <t>Not designed yet</t>
        </is>
      </c>
      <c r="Q66" s="24" t="n"/>
      <c r="R66" s="30" t="inlineStr">
        <is>
          <t>Idea</t>
        </is>
      </c>
      <c r="S66" s="30" t="n"/>
      <c r="T66" s="30" t="n"/>
      <c r="U66" s="30" t="n"/>
      <c r="V66" s="30" t="n"/>
      <c r="W66" s="30" t="n"/>
      <c r="X66" s="30" t="n"/>
      <c r="Y66" s="24" t="n"/>
      <c r="Z66" s="24" t="n"/>
      <c r="AA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AA2" r:id="rId3"/>
    <hyperlink xmlns:r="http://schemas.openxmlformats.org/officeDocument/2006/relationships" ref="O3" r:id="rId4"/>
    <hyperlink xmlns:r="http://schemas.openxmlformats.org/officeDocument/2006/relationships" ref="P3" r:id="rId5"/>
    <hyperlink xmlns:r="http://schemas.openxmlformats.org/officeDocument/2006/relationships" ref="AA3" r:id="rId6"/>
    <hyperlink xmlns:r="http://schemas.openxmlformats.org/officeDocument/2006/relationships" ref="O4" r:id="rId7"/>
    <hyperlink xmlns:r="http://schemas.openxmlformats.org/officeDocument/2006/relationships" ref="P4" r:id="rId8"/>
    <hyperlink xmlns:r="http://schemas.openxmlformats.org/officeDocument/2006/relationships" ref="AA4" r:id="rId9"/>
    <hyperlink xmlns:r="http://schemas.openxmlformats.org/officeDocument/2006/relationships" ref="O5" r:id="rId10"/>
    <hyperlink xmlns:r="http://schemas.openxmlformats.org/officeDocument/2006/relationships" ref="P5" r:id="rId11"/>
    <hyperlink xmlns:r="http://schemas.openxmlformats.org/officeDocument/2006/relationships" ref="AA5" r:id="rId12"/>
    <hyperlink xmlns:r="http://schemas.openxmlformats.org/officeDocument/2006/relationships" ref="O6" r:id="rId13"/>
    <hyperlink xmlns:r="http://schemas.openxmlformats.org/officeDocument/2006/relationships" ref="P6" r:id="rId14"/>
    <hyperlink xmlns:r="http://schemas.openxmlformats.org/officeDocument/2006/relationships" ref="AA6" r:id="rId15"/>
    <hyperlink xmlns:r="http://schemas.openxmlformats.org/officeDocument/2006/relationships" ref="O7" r:id="rId16"/>
    <hyperlink xmlns:r="http://schemas.openxmlformats.org/officeDocument/2006/relationships" ref="P7" r:id="rId17"/>
    <hyperlink xmlns:r="http://schemas.openxmlformats.org/officeDocument/2006/relationships" ref="AA7" r:id="rId18"/>
    <hyperlink xmlns:r="http://schemas.openxmlformats.org/officeDocument/2006/relationships" ref="O8" r:id="rId19"/>
    <hyperlink xmlns:r="http://schemas.openxmlformats.org/officeDocument/2006/relationships" ref="P8" r:id="rId20"/>
    <hyperlink xmlns:r="http://schemas.openxmlformats.org/officeDocument/2006/relationships" ref="AA8" r:id="rId21"/>
    <hyperlink xmlns:r="http://schemas.openxmlformats.org/officeDocument/2006/relationships" ref="O9" r:id="rId22"/>
    <hyperlink xmlns:r="http://schemas.openxmlformats.org/officeDocument/2006/relationships" ref="P9" r:id="rId23"/>
    <hyperlink xmlns:r="http://schemas.openxmlformats.org/officeDocument/2006/relationships" ref="AA9" r:id="rId24"/>
    <hyperlink xmlns:r="http://schemas.openxmlformats.org/officeDocument/2006/relationships" ref="O10" r:id="rId25"/>
    <hyperlink xmlns:r="http://schemas.openxmlformats.org/officeDocument/2006/relationships" ref="P10" r:id="rId26"/>
    <hyperlink xmlns:r="http://schemas.openxmlformats.org/officeDocument/2006/relationships" ref="AA10" r:id="rId27"/>
    <hyperlink xmlns:r="http://schemas.openxmlformats.org/officeDocument/2006/relationships" ref="O11" r:id="rId28"/>
    <hyperlink xmlns:r="http://schemas.openxmlformats.org/officeDocument/2006/relationships" ref="P11" r:id="rId29"/>
    <hyperlink xmlns:r="http://schemas.openxmlformats.org/officeDocument/2006/relationships" ref="AA11" r:id="rId30"/>
    <hyperlink xmlns:r="http://schemas.openxmlformats.org/officeDocument/2006/relationships" ref="O12" r:id="rId31"/>
    <hyperlink xmlns:r="http://schemas.openxmlformats.org/officeDocument/2006/relationships" ref="P12" r:id="rId32"/>
    <hyperlink xmlns:r="http://schemas.openxmlformats.org/officeDocument/2006/relationships" ref="AA12" r:id="rId33"/>
    <hyperlink xmlns:r="http://schemas.openxmlformats.org/officeDocument/2006/relationships" ref="O13" r:id="rId34"/>
    <hyperlink xmlns:r="http://schemas.openxmlformats.org/officeDocument/2006/relationships" ref="O14" r:id="rId35"/>
    <hyperlink xmlns:r="http://schemas.openxmlformats.org/officeDocument/2006/relationships" ref="O15" r:id="rId36"/>
    <hyperlink xmlns:r="http://schemas.openxmlformats.org/officeDocument/2006/relationships" ref="O16" r:id="rId37"/>
    <hyperlink xmlns:r="http://schemas.openxmlformats.org/officeDocument/2006/relationships" ref="O17" r:id="rId38"/>
    <hyperlink xmlns:r="http://schemas.openxmlformats.org/officeDocument/2006/relationships" ref="O18" r:id="rId39"/>
    <hyperlink xmlns:r="http://schemas.openxmlformats.org/officeDocument/2006/relationships" ref="O19" r:id="rId40"/>
    <hyperlink xmlns:r="http://schemas.openxmlformats.org/officeDocument/2006/relationships" ref="O20" r:id="rId41"/>
    <hyperlink xmlns:r="http://schemas.openxmlformats.org/officeDocument/2006/relationships" ref="O21" r:id="rId42"/>
    <hyperlink xmlns:r="http://schemas.openxmlformats.org/officeDocument/2006/relationships" ref="O22" r:id="rId43"/>
    <hyperlink xmlns:r="http://schemas.openxmlformats.org/officeDocument/2006/relationships" ref="O23" r:id="rId44"/>
    <hyperlink xmlns:r="http://schemas.openxmlformats.org/officeDocument/2006/relationships" ref="O24" r:id="rId45"/>
    <hyperlink xmlns:r="http://schemas.openxmlformats.org/officeDocument/2006/relationships" ref="O25" r:id="rId46"/>
    <hyperlink xmlns:r="http://schemas.openxmlformats.org/officeDocument/2006/relationships" ref="O26" r:id="rId47"/>
    <hyperlink xmlns:r="http://schemas.openxmlformats.org/officeDocument/2006/relationships" ref="O27" r:id="rId48"/>
    <hyperlink xmlns:r="http://schemas.openxmlformats.org/officeDocument/2006/relationships" ref="O28" r:id="rId49"/>
    <hyperlink xmlns:r="http://schemas.openxmlformats.org/officeDocument/2006/relationships" ref="O29" r:id="rId50"/>
    <hyperlink xmlns:r="http://schemas.openxmlformats.org/officeDocument/2006/relationships" ref="O30" r:id="rId51"/>
    <hyperlink xmlns:r="http://schemas.openxmlformats.org/officeDocument/2006/relationships" ref="O31" r:id="rId52"/>
    <hyperlink xmlns:r="http://schemas.openxmlformats.org/officeDocument/2006/relationships" ref="O32" r:id="rId53"/>
    <hyperlink xmlns:r="http://schemas.openxmlformats.org/officeDocument/2006/relationships" ref="O33" r:id="rId54"/>
    <hyperlink xmlns:r="http://schemas.openxmlformats.org/officeDocument/2006/relationships" ref="O34" r:id="rId55"/>
    <hyperlink xmlns:r="http://schemas.openxmlformats.org/officeDocument/2006/relationships" ref="O35" r:id="rId56"/>
    <hyperlink xmlns:r="http://schemas.openxmlformats.org/officeDocument/2006/relationships" ref="O36" r:id="rId57"/>
    <hyperlink xmlns:r="http://schemas.openxmlformats.org/officeDocument/2006/relationships" ref="O37" r:id="rId58"/>
    <hyperlink xmlns:r="http://schemas.openxmlformats.org/officeDocument/2006/relationships" ref="O38" r:id="rId59"/>
    <hyperlink xmlns:r="http://schemas.openxmlformats.org/officeDocument/2006/relationships" ref="O39" r:id="rId60"/>
    <hyperlink xmlns:r="http://schemas.openxmlformats.org/officeDocument/2006/relationships" ref="P39" r:id="rId61"/>
    <hyperlink xmlns:r="http://schemas.openxmlformats.org/officeDocument/2006/relationships" ref="O40" r:id="rId62"/>
    <hyperlink xmlns:r="http://schemas.openxmlformats.org/officeDocument/2006/relationships" ref="O41" r:id="rId63"/>
    <hyperlink xmlns:r="http://schemas.openxmlformats.org/officeDocument/2006/relationships" ref="P41" r:id="rId64"/>
    <hyperlink xmlns:r="http://schemas.openxmlformats.org/officeDocument/2006/relationships" ref="O42" r:id="rId65"/>
    <hyperlink xmlns:r="http://schemas.openxmlformats.org/officeDocument/2006/relationships" ref="O43" r:id="rId66"/>
    <hyperlink xmlns:r="http://schemas.openxmlformats.org/officeDocument/2006/relationships" ref="O44" r:id="rId67"/>
    <hyperlink xmlns:r="http://schemas.openxmlformats.org/officeDocument/2006/relationships" ref="P44" r:id="rId68"/>
    <hyperlink xmlns:r="http://schemas.openxmlformats.org/officeDocument/2006/relationships" ref="O45" r:id="rId69"/>
    <hyperlink xmlns:r="http://schemas.openxmlformats.org/officeDocument/2006/relationships" ref="O46" r:id="rId70"/>
    <hyperlink xmlns:r="http://schemas.openxmlformats.org/officeDocument/2006/relationships" ref="O47" r:id="rId71"/>
    <hyperlink xmlns:r="http://schemas.openxmlformats.org/officeDocument/2006/relationships" ref="O48" r:id="rId72"/>
    <hyperlink xmlns:r="http://schemas.openxmlformats.org/officeDocument/2006/relationships" ref="O49" r:id="rId73"/>
    <hyperlink xmlns:r="http://schemas.openxmlformats.org/officeDocument/2006/relationships" ref="P49" r:id="rId74"/>
    <hyperlink xmlns:r="http://schemas.openxmlformats.org/officeDocument/2006/relationships" ref="O50" r:id="rId75"/>
    <hyperlink xmlns:r="http://schemas.openxmlformats.org/officeDocument/2006/relationships" ref="O51" r:id="rId76"/>
    <hyperlink xmlns:r="http://schemas.openxmlformats.org/officeDocument/2006/relationships" ref="P51" r:id="rId77"/>
    <hyperlink xmlns:r="http://schemas.openxmlformats.org/officeDocument/2006/relationships" ref="O52" r:id="rId78"/>
    <hyperlink xmlns:r="http://schemas.openxmlformats.org/officeDocument/2006/relationships" ref="O53" r:id="rId79"/>
    <hyperlink xmlns:r="http://schemas.openxmlformats.org/officeDocument/2006/relationships" ref="O54" r:id="rId80"/>
    <hyperlink xmlns:r="http://schemas.openxmlformats.org/officeDocument/2006/relationships" ref="O55" r:id="rId81"/>
    <hyperlink xmlns:r="http://schemas.openxmlformats.org/officeDocument/2006/relationships" ref="P55" r:id="rId82"/>
    <hyperlink xmlns:r="http://schemas.openxmlformats.org/officeDocument/2006/relationships" ref="O56" r:id="rId83"/>
    <hyperlink xmlns:r="http://schemas.openxmlformats.org/officeDocument/2006/relationships" ref="O57" r:id="rId84"/>
    <hyperlink xmlns:r="http://schemas.openxmlformats.org/officeDocument/2006/relationships" ref="O58" r:id="rId85"/>
    <hyperlink xmlns:r="http://schemas.openxmlformats.org/officeDocument/2006/relationships" ref="O59" r:id="rId86"/>
    <hyperlink xmlns:r="http://schemas.openxmlformats.org/officeDocument/2006/relationships" ref="O60" r:id="rId87"/>
    <hyperlink xmlns:r="http://schemas.openxmlformats.org/officeDocument/2006/relationships" ref="P60" r:id="rId88"/>
    <hyperlink xmlns:r="http://schemas.openxmlformats.org/officeDocument/2006/relationships" ref="O61" r:id="rId89"/>
    <hyperlink xmlns:r="http://schemas.openxmlformats.org/officeDocument/2006/relationships" ref="O62" r:id="rId90"/>
    <hyperlink xmlns:r="http://schemas.openxmlformats.org/officeDocument/2006/relationships" ref="O63" r:id="rId91"/>
    <hyperlink xmlns:r="http://schemas.openxmlformats.org/officeDocument/2006/relationships" ref="O64" r:id="rId92"/>
    <hyperlink xmlns:r="http://schemas.openxmlformats.org/officeDocument/2006/relationships" ref="O65" r:id="rId93"/>
    <hyperlink xmlns:r="http://schemas.openxmlformats.org/officeDocument/2006/relationships" ref="O6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2026-08-17T09:20:22Z</dcterms:modified>
  <cp:revision>0</cp:revision>
</cp:coreProperties>
</file>