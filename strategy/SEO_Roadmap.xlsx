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Daily Routine" sheetId="2" state="visible" r:id="rId2"/>
    <sheet name="Daily Log" sheetId="3" state="visible" r:id="rId3"/>
    <sheet name="90-Day Overview" sheetId="4" state="visible" r:id="rId4"/>
    <sheet name="Tasks" sheetId="5" state="visible" r:id="rId5"/>
    <sheet name="Site Build" sheetId="6" state="visible" r:id="rId6"/>
    <sheet name="Target Keywords" sheetId="7" state="visible" r:id="rId7"/>
    <sheet name="Site Structure" sheetId="8" state="visible" r:id="rId8"/>
    <sheet name="Blog Pillars" sheetId="9" state="visible" r:id="rId9"/>
    <sheet name="Reviews" sheetId="10" state="visible" r:id="rId10"/>
    <sheet name="Citations" sheetId="11" state="visible" r:id="rId11"/>
    <sheet name="Local Citations" sheetId="12" state="visible" r:id="rId12"/>
    <sheet name="Heatmap Tracking" sheetId="13" state="visible" r:id="rId13"/>
    <sheet name="Metrics" sheetId="14" state="visible" r:id="rId14"/>
    <sheet name="Waiting On Cleo" sheetId="15" state="visible" r:id="rId15"/>
  </sheets>
  <definedNames>
    <definedName name="_xlnm._FilterDatabase" localSheetId="4" hidden="1">'Tasks'!$A$1:$L$160</definedName>
    <definedName name="_xlnm._FilterDatabase" localSheetId="10" hidden="1">'Citations'!$A$4:$J$34</definedName>
    <definedName name="_xlnm._FilterDatabase" localSheetId="11" hidden="1">'Local Citations'!$A$36:$K$53</definedName>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15">
    <font>
      <name val="Calibri"/>
      <color theme="1"/>
      <sz val="11"/>
      <scheme val="minor"/>
    </font>
    <font>
      <name val="Georgia"/>
      <b val="1"/>
      <color rgb="FF2E2A23"/>
      <sz val="15"/>
    </font>
    <font>
      <name val="Calibri"/>
      <i val="1"/>
      <color rgb="FF6E6557"/>
      <sz val="10"/>
    </font>
    <font>
      <name val="Calibri"/>
      <b val="1"/>
      <color rgb="FF2E2A23"/>
      <sz val="10"/>
    </font>
    <font>
      <name val="Calibri"/>
      <color rgb="FF2E2A23"/>
      <sz val="10"/>
    </font>
    <font>
      <name val="Calibri"/>
      <b val="1"/>
      <color rgb="FFB99753"/>
      <sz val="10"/>
    </font>
    <font/>
    <font>
      <name val="Calibri"/>
      <i val="1"/>
      <color rgb="FF6E6557"/>
      <sz val="9"/>
    </font>
    <font>
      <name val="Calibri"/>
      <b val="1"/>
      <color rgb="FF6E6557"/>
      <sz val="9"/>
    </font>
    <font>
      <name val="Calibri"/>
      <color rgb="FF6E6557"/>
      <sz val="9"/>
    </font>
    <font>
      <name val="Calibri"/>
      <color rgb="FF2E2A23"/>
    </font>
    <font>
      <name val="Calibri"/>
      <color rgb="FF6E6557"/>
      <sz val="10"/>
    </font>
    <font>
      <name val="Calibri"/>
      <color rgb="FF2E2A23"/>
      <sz val="10"/>
      <u val="single"/>
    </font>
    <font>
      <name val="Calibri"/>
      <b val="1"/>
      <color rgb="FF2E2A23"/>
      <sz val="10"/>
      <u val="single"/>
    </font>
    <font>
      <name val="Calibri"/>
      <color rgb="FF2E2A23"/>
      <sz val="10"/>
      <u val="single"/>
    </font>
  </fonts>
  <fills count="5">
    <fill>
      <patternFill/>
    </fill>
    <fill>
      <patternFill patternType="lightGray"/>
    </fill>
    <fill>
      <patternFill patternType="solid">
        <fgColor rgb="FFE5DCCA"/>
        <bgColor rgb="FFE5DCCA"/>
      </patternFill>
    </fill>
    <fill>
      <patternFill patternType="solid">
        <fgColor rgb="FFF3EEE5"/>
        <bgColor rgb="FFF3EEE5"/>
      </patternFill>
    </fill>
    <fill>
      <patternFill patternType="solid">
        <fgColor rgb="FFE5DCCA"/>
      </patternFill>
    </fill>
  </fills>
  <borders count="7">
    <border/>
    <border>
      <bottom style="thin">
        <color rgb="FFC9A85C"/>
      </bottom>
    </border>
    <border>
      <left/>
      <top/>
      <bottom/>
    </border>
    <border>
      <top/>
      <bottom/>
    </border>
    <border>
      <right/>
      <top/>
      <bottom/>
    </border>
    <border>
      <left/>
      <right/>
      <top/>
      <bottom/>
    </border>
    <border>
      <bottom style="thin"/>
    </border>
  </borders>
  <cellStyleXfs count="1">
    <xf numFmtId="0" fontId="0" fillId="0" borderId="0"/>
  </cellStyleXfs>
  <cellXfs count="58">
    <xf numFmtId="0" fontId="0" fillId="0" borderId="0" applyAlignment="1" pivotButton="0" quotePrefix="0" xfId="0">
      <alignment vertical="bottom"/>
    </xf>
    <xf numFmtId="0" fontId="1" fillId="0" borderId="0" pivotButton="0" quotePrefix="0" xfId="0"/>
    <xf numFmtId="0" fontId="2" fillId="0" borderId="0" pivotButton="0" quotePrefix="0" xfId="0"/>
    <xf numFmtId="0" fontId="2" fillId="0" borderId="0" pivotButton="0" quotePrefix="0" xfId="0"/>
    <xf numFmtId="0" fontId="3" fillId="0" borderId="0" pivotButton="0" quotePrefix="0" xfId="0"/>
    <xf numFmtId="0" fontId="3" fillId="2" borderId="1" applyAlignment="1" pivotButton="0" quotePrefix="0" xfId="0">
      <alignment vertical="center" wrapText="1"/>
    </xf>
    <xf numFmtId="0" fontId="4" fillId="0" borderId="0" applyAlignment="1" pivotButton="0" quotePrefix="0" xfId="0">
      <alignment vertical="top" wrapText="1"/>
    </xf>
    <xf numFmtId="0" fontId="3" fillId="2" borderId="2" applyAlignment="1" pivotButton="0" quotePrefix="0" xfId="0">
      <alignment vertical="center"/>
    </xf>
    <xf numFmtId="0" fontId="5" fillId="0" borderId="0" pivotButton="0" quotePrefix="0" xfId="0"/>
    <xf numFmtId="0" fontId="6" fillId="0" borderId="3" pivotButton="0" quotePrefix="0" xfId="0"/>
    <xf numFmtId="0" fontId="6" fillId="0" borderId="4" pivotButton="0" quotePrefix="0" xfId="0"/>
    <xf numFmtId="0" fontId="3" fillId="0" borderId="0" applyAlignment="1" pivotButton="0" quotePrefix="0" xfId="0">
      <alignment vertical="top" wrapText="1"/>
    </xf>
    <xf numFmtId="0" fontId="3" fillId="0" borderId="0" applyAlignment="1" pivotButton="0" quotePrefix="0" xfId="0">
      <alignment vertical="top"/>
    </xf>
    <xf numFmtId="164" fontId="4" fillId="0" borderId="0" applyAlignment="1" pivotButton="0" quotePrefix="0" xfId="0">
      <alignment vertical="top"/>
    </xf>
    <xf numFmtId="0" fontId="4" fillId="0" borderId="0" applyAlignment="1" pivotButton="0" quotePrefix="0" xfId="0">
      <alignment vertical="top" wrapText="1"/>
    </xf>
    <xf numFmtId="0" fontId="3" fillId="3" borderId="1" pivotButton="0" quotePrefix="0" xfId="0"/>
    <xf numFmtId="0" fontId="4" fillId="0" borderId="0" applyAlignment="1" pivotButton="0" quotePrefix="0" xfId="0">
      <alignment vertical="top"/>
    </xf>
    <xf numFmtId="0" fontId="3" fillId="0" borderId="0" applyAlignment="1" pivotButton="0" quotePrefix="0" xfId="0">
      <alignment vertical="center" wrapText="1"/>
    </xf>
    <xf numFmtId="0" fontId="4" fillId="0" borderId="0" applyAlignment="1" pivotButton="0" quotePrefix="0" xfId="0">
      <alignment vertical="center" wrapText="1"/>
    </xf>
    <xf numFmtId="0" fontId="7" fillId="0" borderId="0" applyAlignment="1" pivotButton="0" quotePrefix="0" xfId="0">
      <alignment vertical="center" wrapText="1"/>
    </xf>
    <xf numFmtId="9" fontId="3" fillId="0" borderId="0" pivotButton="0" quotePrefix="0" xfId="0"/>
    <xf numFmtId="0" fontId="8" fillId="0" borderId="0" pivotButton="0" quotePrefix="0" xfId="0"/>
    <xf numFmtId="0" fontId="9" fillId="0" borderId="0" pivotButton="0" quotePrefix="0" xfId="0"/>
    <xf numFmtId="0" fontId="3" fillId="0" borderId="0" applyAlignment="1" pivotButton="0" quotePrefix="0" xfId="0">
      <alignment horizontal="center" vertical="top"/>
    </xf>
    <xf numFmtId="0" fontId="4" fillId="0" borderId="0" applyAlignment="1" pivotButton="0" quotePrefix="0" xfId="0">
      <alignment vertical="center"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4" fillId="0" borderId="0" applyAlignment="1" pivotButton="0" quotePrefix="0" xfId="0">
      <alignment horizontal="center" vertical="top"/>
    </xf>
    <xf numFmtId="9" fontId="4" fillId="0" borderId="0" applyAlignment="1" pivotButton="0" quotePrefix="0" xfId="0">
      <alignment horizontal="center" vertical="top"/>
    </xf>
    <xf numFmtId="0" fontId="10" fillId="0" borderId="0" applyAlignment="1" pivotButton="0" quotePrefix="0" xfId="0">
      <alignment wrapText="1"/>
    </xf>
    <xf numFmtId="0" fontId="4" fillId="0" borderId="0" applyAlignment="1" pivotButton="0" quotePrefix="0" xfId="0">
      <alignment horizontal="left" vertical="top"/>
    </xf>
    <xf numFmtId="0" fontId="7" fillId="0" borderId="0" pivotButton="0" quotePrefix="0" xfId="0"/>
    <xf numFmtId="164" fontId="4" fillId="0" borderId="0" applyAlignment="1" pivotButton="0" quotePrefix="0" xfId="0">
      <alignment horizontal="left" vertical="center"/>
    </xf>
    <xf numFmtId="0" fontId="11" fillId="0" borderId="0" applyAlignment="1" pivotButton="0" quotePrefix="0" xfId="0">
      <alignment horizontal="center" vertical="center"/>
    </xf>
    <xf numFmtId="0" fontId="7" fillId="0" borderId="0" applyAlignment="1" pivotButton="0" quotePrefix="0" xfId="0">
      <alignment vertical="top" wrapText="1"/>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4" fillId="0" borderId="0" applyAlignment="1" pivotButton="0" quotePrefix="0" xfId="0">
      <alignment horizontal="left" vertical="center" wrapText="1"/>
    </xf>
    <xf numFmtId="9" fontId="4" fillId="0" borderId="0" pivotButton="0" quotePrefix="0" xfId="0"/>
    <xf numFmtId="164" fontId="4" fillId="0" borderId="0" applyAlignment="1" pivotButton="0" quotePrefix="0" xfId="0">
      <alignment vertical="top" wrapText="1"/>
    </xf>
    <xf numFmtId="0" fontId="4" fillId="0" borderId="0" applyAlignment="1" pivotButton="0" quotePrefix="0" xfId="0">
      <alignment vertical="top"/>
    </xf>
    <xf numFmtId="164" fontId="4" fillId="0" borderId="0" pivotButton="0" quotePrefix="0" xfId="0"/>
    <xf numFmtId="0" fontId="12" fillId="0" borderId="0"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0" fillId="0" borderId="0" pivotButton="0" quotePrefix="0" xfId="0"/>
    <xf numFmtId="0" fontId="3" fillId="2" borderId="5" applyAlignment="1" pivotButton="0" quotePrefix="0" xfId="0">
      <alignment vertical="center"/>
    </xf>
    <xf numFmtId="0" fontId="4" fillId="0" borderId="0" applyAlignment="1" pivotButton="0" quotePrefix="0" xfId="0">
      <alignment vertical="top"/>
    </xf>
    <xf numFmtId="164" fontId="4" fillId="0" borderId="0" applyAlignment="1" pivotButton="0" quotePrefix="0" xfId="0">
      <alignment vertical="top"/>
    </xf>
    <xf numFmtId="0" fontId="4" fillId="0" borderId="0" applyAlignment="1" pivotButton="0" quotePrefix="0" xfId="0">
      <alignment vertical="top" wrapText="1"/>
    </xf>
    <xf numFmtId="0" fontId="2" fillId="0" borderId="0" applyAlignment="1" pivotButton="0" quotePrefix="0" xfId="0">
      <alignment vertical="top" wrapText="1"/>
    </xf>
    <xf numFmtId="0" fontId="3" fillId="4" borderId="0" pivotButton="0" quotePrefix="0" xfId="0"/>
    <xf numFmtId="0" fontId="0" fillId="4" borderId="0" pivotButton="0" quotePrefix="0" xfId="0"/>
    <xf numFmtId="0" fontId="3" fillId="4" borderId="6" applyAlignment="1" pivotButton="0" quotePrefix="0" xfId="0">
      <alignment vertical="center" wrapText="1"/>
    </xf>
    <xf numFmtId="1" fontId="4" fillId="0" borderId="0" applyAlignment="1" pivotButton="0" quotePrefix="0" xfId="0">
      <alignment vertical="top"/>
    </xf>
    <xf numFmtId="2" fontId="4" fillId="0" borderId="0" applyAlignment="1" pivotButton="0" quotePrefix="0" xfId="0">
      <alignment vertical="top"/>
    </xf>
  </cellXfs>
  <cellStyles count="1">
    <cellStyle name="Normal" xfId="0" builtinId="0"/>
  </cellStyles>
  <dxfs count="7">
    <dxf>
      <font/>
      <fill>
        <patternFill patternType="solid">
          <fgColor rgb="FFDDEBD8"/>
          <bgColor rgb="FFDDEBD8"/>
        </patternFill>
      </fill>
      <border/>
    </dxf>
    <dxf>
      <font/>
      <fill>
        <patternFill patternType="solid">
          <fgColor rgb="FFF6DCDA"/>
          <bgColor rgb="FFF6DCDA"/>
        </patternFill>
      </fill>
      <border/>
    </dxf>
    <dxf>
      <font/>
      <fill>
        <patternFill patternType="solid">
          <fgColor rgb="FFFBEFD4"/>
          <bgColor rgb="FFFBEFD4"/>
        </patternFill>
      </fill>
      <border/>
    </dxf>
    <dxf>
      <font>
        <b val="1"/>
        <color rgb="FFB03A2E"/>
      </font>
      <fill>
        <patternFill/>
      </fill>
      <border/>
    </dxf>
    <dxf>
      <fill>
        <patternFill patternType="solid">
          <fgColor rgb="FFDDEBD8"/>
          <bgColor rgb="FFDDEBD8"/>
        </patternFill>
      </fill>
    </dxf>
    <dxf>
      <fill>
        <patternFill patternType="solid">
          <fgColor rgb="FFF6DCDA"/>
          <bgColor rgb="FFF6DCDA"/>
        </patternFill>
      </fill>
    </dxf>
    <dxf>
      <fill>
        <patternFill patternType="solid">
          <fgColor rgb="FFFBEFD4"/>
          <bgColor rgb="FFFBEFD4"/>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1.xml.rels><Relationships xmlns="http://schemas.openxmlformats.org/package/2006/relationships"><Relationship Type="http://schemas.openxmlformats.org/officeDocument/2006/relationships/hyperlink" Target="https://share.google/FpK3RhUmP2n3dVgUQ" TargetMode="External" Id="rId1" /><Relationship Type="http://schemas.openxmlformats.org/officeDocument/2006/relationships/hyperlink" Target="https://www.fresha.com/lvp/luxury-beauty-by-cleo-r-preserve-drive-oakville-X417M2" TargetMode="External" Id="rId2" /><Relationship Type="http://schemas.openxmlformats.org/officeDocument/2006/relationships/hyperlink" Target="http://bookbeauty.ca/" TargetMode="External" Id="rId3" /><Relationship Type="http://schemas.openxmlformats.org/officeDocument/2006/relationships/hyperlink" Target="https://bookbeauty.ca/listing/luxury-beauty-by-cleo-r/" TargetMode="External" Id="rId4" /><Relationship Type="http://schemas.openxmlformats.org/officeDocument/2006/relationships/hyperlink" Target="http://fresha.com/l" TargetMode="External" Id="rId5" /></Relationships>
</file>

<file path=xl/worksheets/_rels/sheet12.xml.rels><Relationships xmlns="http://schemas.openxmlformats.org/package/2006/relationships"><Relationship Type="http://schemas.openxmlformats.org/officeDocument/2006/relationships/hyperlink" Target="https://ca.nextdoor.com/page/luxury-beauty-by-cleo-r-oakville-on" TargetMode="External" Id="rId1" /></Relationships>
</file>

<file path=xl/worksheets/sheet1.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ColWidth="14.43" defaultRowHeight="15" customHeight="1"/>
  <cols>
    <col width="26" customWidth="1" style="47" min="1" max="1"/>
    <col width="96" customWidth="1" style="47" min="2" max="2"/>
    <col width="8.710000000000001" customWidth="1" style="47" min="3" max="4"/>
    <col width="59.43" customWidth="1" style="47" min="5" max="5"/>
    <col width="8.710000000000001" customWidth="1" style="47" min="6" max="26"/>
  </cols>
  <sheetData>
    <row r="1" ht="21.75" customHeight="1" s="47">
      <c r="A1" s="1" t="inlineStr">
        <is>
          <t>Getting Found in Oakville — six-month tracker</t>
        </is>
      </c>
    </row>
    <row r="2">
      <c r="A2" s="3" t="inlineStr">
        <is>
          <t>Working file for Luxury Beauty by Cleo R. Companion to seo-roadmap-6-month.docx</t>
        </is>
      </c>
    </row>
    <row r="3"/>
    <row r="4">
      <c r="A4" s="4" t="n"/>
      <c r="B4" s="14" t="n"/>
    </row>
    <row r="5">
      <c r="A5" s="8" t="inlineStr">
        <is>
          <t>THE SHAPE OF IT</t>
        </is>
      </c>
      <c r="B5" s="14" t="n"/>
    </row>
    <row r="6">
      <c r="A6" s="4" t="inlineStr">
        <is>
          <t>Runs</t>
        </is>
      </c>
      <c r="B6" s="14" t="inlineStr">
        <is>
          <t>Monday 17 August 2026 to Sunday 14 February 2027. Twenty-six weeks, six months.</t>
        </is>
      </c>
    </row>
    <row r="7">
      <c r="A7" s="4" t="inlineStr">
        <is>
          <t>Right now</t>
        </is>
      </c>
      <c r="B7" s="14" t="inlineStr">
        <is>
          <t>The rest of August is Google Business Profile and citations. Nothing else.</t>
        </is>
      </c>
    </row>
    <row r="8">
      <c r="A8" s="4" t="inlineStr">
        <is>
          <t>Week of Aug 24</t>
        </is>
      </c>
      <c r="B8" s="14" t="inlineStr">
        <is>
          <t>Website planning and design. Sitemap, wireframes, keyword-to-page map, copy outline.</t>
        </is>
      </c>
    </row>
    <row r="9">
      <c r="A9" s="4" t="inlineStr">
        <is>
          <t>Aug 31</t>
        </is>
      </c>
      <c r="B9" s="14" t="inlineStr">
        <is>
          <t>Design sign-off. This is the date the build waits on.</t>
        </is>
      </c>
    </row>
    <row r="10">
      <c r="A10" s="4" t="inlineStr">
        <is>
          <t>Sept 1</t>
        </is>
      </c>
      <c r="B10" s="14" t="inlineStr">
        <is>
          <t>Build starts. Launch target is the week of 5 October.</t>
        </is>
      </c>
    </row>
    <row r="11">
      <c r="A11" s="4" t="n"/>
      <c r="B11" s="14" t="n"/>
    </row>
    <row r="12">
      <c r="A12" s="48" t="n"/>
    </row>
    <row r="13">
      <c r="A13" s="15" t="inlineStr">
        <is>
          <t>Field</t>
        </is>
      </c>
      <c r="B13" s="15" t="inlineStr">
        <is>
          <t>Value</t>
        </is>
      </c>
      <c r="E13" s="15" t="inlineStr">
        <is>
          <t>Where it gets decided</t>
        </is>
      </c>
    </row>
    <row r="14">
      <c r="A14" s="17" t="inlineStr">
        <is>
          <t>Business name (exact)</t>
        </is>
      </c>
      <c r="B14" s="24" t="inlineStr">
        <is>
          <t>Luxury Beauty by Cleo R.</t>
        </is>
      </c>
      <c r="E14" s="19" t="inlineStr">
        <is>
          <t>Use this spelling everywhere. No 'Med Spa', no 'Inc', no variations</t>
        </is>
      </c>
    </row>
    <row r="15">
      <c r="A15" s="17" t="inlineStr">
        <is>
          <t>Practitioner</t>
        </is>
      </c>
      <c r="B15" s="24" t="inlineStr">
        <is>
          <t>Cleo Rukovo, NP</t>
        </is>
      </c>
      <c r="E15" s="19" t="inlineStr">
        <is>
          <t>Nurse practitioner. Some healthcare directories list the person, not the practice</t>
        </is>
      </c>
    </row>
    <row r="16">
      <c r="A16" s="17" t="inlineStr">
        <is>
          <t>Address line 1</t>
        </is>
      </c>
      <c r="B16" s="24" t="inlineStr">
        <is>
          <t>3060 Preserve Drive</t>
        </is>
      </c>
      <c r="E16" s="19" t="inlineStr">
        <is>
          <t>Confirmed</t>
        </is>
      </c>
    </row>
    <row r="17">
      <c r="A17" s="17" t="inlineStr">
        <is>
          <t>Suite / unit</t>
        </is>
      </c>
      <c r="B17" s="24" t="n"/>
      <c r="E17" s="19" t="inlineStr">
        <is>
          <t>Waiting on the Allure conversation. This is what separates you from their listing</t>
        </is>
      </c>
    </row>
    <row r="18">
      <c r="A18" s="17" t="inlineStr">
        <is>
          <t>City</t>
        </is>
      </c>
      <c r="B18" s="24" t="inlineStr">
        <is>
          <t>Oakville</t>
        </is>
      </c>
      <c r="E18" s="19" t="inlineStr">
        <is>
          <t>Confirmed</t>
        </is>
      </c>
    </row>
    <row r="19">
      <c r="A19" s="17" t="inlineStr">
        <is>
          <t>Province</t>
        </is>
      </c>
      <c r="B19" s="24" t="inlineStr">
        <is>
          <t>Ontario</t>
        </is>
      </c>
      <c r="E19" s="19" t="inlineStr">
        <is>
          <t>Write 'Ontario' in full, or 'ON' — pick one and never mix them</t>
        </is>
      </c>
    </row>
    <row r="20">
      <c r="A20" s="17" t="inlineStr">
        <is>
          <t>Postal code</t>
        </is>
      </c>
      <c r="B20" s="24" t="inlineStr">
        <is>
          <t>L6M 4L9</t>
        </is>
      </c>
      <c r="E20" s="19" t="inlineStr">
        <is>
          <t>Confirmed by Cleo, 21 Aug 2026. Listings showing L6M 0T9 are the error - verify against Canada Post before the mass correction</t>
        </is>
      </c>
    </row>
    <row r="21">
      <c r="A21" s="17" t="inlineStr">
        <is>
          <t>Country</t>
        </is>
      </c>
      <c r="B21" s="24" t="inlineStr">
        <is>
          <t>Canada</t>
        </is>
      </c>
      <c r="E21" s="19" t="inlineStr">
        <is>
          <t>Confirmed</t>
        </is>
      </c>
    </row>
    <row r="22">
      <c r="A22" s="17" t="inlineStr">
        <is>
          <t>Phone</t>
        </is>
      </c>
      <c r="B22" s="24" t="inlineStr">
        <is>
          <t>(416) 294-0452</t>
        </is>
      </c>
      <c r="E22" s="19" t="inlineStr">
        <is>
          <t>One number, everywhere. A local 905 or 289 line beats the 416 mobile if you can get one</t>
        </is>
      </c>
    </row>
    <row r="23">
      <c r="A23" s="17" t="inlineStr">
        <is>
          <t>Email</t>
        </is>
      </c>
      <c r="B23" s="24" t="inlineStr">
        <is>
          <t>Luxury.beautyaestheticz@gmail.com</t>
        </is>
      </c>
      <c r="E23" s="19" t="inlineStr">
        <is>
          <t>One address. Currently split between crukovo@ and luxury.beautyaestheticz@</t>
        </is>
      </c>
    </row>
    <row r="24">
      <c r="A24" s="17" t="inlineStr">
        <is>
          <t>Website</t>
        </is>
      </c>
      <c r="B24" s="24" t="inlineStr">
        <is>
          <t>https://luxurybeautybycleo.ca</t>
        </is>
      </c>
      <c r="E24" s="19" t="inlineStr">
        <is>
          <t>Use the booking link until the site is live in October, then switch every listing</t>
        </is>
      </c>
    </row>
    <row r="25">
      <c r="A25" s="17" t="inlineStr">
        <is>
          <t>Booking URL</t>
        </is>
      </c>
      <c r="B25" s="24" t="inlineStr">
        <is>
          <t>IG only</t>
        </is>
      </c>
      <c r="E25" s="19" t="inlineStr">
        <is>
          <t>Needed before any directory that offers a booking button</t>
        </is>
      </c>
    </row>
    <row r="26">
      <c r="A26" s="17" t="inlineStr">
        <is>
          <t>Primary category</t>
        </is>
      </c>
      <c r="B26" s="24" t="inlineStr">
        <is>
          <t>Medical Spa</t>
        </is>
      </c>
      <c r="E26" s="19" t="inlineStr">
        <is>
          <t>Set on the Google profile first, then match it everywhere else</t>
        </is>
      </c>
    </row>
    <row r="27">
      <c r="A27" s="17" t="inlineStr">
        <is>
          <t>Secondary categories</t>
        </is>
      </c>
      <c r="B27" s="24" t="inlineStr">
        <is>
          <t>Skin care clinic
Weight loss service</t>
        </is>
      </c>
      <c r="E27" s="19" t="inlineStr">
        <is>
          <t>Chosen to avoid colliding with Allure's listing</t>
        </is>
      </c>
    </row>
    <row r="28">
      <c r="A28" s="17" t="inlineStr">
        <is>
          <t>Short description (under 250 characters)</t>
        </is>
      </c>
      <c r="B28" s="24" t="n"/>
      <c r="E28" s="19" t="inlineStr">
        <is>
          <t>Names the town and the treatments. No prescription drug names, no benefit claims</t>
        </is>
      </c>
    </row>
    <row r="29">
      <c r="A29" s="17" t="inlineStr">
        <is>
          <t>Long description</t>
        </is>
      </c>
      <c r="B29" s="24" t="inlineStr">
        <is>
          <t xml:space="preserve">Luxury Beauty by Cleo R. is a nurse practitioner-led medical spa in Oakville, Ontario, serving clients across Burlington, Mississauga, Milton and Halton Region. Our services include lip filler, dermal filler for volume loss, anti-wrinkle injections, jawline slimming, skin boosters for hydration and glow, dermaplaning, and electrolysis. Every visit begins with a one-on-one consultation so we can plan the right approach for your features and your goals. Our philosophy is simple: the right product, the right technique, and never more than you need. Every treatment is performed by Cleo Rukovo, NP. Book your consultation today.		</t>
        </is>
      </c>
      <c r="E29" s="19" t="inlineStr">
        <is>
          <t>Same rules. Write once, reuse everywhere</t>
        </is>
      </c>
    </row>
    <row r="30">
      <c r="A30" s="17" t="inlineStr">
        <is>
          <t>Hours — Monday</t>
        </is>
      </c>
      <c r="B30" s="24" t="inlineStr">
        <is>
          <t>Closed</t>
        </is>
      </c>
      <c r="E30" s="19" t="inlineStr">
        <is>
          <t>All seven days. 'Closed' is an answer; blank is not</t>
        </is>
      </c>
    </row>
    <row r="31">
      <c r="A31" s="17" t="inlineStr">
        <is>
          <t>Hours — Tuesday</t>
        </is>
      </c>
      <c r="B31" s="24" t="inlineStr">
        <is>
          <t>Closed</t>
        </is>
      </c>
      <c r="E31" s="19" t="n"/>
    </row>
    <row r="32">
      <c r="A32" s="17" t="inlineStr">
        <is>
          <t>Hours — Wednesday</t>
        </is>
      </c>
      <c r="B32" s="24" t="inlineStr">
        <is>
          <t>Closed</t>
        </is>
      </c>
      <c r="E32" s="19" t="n"/>
    </row>
    <row r="33">
      <c r="A33" s="17" t="inlineStr">
        <is>
          <t>Hours — Thursday</t>
        </is>
      </c>
      <c r="B33" s="24" t="inlineStr">
        <is>
          <t>Closed</t>
        </is>
      </c>
      <c r="E33" s="19" t="n"/>
    </row>
    <row r="34">
      <c r="A34" s="17" t="inlineStr">
        <is>
          <t>Hours — Friday</t>
        </is>
      </c>
      <c r="B34" s="24" t="inlineStr">
        <is>
          <t xml:space="preserve">
10:00 AM–8:00 PM</t>
        </is>
      </c>
      <c r="E34" s="19" t="n"/>
    </row>
    <row r="35">
      <c r="A35" s="17" t="inlineStr">
        <is>
          <t>Hours — Saturday</t>
        </is>
      </c>
      <c r="B35" s="29" t="inlineStr">
        <is>
          <t>Closed</t>
        </is>
      </c>
      <c r="E35" s="19" t="n"/>
    </row>
    <row r="36">
      <c r="A36" s="17" t="inlineStr">
        <is>
          <t>Hours — Sunday</t>
        </is>
      </c>
      <c r="B36" s="29" t="inlineStr">
        <is>
          <t>Closed</t>
        </is>
      </c>
      <c r="E36" s="19" t="inlineStr">
        <is>
          <t>The only hours on record anywhere today are Sunday 12 to 5</t>
        </is>
      </c>
    </row>
    <row r="37">
      <c r="A37" s="17" t="inlineStr">
        <is>
          <t>Year established</t>
        </is>
      </c>
      <c r="B37" s="24" t="n">
        <v>2023</v>
      </c>
      <c r="E37" s="19" t="n"/>
    </row>
    <row r="38">
      <c r="A38" s="17" t="inlineStr">
        <is>
          <t>Service area</t>
        </is>
      </c>
      <c r="B38" s="24" t="inlineStr">
        <is>
          <t>Oakville, Burlington, Milton, Mississauga, Glen Abbey, Joshua Creek, Bronte</t>
        </is>
      </c>
      <c r="E38" s="19" t="inlineStr">
        <is>
          <t>Used where a directory asks for a service radius</t>
        </is>
      </c>
    </row>
    <row r="39">
      <c r="A39" s="17" t="inlineStr">
        <is>
          <t>Logo file</t>
        </is>
      </c>
      <c r="B39" s="24" t="inlineStr">
        <is>
          <t>added</t>
        </is>
      </c>
      <c r="E39" s="19" t="inlineStr">
        <is>
          <t>From design/brand</t>
        </is>
      </c>
    </row>
    <row r="40">
      <c r="A40" s="17" t="inlineStr">
        <is>
          <t>Cover photo</t>
        </is>
      </c>
      <c r="B40" s="24" t="inlineStr">
        <is>
          <t>added</t>
        </is>
      </c>
      <c r="E40" s="19" t="n"/>
    </row>
    <row r="41">
      <c r="A41" s="34" t="n"/>
    </row>
    <row r="42" ht="15.75" customHeight="1" s="47">
      <c r="A42" s="4" t="n"/>
      <c r="B42" s="14" t="n"/>
    </row>
    <row r="43" ht="15.75" customHeight="1" s="47">
      <c r="A43" s="4" t="n"/>
      <c r="B43" s="14" t="n"/>
    </row>
    <row r="44" ht="15.75" customHeight="1" s="47">
      <c r="A44" s="4" t="n"/>
      <c r="B44" s="14" t="n"/>
    </row>
    <row r="45" ht="15.75" customHeight="1" s="47">
      <c r="A45" s="8" t="inlineStr">
        <is>
          <t>WHERE THINGS STAND</t>
        </is>
      </c>
      <c r="B45" s="14" t="n"/>
    </row>
    <row r="46" ht="15.75" customHeight="1" s="47">
      <c r="A46" s="4" t="inlineStr">
        <is>
          <t>Project tasks</t>
        </is>
      </c>
      <c r="B46" s="37">
        <f>COUNTA(Tasks!F2:F160)</f>
        <v/>
      </c>
    </row>
    <row r="47" ht="15.75" customHeight="1" s="47">
      <c r="A47" s="4" t="inlineStr">
        <is>
          <t>Not started</t>
        </is>
      </c>
      <c r="B47" s="37">
        <f>COUNTIF(Tasks!J2:J160,"Not started")</f>
        <v/>
      </c>
    </row>
    <row r="48" ht="15.75" customHeight="1" s="47">
      <c r="A48" s="4" t="inlineStr">
        <is>
          <t>In progress</t>
        </is>
      </c>
      <c r="B48" s="37">
        <f>COUNTIF(Tasks!J2:J160,"In progress")</f>
        <v/>
      </c>
    </row>
    <row r="49" ht="15.75" customHeight="1" s="47">
      <c r="A49" s="4" t="inlineStr">
        <is>
          <t>Blocked</t>
        </is>
      </c>
      <c r="B49" s="37">
        <f>COUNTIF(Tasks!J2:J160,"Blocked")</f>
        <v/>
      </c>
    </row>
    <row r="50" ht="15.75" customHeight="1" s="47">
      <c r="A50" s="4" t="inlineStr">
        <is>
          <t>Done</t>
        </is>
      </c>
      <c r="B50" s="37">
        <f>COUNTIF(Tasks!J2:J160,"Done")</f>
        <v/>
      </c>
    </row>
    <row r="51" ht="15.75" customHeight="1" s="47">
      <c r="A51" s="4" t="inlineStr">
        <is>
          <t>Overdue and not done</t>
        </is>
      </c>
      <c r="B51" s="37">
        <f>SUMPRODUCT((Tasks!D2:D160&lt;TODAY())*(Tasks!J2:J160&lt;&gt;"Done")*(Tasks!J2:J160&lt;&gt;"Not applicable"))</f>
        <v/>
      </c>
    </row>
    <row r="52" ht="15.75" customHeight="1" s="47">
      <c r="A52" s="4" t="inlineStr">
        <is>
          <t>Percent complete</t>
        </is>
      </c>
      <c r="B52" s="40">
        <f>IFERROR(COUNTIF(Tasks!J2:J160,"Done")/COUNTA(Tasks!F2:F160),0)</f>
        <v/>
      </c>
    </row>
    <row r="53" ht="15.75" customHeight="1" s="47">
      <c r="A53" s="4" t="inlineStr">
        <is>
          <t>Daily slots done</t>
        </is>
      </c>
      <c r="B53" s="37">
        <f>'Daily Log'!G2</f>
        <v/>
      </c>
    </row>
    <row r="54" ht="15.75" customHeight="1" s="47">
      <c r="A54" s="4" t="inlineStr">
        <is>
          <t>Daily slots missed</t>
        </is>
      </c>
      <c r="B54" s="37">
        <f>'Daily Log'!I2</f>
        <v/>
      </c>
    </row>
    <row r="55" ht="15.75" customHeight="1" s="47">
      <c r="A55" s="4" t="inlineStr">
        <is>
          <t>Daily completion rate</t>
        </is>
      </c>
      <c r="B55" s="40">
        <f>'Daily Log'!K2</f>
        <v/>
      </c>
    </row>
    <row r="56" ht="15.75" customHeight="1" s="47"/>
    <row r="57" ht="15.75" customHeight="1" s="47">
      <c r="A57" s="31" t="n"/>
    </row>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row r="1001" ht="15.75" customHeight="1" s="47"/>
    <row r="1002" ht="15.75" customHeight="1" s="47"/>
    <row r="1003" ht="15.75" customHeight="1" s="47"/>
    <row r="1004" ht="15.75" customHeight="1" s="47"/>
    <row r="1005" ht="15.75" customHeight="1" s="47"/>
    <row r="1006" ht="15.75" customHeight="1" s="47"/>
    <row r="1007" ht="15.75" customHeight="1" s="47"/>
    <row r="1008" ht="15.75" customHeight="1" s="47"/>
    <row r="1009" ht="15.75" customHeight="1" s="47"/>
    <row r="1010" ht="15.75" customHeight="1" s="47"/>
    <row r="1011" ht="15.75" customHeight="1" s="47"/>
    <row r="1012" ht="15.75" customHeight="1" s="47"/>
    <row r="1013" ht="15.75" customHeight="1" s="47"/>
    <row r="1014" ht="15.75" customHeight="1" s="47"/>
    <row r="1015" ht="15.75" customHeight="1" s="47"/>
    <row r="1016" ht="15.75" customHeight="1" s="47"/>
    <row r="1017" ht="15.75" customHeight="1" s="47"/>
    <row r="1018" ht="15.75" customHeight="1" s="47"/>
  </sheetData>
  <mergeCells count="56">
    <mergeCell ref="E36:K36"/>
    <mergeCell ref="B14:D14"/>
    <mergeCell ref="E26:K26"/>
    <mergeCell ref="B23:D23"/>
    <mergeCell ref="B17:D17"/>
    <mergeCell ref="E16:K16"/>
    <mergeCell ref="E32:K32"/>
    <mergeCell ref="B29:D29"/>
    <mergeCell ref="E25:K25"/>
    <mergeCell ref="B38:D38"/>
    <mergeCell ref="B34:D34"/>
    <mergeCell ref="B28:D28"/>
    <mergeCell ref="E37:K37"/>
    <mergeCell ref="E22:K22"/>
    <mergeCell ref="B19:D19"/>
    <mergeCell ref="B37:D37"/>
    <mergeCell ref="E18:K18"/>
    <mergeCell ref="E21:K21"/>
    <mergeCell ref="A41:K41"/>
    <mergeCell ref="B40:D40"/>
    <mergeCell ref="B30:D30"/>
    <mergeCell ref="B15:D15"/>
    <mergeCell ref="E24:K24"/>
    <mergeCell ref="B24:D24"/>
    <mergeCell ref="E33:K33"/>
    <mergeCell ref="B20:D20"/>
    <mergeCell ref="B33:D33"/>
    <mergeCell ref="E23:K23"/>
    <mergeCell ref="E39:K39"/>
    <mergeCell ref="A12:K12"/>
    <mergeCell ref="E14:K14"/>
    <mergeCell ref="B36:D36"/>
    <mergeCell ref="E17:K17"/>
    <mergeCell ref="B35:D35"/>
    <mergeCell ref="B32:D32"/>
    <mergeCell ref="B26:D26"/>
    <mergeCell ref="E35:K35"/>
    <mergeCell ref="E29:K29"/>
    <mergeCell ref="E20:K20"/>
    <mergeCell ref="E38:K38"/>
    <mergeCell ref="B25:D25"/>
    <mergeCell ref="E19:K19"/>
    <mergeCell ref="B16:D16"/>
    <mergeCell ref="E28:K28"/>
    <mergeCell ref="E31:K31"/>
    <mergeCell ref="B31:D31"/>
    <mergeCell ref="E40:K40"/>
    <mergeCell ref="B22:D22"/>
    <mergeCell ref="E30:K30"/>
    <mergeCell ref="E34:K34"/>
    <mergeCell ref="B18:D18"/>
    <mergeCell ref="B27:D27"/>
    <mergeCell ref="B21:D21"/>
    <mergeCell ref="E15:K15"/>
    <mergeCell ref="B39:D39"/>
    <mergeCell ref="E27:K27"/>
  </mergeCells>
  <conditionalFormatting sqref="B14:B40">
    <cfRule type="expression" priority="1" dxfId="2">
      <formula>$B14=""</formula>
    </cfRule>
  </conditionalFormatting>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B6" sqref="B6"/>
    </sheetView>
  </sheetViews>
  <sheetFormatPr baseColWidth="8" defaultColWidth="14.43" defaultRowHeight="15" customHeight="1"/>
  <cols>
    <col width="6" customWidth="1" style="47" min="1" max="1"/>
    <col width="30" customWidth="1" style="47" min="2" max="2"/>
    <col width="24" customWidth="1" style="47" min="3" max="3"/>
    <col width="84" customWidth="1" style="47" min="4" max="4"/>
    <col width="9" customWidth="1" style="47" min="5" max="5"/>
    <col width="18" customWidth="1" style="47" min="6" max="6"/>
    <col width="15" customWidth="1" style="47" min="7" max="7"/>
    <col width="8.710000000000001" customWidth="1" style="47" min="8" max="26"/>
  </cols>
  <sheetData>
    <row r="1" ht="21.75" customHeight="1" s="47">
      <c r="A1" s="1" t="inlineStr">
        <is>
          <t>The daily routine</t>
        </is>
      </c>
    </row>
    <row r="2">
      <c r="A2" s="3" t="inlineStr">
        <is>
          <t>Six slots. Five of them every weekday, the reel on Wednesday. This is the tab that explains the work; the Daily Log is the tab you tick.</t>
        </is>
      </c>
    </row>
    <row r="3"/>
    <row r="4" ht="27.75" customHeight="1" s="47">
      <c r="A4" s="5" t="inlineStr">
        <is>
          <t>Slot</t>
        </is>
      </c>
      <c r="B4" s="5" t="inlineStr">
        <is>
          <t>Task</t>
        </is>
      </c>
      <c r="C4" s="5" t="inlineStr">
        <is>
          <t>Cadence</t>
        </is>
      </c>
      <c r="D4" s="5" t="inlineStr">
        <is>
          <t>What it involves</t>
        </is>
      </c>
      <c r="E4" s="5" t="inlineStr">
        <is>
          <t>Owner</t>
        </is>
      </c>
      <c r="F4" s="5" t="inlineStr">
        <is>
          <t>Logged on</t>
        </is>
      </c>
      <c r="G4" s="5" t="inlineStr">
        <is>
          <t>Status</t>
        </is>
      </c>
    </row>
    <row r="5" ht="19.5" customHeight="1" s="47">
      <c r="A5" s="48" t="inlineStr">
        <is>
          <t>EVERY DAY</t>
        </is>
      </c>
    </row>
    <row r="6" ht="45.75" customHeight="1" s="47">
      <c r="A6" s="14" t="inlineStr">
        <is>
          <t>1</t>
        </is>
      </c>
      <c r="B6" s="11" t="inlineStr">
        <is>
          <t>Google Business Profile post</t>
        </is>
      </c>
      <c r="C6" s="14" t="inlineStr">
        <is>
          <t>Every weekday</t>
        </is>
      </c>
      <c r="D6" s="14" t="inlineStr">
        <is>
          <t>One post a day. Rotate the five types across the week: treatment spotlight, FAQ or myth, before and after, offer or availability, practice update. Copy and images come from the content calendar. Every post ends with the booking link.</t>
        </is>
      </c>
      <c r="E6" s="14" t="inlineStr">
        <is>
          <t>Cleo</t>
        </is>
      </c>
      <c r="F6" s="14" t="inlineStr">
        <is>
          <t>GBP Posts tab</t>
        </is>
      </c>
      <c r="G6" s="14" t="inlineStr">
        <is>
          <t>In progress</t>
        </is>
      </c>
    </row>
    <row r="7" ht="45.75" customHeight="1" s="47">
      <c r="A7" s="14" t="inlineStr">
        <is>
          <t>2</t>
        </is>
      </c>
      <c r="B7" s="11" t="inlineStr">
        <is>
          <t>Instagram post or stories</t>
        </is>
      </c>
      <c r="C7" s="14" t="inlineStr">
        <is>
          <t>Every weekday</t>
        </is>
      </c>
      <c r="D7" s="14" t="inlineStr">
        <is>
          <t>A feed post on the calendar days, two or three stories on the rest. Location-tag Oakville every time, write the alt text every time, use the local hashtag set.</t>
        </is>
      </c>
      <c r="E7" s="14" t="inlineStr">
        <is>
          <t>Cleo</t>
        </is>
      </c>
      <c r="F7" s="14" t="inlineStr">
        <is>
          <t>Content calendar</t>
        </is>
      </c>
      <c r="G7" s="14" t="inlineStr">
        <is>
          <t>In progress</t>
        </is>
      </c>
    </row>
    <row r="8" ht="45.75" customHeight="1" s="47">
      <c r="A8" s="14" t="inlineStr">
        <is>
          <t>3</t>
        </is>
      </c>
      <c r="B8" s="11" t="inlineStr">
        <is>
          <t>Reel</t>
        </is>
      </c>
      <c r="C8" s="14" t="inlineStr">
        <is>
          <t>Once a week — Wednesday</t>
        </is>
      </c>
      <c r="D8" s="14" t="inlineStr">
        <is>
          <t>One reel a week, filmed and cut in the Wednesday batch block. Rotate the four types across the month: a treatment in fifteen seconds, a myth-buster, behind the scenes in the room, a patient question answered to camera. Reuse each cut as a story and a GBP video.</t>
        </is>
      </c>
      <c r="E8" s="14" t="inlineStr">
        <is>
          <t>Cleo</t>
        </is>
      </c>
      <c r="F8" s="14" t="inlineStr">
        <is>
          <t>Daily Log tab</t>
        </is>
      </c>
      <c r="G8" s="14" t="inlineStr">
        <is>
          <t>In progress</t>
        </is>
      </c>
    </row>
    <row r="9" ht="45.75" customHeight="1" s="47">
      <c r="A9" s="14" t="inlineStr">
        <is>
          <t>4</t>
        </is>
      </c>
      <c r="B9" s="11" t="inlineStr">
        <is>
          <t>On-page optimisation</t>
        </is>
      </c>
      <c r="C9" s="14" t="inlineStr">
        <is>
          <t>Every weekday</t>
        </is>
      </c>
      <c r="D9" s="14" t="inlineStr">
        <is>
          <t>Before launch: keyword-to-page mapping, drafting title tags and meta descriptions, writing page copy for the build. After launch: one page improved a day on rotation — title tag, H1, internal links, image alt text, schema, thin content topped up.</t>
        </is>
      </c>
      <c r="E9" s="14" t="inlineStr">
        <is>
          <t>Agency</t>
        </is>
      </c>
      <c r="F9" s="14" t="inlineStr">
        <is>
          <t>Tasks tab</t>
        </is>
      </c>
      <c r="G9" s="14" t="inlineStr">
        <is>
          <t>Not started</t>
        </is>
      </c>
    </row>
    <row r="10" ht="45.75" customHeight="1" s="47">
      <c r="A10" s="14" t="inlineStr">
        <is>
          <t>5</t>
        </is>
      </c>
      <c r="B10" s="11" t="inlineStr">
        <is>
          <t>Review ask</t>
        </is>
      </c>
      <c r="C10" s="14" t="inlineStr">
        <is>
          <t>Every weekday</t>
        </is>
      </c>
      <c r="D10" s="14" t="inlineStr">
        <is>
          <t>The WhatsApp message inside 24 hours to every patient seen that day, and a reply to any review that landed. This is the single highest-return thing in the plan.</t>
        </is>
      </c>
      <c r="E10" s="14" t="inlineStr">
        <is>
          <t>Cleo</t>
        </is>
      </c>
      <c r="F10" s="14" t="inlineStr">
        <is>
          <t>Reviews tab</t>
        </is>
      </c>
      <c r="G10" s="14" t="inlineStr">
        <is>
          <t>Not applicable</t>
        </is>
      </c>
    </row>
    <row r="11" ht="45.75" customHeight="1" s="47">
      <c r="A11" s="14" t="inlineStr">
        <is>
          <t>6</t>
        </is>
      </c>
      <c r="B11" s="11" t="inlineStr">
        <is>
          <t>Citations</t>
        </is>
      </c>
      <c r="C11" s="14" t="inlineStr">
        <is>
          <t>Daily to week 4, then weekly</t>
        </is>
      </c>
      <c r="D11" s="14" t="inlineStr">
        <is>
          <t>One directory a day. The Citations tab first ,the listings that exist and are wrong , then the Local Citations build list, where there is no listing at all. Once both are clean, one a week to keep them that way. Name, address and phone identical everywhere, no exceptions.</t>
        </is>
      </c>
      <c r="E11" s="14" t="inlineStr">
        <is>
          <t>Agency</t>
        </is>
      </c>
      <c r="F11" s="14" t="inlineStr">
        <is>
          <t>Citations + Local Citations</t>
        </is>
      </c>
      <c r="G11" s="14" t="inlineStr">
        <is>
          <t>Not started</t>
        </is>
      </c>
    </row>
    <row r="12" ht="19.5" customHeight="1" s="47">
      <c r="A12" s="48" t="inlineStr">
        <is>
          <t>EVERY WEEK</t>
        </is>
      </c>
    </row>
    <row r="13" ht="45.75" customHeight="1" s="47">
      <c r="A13" s="14" t="inlineStr">
        <is>
          <t>Mon</t>
        </is>
      </c>
      <c r="B13" s="11" t="inlineStr">
        <is>
          <t>Google profile insights and rank check</t>
        </is>
      </c>
      <c r="C13" s="14" t="inlineStr">
        <is>
          <t>Weekly</t>
        </is>
      </c>
      <c r="D13" s="14" t="inlineStr">
        <is>
          <t>Calls, views and direction requests for the week. Where the map pack has you for the three target terms. Two minutes, written down, every Monday.</t>
        </is>
      </c>
      <c r="E13" s="14" t="inlineStr">
        <is>
          <t>Agency</t>
        </is>
      </c>
      <c r="F13" s="14" t="inlineStr">
        <is>
          <t>Metrics tab</t>
        </is>
      </c>
      <c r="G13" s="14" t="inlineStr">
        <is>
          <t>In progress</t>
        </is>
      </c>
    </row>
    <row r="14" ht="45.75" customHeight="1" s="47">
      <c r="A14" s="14" t="inlineStr">
        <is>
          <t>Wed</t>
        </is>
      </c>
      <c r="B14" s="11" t="inlineStr">
        <is>
          <t>Content and reel batch</t>
        </is>
      </c>
      <c r="C14" s="14" t="inlineStr">
        <is>
          <t>Weekly</t>
        </is>
      </c>
      <c r="D14" s="14" t="inlineStr">
        <is>
          <t>Film the reel, batch the week's GBP posts and Instagram captions so the daily slots are a five-minute publish rather than a blank page.</t>
        </is>
      </c>
      <c r="E14" s="14" t="inlineStr">
        <is>
          <t>Both</t>
        </is>
      </c>
      <c r="F14" s="14" t="inlineStr">
        <is>
          <t>Content calendar</t>
        </is>
      </c>
      <c r="G14" s="14" t="inlineStr">
        <is>
          <t>Not started</t>
        </is>
      </c>
    </row>
    <row r="15" ht="45.75" customHeight="1" s="47">
      <c r="A15" s="14" t="inlineStr">
        <is>
          <t>Fri</t>
        </is>
      </c>
      <c r="B15" s="11" t="inlineStr">
        <is>
          <t>Log the week</t>
        </is>
      </c>
      <c r="C15" s="14" t="inlineStr">
        <is>
          <t>Weekly</t>
        </is>
      </c>
      <c r="D15" s="14" t="inlineStr">
        <is>
          <t>Fill in the week's numbers, close out the Tasks tab, flag anything blocked. Ad review every second Friday.</t>
        </is>
      </c>
      <c r="E15" s="14" t="inlineStr">
        <is>
          <t>Agency</t>
        </is>
      </c>
      <c r="F15" s="14" t="inlineStr">
        <is>
          <t>Tasks tab</t>
        </is>
      </c>
      <c r="G15" s="14" t="inlineStr">
        <is>
          <t>Not started</t>
        </is>
      </c>
    </row>
    <row r="16" ht="19.5" customHeight="1" s="47">
      <c r="A16" s="48" t="inlineStr">
        <is>
          <t>EVERY MONTH</t>
        </is>
      </c>
    </row>
    <row r="17" ht="45.75" customHeight="1" s="47">
      <c r="A17" s="14" t="n"/>
      <c r="B17" s="11" t="inlineStr">
        <is>
          <t>Fill the Metrics tab</t>
        </is>
      </c>
      <c r="C17" s="14" t="inlineStr">
        <is>
          <t>Monthly</t>
        </is>
      </c>
      <c r="D17" s="14" t="inlineStr">
        <is>
          <t>Every number for the month end. Compare against the baseline column, not against last month.</t>
        </is>
      </c>
      <c r="E17" s="14" t="inlineStr">
        <is>
          <t>Agency</t>
        </is>
      </c>
      <c r="F17" s="14" t="inlineStr">
        <is>
          <t>Metrics tab</t>
        </is>
      </c>
      <c r="G17" s="14" t="inlineStr">
        <is>
          <t>Not started</t>
        </is>
      </c>
    </row>
    <row r="18" ht="45.75" customHeight="1" s="47">
      <c r="A18" s="14" t="n"/>
      <c r="B18" s="11" t="inlineStr">
        <is>
          <t>Refresh the Google profile</t>
        </is>
      </c>
      <c r="C18" s="14" t="inlineStr">
        <is>
          <t>Monthly</t>
        </is>
      </c>
      <c r="D18" s="14" t="inlineStr">
        <is>
          <t>Services list, questions and answers, photo set. A profile that never changes stops earning.</t>
        </is>
      </c>
      <c r="E18" s="14" t="inlineStr">
        <is>
          <t>Agency</t>
        </is>
      </c>
      <c r="F18" s="14" t="inlineStr">
        <is>
          <t>Tasks tab</t>
        </is>
      </c>
      <c r="G18" s="14" t="inlineStr">
        <is>
          <t>Not started</t>
        </is>
      </c>
    </row>
    <row r="19" ht="45.75" customHeight="1" s="47">
      <c r="A19" s="14" t="n"/>
      <c r="B19" s="11" t="inlineStr">
        <is>
          <t>Competitor and query check</t>
        </is>
      </c>
      <c r="C19" s="14" t="inlineStr">
        <is>
          <t>Monthly</t>
        </is>
      </c>
      <c r="D19" s="14" t="inlineStr">
        <is>
          <t>What the three named competitors are doing, and which queries Search Console shows you sitting just outside the first page for.</t>
        </is>
      </c>
      <c r="E19" s="14" t="inlineStr">
        <is>
          <t>Agency</t>
        </is>
      </c>
      <c r="F19" s="14" t="inlineStr">
        <is>
          <t>Metrics tab</t>
        </is>
      </c>
      <c r="G19" s="14" t="inlineStr">
        <is>
          <t>Not started</t>
        </is>
      </c>
    </row>
    <row r="20" ht="45.75" customHeight="1" s="47">
      <c r="A20" s="14" t="n"/>
      <c r="B20" s="11" t="inlineStr">
        <is>
          <t>Review the month's best work</t>
        </is>
      </c>
      <c r="C20" s="14" t="inlineStr">
        <is>
          <t>Monthly</t>
        </is>
      </c>
      <c r="D20" s="14" t="inlineStr">
        <is>
          <t>The posts that drove profile visits and the pages that drove sessions. More of those next month.</t>
        </is>
      </c>
      <c r="E20" s="14" t="inlineStr">
        <is>
          <t>Both</t>
        </is>
      </c>
      <c r="F20" s="14" t="inlineStr">
        <is>
          <t>Metrics tab</t>
        </is>
      </c>
      <c r="G20" s="14" t="inlineStr">
        <is>
          <t>Not started</t>
        </is>
      </c>
    </row>
    <row r="21" ht="15.75" customHeight="1" s="47"/>
    <row r="22" ht="15.75" customHeight="1" s="47">
      <c r="B22" s="31" t="inlineStr">
        <is>
          <t>The reel is once a week, on Wednesday, filmed in the Wednesday batch block. Do not try to do one a day.</t>
        </is>
      </c>
    </row>
    <row r="23" ht="15.75" customHeight="1" s="47">
      <c r="B23" s="31" t="inlineStr">
        <is>
          <t>Before the site is live, the on-page slot is preparation: keyword mapping, title tags, meta descriptions, page copy.</t>
        </is>
      </c>
    </row>
    <row r="24" ht="15.75" customHeight="1" s="47">
      <c r="B24" s="31" t="inlineStr">
        <is>
          <t>From launch onward it is one real page improved a day, on rotation, so no page goes six months untouched.</t>
        </is>
      </c>
    </row>
    <row r="25" ht="15.75" customHeight="1" s="47">
      <c r="B25" s="31" t="inlineStr">
        <is>
          <t>Compliance applies to Google posts exactly as it applies to Instagram. Nothing names a prescription drug.</t>
        </is>
      </c>
    </row>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3">
    <mergeCell ref="A16:G16"/>
    <mergeCell ref="A5:G5"/>
    <mergeCell ref="A12:G12"/>
  </mergeCells>
  <conditionalFormatting sqref="A6:G11">
    <cfRule type="expression" priority="1" dxfId="0">
      <formula>$G6="Done"</formula>
    </cfRule>
    <cfRule type="expression" priority="2" dxfId="1">
      <formula>$G6="Blocked"</formula>
    </cfRule>
    <cfRule type="expression" priority="3" dxfId="2">
      <formula>$G6="In progress"</formula>
    </cfRule>
  </conditionalFormatting>
  <conditionalFormatting sqref="A13:G15">
    <cfRule type="expression" priority="4" dxfId="0">
      <formula>$G13="Done"</formula>
    </cfRule>
    <cfRule type="expression" priority="5" dxfId="1">
      <formula>$G13="Blocked"</formula>
    </cfRule>
    <cfRule type="expression" priority="6" dxfId="2">
      <formula>$G13="In progress"</formula>
    </cfRule>
  </conditionalFormatting>
  <conditionalFormatting sqref="A17:G20">
    <cfRule type="expression" priority="7" dxfId="0">
      <formula>$G17="Done"</formula>
    </cfRule>
    <cfRule type="expression" priority="8" dxfId="1">
      <formula>$G17="Blocked"</formula>
    </cfRule>
    <cfRule type="expression" priority="9" dxfId="2">
      <formula>$G17="In progress"</formula>
    </cfRule>
  </conditionalFormatting>
  <dataValidations count="1">
    <dataValidation sqref="G6:G11 G13:G15 G17:G20" showDropDown="0" showInputMessage="0" showErrorMessage="0" allowBlank="1" type="list">
      <formula1>"Not started,In progress,Blocked,Done,Not applicable"</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K141"/>
  <sheetViews>
    <sheetView workbookViewId="0">
      <pane ySplit="4" topLeftCell="A5" activePane="bottomLeft" state="frozen"/>
      <selection pane="bottomLeft" activeCell="B6" sqref="B6"/>
    </sheetView>
  </sheetViews>
  <sheetFormatPr baseColWidth="8" defaultColWidth="14.43" defaultRowHeight="15" customHeight="1"/>
  <cols>
    <col width="11" customWidth="1" style="47" min="1" max="1"/>
    <col width="6" customWidth="1" style="47" min="2" max="3"/>
    <col width="11" customWidth="1" style="47" min="4" max="4"/>
    <col width="14" customWidth="1" style="47" min="5" max="5"/>
    <col width="8" customWidth="1" style="47" min="6" max="6"/>
    <col width="10" customWidth="1" style="47" min="7" max="7"/>
    <col width="12" customWidth="1" style="47" min="8" max="8"/>
    <col width="10" customWidth="1" style="47" min="9" max="9"/>
    <col width="7" customWidth="1" style="47" min="10" max="10"/>
    <col width="46" customWidth="1" style="47" min="11" max="11"/>
    <col width="8.710000000000001" customWidth="1" style="47" min="12" max="26"/>
  </cols>
  <sheetData>
    <row r="1" ht="21.75" customHeight="1" s="47">
      <c r="A1" s="1" t="inlineStr">
        <is>
          <t>Daily log</t>
        </is>
      </c>
    </row>
    <row r="2">
      <c r="A2" s="3" t="inlineStr">
        <is>
          <t>One row per weekday, 17 August 2026 to 12 February 2027. Mark each slot Done, Missed or N/A. The reel column is only live on Wednesdays.</t>
        </is>
      </c>
      <c r="F2" s="4" t="inlineStr">
        <is>
          <t>Slots done</t>
        </is>
      </c>
      <c r="G2" s="4">
        <f>COUNTIF(D6:I141,"Done")</f>
        <v/>
      </c>
      <c r="H2" s="4" t="inlineStr">
        <is>
          <t>Slots missed</t>
        </is>
      </c>
      <c r="I2" s="4">
        <f>COUNTIF(D6:I141,"Missed")</f>
        <v/>
      </c>
      <c r="J2" s="4" t="inlineStr">
        <is>
          <t>Completion</t>
        </is>
      </c>
      <c r="K2" s="20">
        <f>IFERROR(COUNTIF(D6:I141,"Done")/(COUNTIF(D6:I141,"Done")+COUNTIF(D6:I141,"Missed")),0)</f>
        <v/>
      </c>
    </row>
    <row r="3">
      <c r="D3" s="21" t="inlineStr">
        <is>
          <t>GBP posts</t>
        </is>
      </c>
      <c r="E3" s="22">
        <f>COUNTIF(D6:D141,"Done")</f>
        <v/>
      </c>
      <c r="F3" s="21" t="inlineStr">
        <is>
          <t>Reels</t>
        </is>
      </c>
      <c r="G3" s="22">
        <f>COUNTIF(F6:F141,"Done")</f>
        <v/>
      </c>
      <c r="H3" s="21" t="inlineStr">
        <is>
          <t>Review asks</t>
        </is>
      </c>
      <c r="I3" s="22">
        <f>COUNTIF(H6:H141,"Done")</f>
        <v/>
      </c>
      <c r="J3" s="21" t="inlineStr">
        <is>
          <t>Days logged</t>
        </is>
      </c>
      <c r="K3" s="22">
        <f>COUNTIF(J6:J141,"&gt;0")</f>
        <v/>
      </c>
    </row>
    <row r="4" ht="27.75" customHeight="1" s="47">
      <c r="A4" s="5" t="inlineStr">
        <is>
          <t>Date</t>
        </is>
      </c>
      <c r="B4" s="5" t="inlineStr">
        <is>
          <t>Day</t>
        </is>
      </c>
      <c r="C4" s="5" t="inlineStr">
        <is>
          <t>Week</t>
        </is>
      </c>
      <c r="D4" s="5" t="inlineStr">
        <is>
          <t>GBP post</t>
        </is>
      </c>
      <c r="E4" s="5" t="inlineStr">
        <is>
          <t>IG post / story</t>
        </is>
      </c>
      <c r="F4" s="5" t="inlineStr">
        <is>
          <t>Reel</t>
        </is>
      </c>
      <c r="G4" s="5" t="inlineStr">
        <is>
          <t>On-page</t>
        </is>
      </c>
      <c r="H4" s="5" t="inlineStr">
        <is>
          <t>Review ask</t>
        </is>
      </c>
      <c r="I4" s="5" t="inlineStr">
        <is>
          <t>Citation</t>
        </is>
      </c>
      <c r="J4" s="5" t="inlineStr">
        <is>
          <t>Done</t>
        </is>
      </c>
      <c r="K4" s="5" t="inlineStr">
        <is>
          <t>Notes</t>
        </is>
      </c>
    </row>
    <row r="5" ht="19.5" customHeight="1" s="47">
      <c r="A5" s="48" t="inlineStr">
        <is>
          <t>AUGUST 2026</t>
        </is>
      </c>
    </row>
    <row r="6">
      <c r="A6" s="32" t="n">
        <v>46251</v>
      </c>
      <c r="B6" s="33" t="inlineStr">
        <is>
          <t>Mon</t>
        </is>
      </c>
      <c r="C6" s="33" t="inlineStr">
        <is>
          <t>W1</t>
        </is>
      </c>
      <c r="D6" s="36" t="inlineStr">
        <is>
          <t>Done</t>
        </is>
      </c>
      <c r="E6" s="36" t="inlineStr">
        <is>
          <t>Done</t>
        </is>
      </c>
      <c r="F6" s="36" t="inlineStr">
        <is>
          <t>Done</t>
        </is>
      </c>
      <c r="G6" s="36" t="inlineStr">
        <is>
          <t>N/A</t>
        </is>
      </c>
      <c r="H6" s="36" t="inlineStr">
        <is>
          <t>N/A</t>
        </is>
      </c>
      <c r="I6" s="36" t="n"/>
      <c r="J6" s="38">
        <f>COUNTIF(D6:I6,"Done")</f>
        <v/>
      </c>
      <c r="K6" s="39" t="n"/>
    </row>
    <row r="7">
      <c r="A7" s="32" t="n">
        <v>46252</v>
      </c>
      <c r="B7" s="33" t="inlineStr">
        <is>
          <t>Tue</t>
        </is>
      </c>
      <c r="C7" s="33" t="inlineStr">
        <is>
          <t>W1</t>
        </is>
      </c>
      <c r="D7" s="36" t="inlineStr">
        <is>
          <t>Done</t>
        </is>
      </c>
      <c r="E7" s="36" t="inlineStr">
        <is>
          <t>Done</t>
        </is>
      </c>
      <c r="F7" s="36" t="inlineStr">
        <is>
          <t>Done</t>
        </is>
      </c>
      <c r="G7" s="36" t="inlineStr">
        <is>
          <t>N/A</t>
        </is>
      </c>
      <c r="H7" s="36" t="inlineStr">
        <is>
          <t>N/A</t>
        </is>
      </c>
      <c r="I7" s="36" t="n"/>
      <c r="J7" s="38">
        <f>COUNTIF(D7:I7,"Done")</f>
        <v/>
      </c>
      <c r="K7" s="39" t="n"/>
    </row>
    <row r="8">
      <c r="A8" s="32" t="n">
        <v>46253</v>
      </c>
      <c r="B8" s="33" t="inlineStr">
        <is>
          <t>Wed</t>
        </is>
      </c>
      <c r="C8" s="33" t="inlineStr">
        <is>
          <t>W1</t>
        </is>
      </c>
      <c r="D8" s="36" t="inlineStr">
        <is>
          <t>Done</t>
        </is>
      </c>
      <c r="E8" s="36" t="inlineStr">
        <is>
          <t>Done</t>
        </is>
      </c>
      <c r="F8" s="36" t="inlineStr">
        <is>
          <t>Done</t>
        </is>
      </c>
      <c r="G8" s="36" t="inlineStr">
        <is>
          <t>N/A</t>
        </is>
      </c>
      <c r="H8" s="36" t="inlineStr">
        <is>
          <t>N/A</t>
        </is>
      </c>
      <c r="I8" s="36" t="n"/>
      <c r="J8" s="38">
        <f>COUNTIF(D8:I8,"Done")</f>
        <v/>
      </c>
      <c r="K8" s="39" t="n"/>
    </row>
    <row r="9">
      <c r="A9" s="32" t="n">
        <v>46254</v>
      </c>
      <c r="B9" s="33" t="inlineStr">
        <is>
          <t>Thu</t>
        </is>
      </c>
      <c r="C9" s="33" t="inlineStr">
        <is>
          <t>W1</t>
        </is>
      </c>
      <c r="D9" s="36" t="inlineStr">
        <is>
          <t>Done</t>
        </is>
      </c>
      <c r="E9" s="36" t="inlineStr">
        <is>
          <t>Done</t>
        </is>
      </c>
      <c r="F9" s="36" t="inlineStr">
        <is>
          <t>N/A</t>
        </is>
      </c>
      <c r="G9" s="36" t="inlineStr">
        <is>
          <t>N/A</t>
        </is>
      </c>
      <c r="H9" s="36" t="inlineStr">
        <is>
          <t>N/A</t>
        </is>
      </c>
      <c r="I9" s="36" t="n"/>
      <c r="J9" s="38">
        <f>COUNTIF(D9:I9,"Done")</f>
        <v/>
      </c>
      <c r="K9" s="39" t="n"/>
    </row>
    <row r="10">
      <c r="A10" s="32" t="n">
        <v>46255</v>
      </c>
      <c r="B10" s="33" t="inlineStr">
        <is>
          <t>Fri</t>
        </is>
      </c>
      <c r="C10" s="33" t="inlineStr">
        <is>
          <t>W1</t>
        </is>
      </c>
      <c r="D10" s="36" t="n"/>
      <c r="E10" s="36" t="n"/>
      <c r="F10" s="36" t="inlineStr">
        <is>
          <t>N/A</t>
        </is>
      </c>
      <c r="G10" s="36" t="n"/>
      <c r="H10" s="36" t="n"/>
      <c r="I10" s="36" t="n"/>
      <c r="J10" s="38">
        <f>COUNTIF(D10:I10,"Done")</f>
        <v/>
      </c>
      <c r="K10" s="39" t="n"/>
    </row>
    <row r="11">
      <c r="A11" s="32" t="n">
        <v>46258</v>
      </c>
      <c r="B11" s="33" t="inlineStr">
        <is>
          <t>Mon</t>
        </is>
      </c>
      <c r="C11" s="33" t="inlineStr">
        <is>
          <t>W2</t>
        </is>
      </c>
      <c r="D11" s="36" t="n"/>
      <c r="E11" s="36" t="n"/>
      <c r="F11" s="36" t="inlineStr">
        <is>
          <t>N/A</t>
        </is>
      </c>
      <c r="G11" s="36" t="n"/>
      <c r="H11" s="36" t="n"/>
      <c r="I11" s="36" t="n"/>
      <c r="J11" s="38">
        <f>COUNTIF(D11:I11,"Done")</f>
        <v/>
      </c>
      <c r="K11" s="39" t="n"/>
    </row>
    <row r="12">
      <c r="A12" s="32" t="n">
        <v>46259</v>
      </c>
      <c r="B12" s="33" t="inlineStr">
        <is>
          <t>Tue</t>
        </is>
      </c>
      <c r="C12" s="33" t="inlineStr">
        <is>
          <t>W2</t>
        </is>
      </c>
      <c r="D12" s="36" t="n"/>
      <c r="E12" s="36" t="n"/>
      <c r="F12" s="36" t="inlineStr">
        <is>
          <t>N/A</t>
        </is>
      </c>
      <c r="G12" s="36" t="n"/>
      <c r="H12" s="36" t="n"/>
      <c r="I12" s="36" t="n"/>
      <c r="J12" s="38">
        <f>COUNTIF(D12:I12,"Done")</f>
        <v/>
      </c>
      <c r="K12" s="39" t="n"/>
    </row>
    <row r="13">
      <c r="A13" s="32" t="n">
        <v>46260</v>
      </c>
      <c r="B13" s="33" t="inlineStr">
        <is>
          <t>Wed</t>
        </is>
      </c>
      <c r="C13" s="33" t="inlineStr">
        <is>
          <t>W2</t>
        </is>
      </c>
      <c r="D13" s="36" t="n"/>
      <c r="E13" s="36" t="n"/>
      <c r="F13" s="36" t="n"/>
      <c r="G13" s="36" t="n"/>
      <c r="H13" s="36" t="n"/>
      <c r="I13" s="36" t="n"/>
      <c r="J13" s="38">
        <f>COUNTIF(D13:I13,"Done")</f>
        <v/>
      </c>
      <c r="K13" s="39" t="n"/>
    </row>
    <row r="14">
      <c r="A14" s="32" t="n">
        <v>46261</v>
      </c>
      <c r="B14" s="33" t="inlineStr">
        <is>
          <t>Thu</t>
        </is>
      </c>
      <c r="C14" s="33" t="inlineStr">
        <is>
          <t>W2</t>
        </is>
      </c>
      <c r="D14" s="36" t="n"/>
      <c r="E14" s="36" t="n"/>
      <c r="F14" s="36" t="inlineStr">
        <is>
          <t>N/A</t>
        </is>
      </c>
      <c r="G14" s="36" t="n"/>
      <c r="H14" s="36" t="n"/>
      <c r="I14" s="36" t="n"/>
      <c r="J14" s="38">
        <f>COUNTIF(D14:I14,"Done")</f>
        <v/>
      </c>
      <c r="K14" s="39" t="n"/>
    </row>
    <row r="15">
      <c r="A15" s="32" t="n">
        <v>46262</v>
      </c>
      <c r="B15" s="33" t="inlineStr">
        <is>
          <t>Fri</t>
        </is>
      </c>
      <c r="C15" s="33" t="inlineStr">
        <is>
          <t>W2</t>
        </is>
      </c>
      <c r="D15" s="36" t="n"/>
      <c r="E15" s="36" t="n"/>
      <c r="F15" s="36" t="inlineStr">
        <is>
          <t>N/A</t>
        </is>
      </c>
      <c r="G15" s="36" t="n"/>
      <c r="H15" s="36" t="n"/>
      <c r="I15" s="36" t="n"/>
      <c r="J15" s="38">
        <f>COUNTIF(D15:I15,"Done")</f>
        <v/>
      </c>
      <c r="K15" s="39" t="n"/>
    </row>
    <row r="16">
      <c r="A16" s="32" t="n">
        <v>46265</v>
      </c>
      <c r="B16" s="33" t="inlineStr">
        <is>
          <t>Mon</t>
        </is>
      </c>
      <c r="C16" s="33" t="inlineStr">
        <is>
          <t>W3</t>
        </is>
      </c>
      <c r="D16" s="36" t="n"/>
      <c r="E16" s="36" t="n"/>
      <c r="F16" s="36" t="inlineStr">
        <is>
          <t>N/A</t>
        </is>
      </c>
      <c r="G16" s="36" t="n"/>
      <c r="H16" s="36" t="n"/>
      <c r="I16" s="36" t="n"/>
      <c r="J16" s="38">
        <f>COUNTIF(D16:I16,"Done")</f>
        <v/>
      </c>
      <c r="K16" s="39" t="n"/>
    </row>
    <row r="17" ht="19.5" customHeight="1" s="47">
      <c r="A17" s="48" t="inlineStr">
        <is>
          <t>SEPTEMBER 2026</t>
        </is>
      </c>
    </row>
    <row r="18">
      <c r="A18" s="32" t="n">
        <v>46266</v>
      </c>
      <c r="B18" s="33" t="inlineStr">
        <is>
          <t>Tue</t>
        </is>
      </c>
      <c r="C18" s="33" t="inlineStr">
        <is>
          <t>W3</t>
        </is>
      </c>
      <c r="D18" s="36" t="n"/>
      <c r="E18" s="36" t="n"/>
      <c r="F18" s="36" t="inlineStr">
        <is>
          <t>N/A</t>
        </is>
      </c>
      <c r="G18" s="36" t="n"/>
      <c r="H18" s="36" t="n"/>
      <c r="I18" s="36" t="n"/>
      <c r="J18" s="38">
        <f>COUNTIF(D18:I18,"Done")</f>
        <v/>
      </c>
      <c r="K18" s="39" t="n"/>
    </row>
    <row r="19">
      <c r="A19" s="32" t="n">
        <v>46267</v>
      </c>
      <c r="B19" s="33" t="inlineStr">
        <is>
          <t>Wed</t>
        </is>
      </c>
      <c r="C19" s="33" t="inlineStr">
        <is>
          <t>W3</t>
        </is>
      </c>
      <c r="D19" s="36" t="n"/>
      <c r="E19" s="36" t="n"/>
      <c r="F19" s="36" t="n"/>
      <c r="G19" s="36" t="n"/>
      <c r="H19" s="36" t="n"/>
      <c r="I19" s="36" t="n"/>
      <c r="J19" s="38">
        <f>COUNTIF(D19:I19,"Done")</f>
        <v/>
      </c>
      <c r="K19" s="39" t="n"/>
    </row>
    <row r="20">
      <c r="A20" s="32" t="n">
        <v>46268</v>
      </c>
      <c r="B20" s="33" t="inlineStr">
        <is>
          <t>Thu</t>
        </is>
      </c>
      <c r="C20" s="33" t="inlineStr">
        <is>
          <t>W3</t>
        </is>
      </c>
      <c r="D20" s="36" t="n"/>
      <c r="E20" s="36" t="n"/>
      <c r="F20" s="36" t="inlineStr">
        <is>
          <t>N/A</t>
        </is>
      </c>
      <c r="G20" s="36" t="n"/>
      <c r="H20" s="36" t="n"/>
      <c r="I20" s="36" t="n"/>
      <c r="J20" s="38">
        <f>COUNTIF(D20:I20,"Done")</f>
        <v/>
      </c>
      <c r="K20" s="39" t="n"/>
    </row>
    <row r="21" ht="15.75" customHeight="1" s="47">
      <c r="A21" s="32" t="n">
        <v>46269</v>
      </c>
      <c r="B21" s="33" t="inlineStr">
        <is>
          <t>Fri</t>
        </is>
      </c>
      <c r="C21" s="33" t="inlineStr">
        <is>
          <t>W3</t>
        </is>
      </c>
      <c r="D21" s="36" t="n"/>
      <c r="E21" s="36" t="n"/>
      <c r="F21" s="36" t="inlineStr">
        <is>
          <t>N/A</t>
        </is>
      </c>
      <c r="G21" s="36" t="n"/>
      <c r="H21" s="36" t="n"/>
      <c r="I21" s="36" t="n"/>
      <c r="J21" s="38">
        <f>COUNTIF(D21:I21,"Done")</f>
        <v/>
      </c>
      <c r="K21" s="39" t="n"/>
    </row>
    <row r="22" ht="15.75" customHeight="1" s="47">
      <c r="A22" s="32" t="n">
        <v>46272</v>
      </c>
      <c r="B22" s="33" t="inlineStr">
        <is>
          <t>Mon</t>
        </is>
      </c>
      <c r="C22" s="33" t="inlineStr">
        <is>
          <t>W4</t>
        </is>
      </c>
      <c r="D22" s="36" t="n"/>
      <c r="E22" s="36" t="n"/>
      <c r="F22" s="36" t="inlineStr">
        <is>
          <t>N/A</t>
        </is>
      </c>
      <c r="G22" s="36" t="n"/>
      <c r="H22" s="36" t="n"/>
      <c r="I22" s="36" t="n"/>
      <c r="J22" s="38">
        <f>COUNTIF(D22:I22,"Done")</f>
        <v/>
      </c>
      <c r="K22" s="39" t="n"/>
    </row>
    <row r="23" ht="15.75" customHeight="1" s="47">
      <c r="A23" s="32" t="n">
        <v>46273</v>
      </c>
      <c r="B23" s="33" t="inlineStr">
        <is>
          <t>Tue</t>
        </is>
      </c>
      <c r="C23" s="33" t="inlineStr">
        <is>
          <t>W4</t>
        </is>
      </c>
      <c r="D23" s="36" t="n"/>
      <c r="E23" s="36" t="n"/>
      <c r="F23" s="36" t="inlineStr">
        <is>
          <t>N/A</t>
        </is>
      </c>
      <c r="G23" s="36" t="n"/>
      <c r="H23" s="36" t="n"/>
      <c r="I23" s="36" t="n"/>
      <c r="J23" s="38">
        <f>COUNTIF(D23:I23,"Done")</f>
        <v/>
      </c>
      <c r="K23" s="39" t="n"/>
    </row>
    <row r="24" ht="15.75" customHeight="1" s="47">
      <c r="A24" s="32" t="n">
        <v>46274</v>
      </c>
      <c r="B24" s="33" t="inlineStr">
        <is>
          <t>Wed</t>
        </is>
      </c>
      <c r="C24" s="33" t="inlineStr">
        <is>
          <t>W4</t>
        </is>
      </c>
      <c r="D24" s="36" t="n"/>
      <c r="E24" s="36" t="n"/>
      <c r="F24" s="36" t="n"/>
      <c r="G24" s="36" t="n"/>
      <c r="H24" s="36" t="n"/>
      <c r="I24" s="36" t="n"/>
      <c r="J24" s="38">
        <f>COUNTIF(D24:I24,"Done")</f>
        <v/>
      </c>
      <c r="K24" s="39" t="n"/>
    </row>
    <row r="25" ht="15.75" customHeight="1" s="47">
      <c r="A25" s="32" t="n">
        <v>46275</v>
      </c>
      <c r="B25" s="33" t="inlineStr">
        <is>
          <t>Thu</t>
        </is>
      </c>
      <c r="C25" s="33" t="inlineStr">
        <is>
          <t>W4</t>
        </is>
      </c>
      <c r="D25" s="36" t="n"/>
      <c r="E25" s="36" t="n"/>
      <c r="F25" s="36" t="inlineStr">
        <is>
          <t>N/A</t>
        </is>
      </c>
      <c r="G25" s="36" t="n"/>
      <c r="H25" s="36" t="n"/>
      <c r="I25" s="36" t="n"/>
      <c r="J25" s="38">
        <f>COUNTIF(D25:I25,"Done")</f>
        <v/>
      </c>
      <c r="K25" s="39" t="n"/>
    </row>
    <row r="26" ht="15.75" customHeight="1" s="47">
      <c r="A26" s="32" t="n">
        <v>46276</v>
      </c>
      <c r="B26" s="33" t="inlineStr">
        <is>
          <t>Fri</t>
        </is>
      </c>
      <c r="C26" s="33" t="inlineStr">
        <is>
          <t>W4</t>
        </is>
      </c>
      <c r="D26" s="36" t="n"/>
      <c r="E26" s="36" t="n"/>
      <c r="F26" s="36" t="inlineStr">
        <is>
          <t>N/A</t>
        </is>
      </c>
      <c r="G26" s="36" t="n"/>
      <c r="H26" s="36" t="n"/>
      <c r="I26" s="36" t="n"/>
      <c r="J26" s="38">
        <f>COUNTIF(D26:I26,"Done")</f>
        <v/>
      </c>
      <c r="K26" s="39" t="n"/>
    </row>
    <row r="27" ht="15.75" customHeight="1" s="47">
      <c r="A27" s="32" t="n">
        <v>46279</v>
      </c>
      <c r="B27" s="33" t="inlineStr">
        <is>
          <t>Mon</t>
        </is>
      </c>
      <c r="C27" s="33" t="inlineStr">
        <is>
          <t>W5</t>
        </is>
      </c>
      <c r="D27" s="36" t="n"/>
      <c r="E27" s="36" t="n"/>
      <c r="F27" s="36" t="inlineStr">
        <is>
          <t>N/A</t>
        </is>
      </c>
      <c r="G27" s="36" t="n"/>
      <c r="H27" s="36" t="n"/>
      <c r="I27" s="36" t="n"/>
      <c r="J27" s="38">
        <f>COUNTIF(D27:I27,"Done")</f>
        <v/>
      </c>
      <c r="K27" s="39" t="n"/>
    </row>
    <row r="28" ht="15.75" customHeight="1" s="47">
      <c r="A28" s="32" t="n">
        <v>46280</v>
      </c>
      <c r="B28" s="33" t="inlineStr">
        <is>
          <t>Tue</t>
        </is>
      </c>
      <c r="C28" s="33" t="inlineStr">
        <is>
          <t>W5</t>
        </is>
      </c>
      <c r="D28" s="36" t="n"/>
      <c r="E28" s="36" t="n"/>
      <c r="F28" s="36" t="inlineStr">
        <is>
          <t>N/A</t>
        </is>
      </c>
      <c r="G28" s="36" t="n"/>
      <c r="H28" s="36" t="n"/>
      <c r="I28" s="36" t="n"/>
      <c r="J28" s="38">
        <f>COUNTIF(D28:I28,"Done")</f>
        <v/>
      </c>
      <c r="K28" s="39" t="n"/>
    </row>
    <row r="29" ht="15.75" customHeight="1" s="47">
      <c r="A29" s="32" t="n">
        <v>46281</v>
      </c>
      <c r="B29" s="33" t="inlineStr">
        <is>
          <t>Wed</t>
        </is>
      </c>
      <c r="C29" s="33" t="inlineStr">
        <is>
          <t>W5</t>
        </is>
      </c>
      <c r="D29" s="36" t="n"/>
      <c r="E29" s="36" t="n"/>
      <c r="F29" s="36" t="n"/>
      <c r="G29" s="36" t="n"/>
      <c r="H29" s="36" t="n"/>
      <c r="I29" s="36" t="n"/>
      <c r="J29" s="38">
        <f>COUNTIF(D29:I29,"Done")</f>
        <v/>
      </c>
      <c r="K29" s="39" t="n"/>
    </row>
    <row r="30" ht="15.75" customHeight="1" s="47">
      <c r="A30" s="32" t="n">
        <v>46282</v>
      </c>
      <c r="B30" s="33" t="inlineStr">
        <is>
          <t>Thu</t>
        </is>
      </c>
      <c r="C30" s="33" t="inlineStr">
        <is>
          <t>W5</t>
        </is>
      </c>
      <c r="D30" s="36" t="n"/>
      <c r="E30" s="36" t="n"/>
      <c r="F30" s="36" t="inlineStr">
        <is>
          <t>N/A</t>
        </is>
      </c>
      <c r="G30" s="36" t="n"/>
      <c r="H30" s="36" t="n"/>
      <c r="I30" s="36" t="n"/>
      <c r="J30" s="38">
        <f>COUNTIF(D30:I30,"Done")</f>
        <v/>
      </c>
      <c r="K30" s="39" t="n"/>
    </row>
    <row r="31" ht="15.75" customHeight="1" s="47">
      <c r="A31" s="32" t="n">
        <v>46283</v>
      </c>
      <c r="B31" s="33" t="inlineStr">
        <is>
          <t>Fri</t>
        </is>
      </c>
      <c r="C31" s="33" t="inlineStr">
        <is>
          <t>W5</t>
        </is>
      </c>
      <c r="D31" s="36" t="n"/>
      <c r="E31" s="36" t="n"/>
      <c r="F31" s="36" t="inlineStr">
        <is>
          <t>N/A</t>
        </is>
      </c>
      <c r="G31" s="36" t="n"/>
      <c r="H31" s="36" t="n"/>
      <c r="I31" s="36" t="n"/>
      <c r="J31" s="38">
        <f>COUNTIF(D31:I31,"Done")</f>
        <v/>
      </c>
      <c r="K31" s="39" t="n"/>
    </row>
    <row r="32" ht="15.75" customHeight="1" s="47">
      <c r="A32" s="32" t="n">
        <v>46286</v>
      </c>
      <c r="B32" s="33" t="inlineStr">
        <is>
          <t>Mon</t>
        </is>
      </c>
      <c r="C32" s="33" t="inlineStr">
        <is>
          <t>W6</t>
        </is>
      </c>
      <c r="D32" s="36" t="n"/>
      <c r="E32" s="36" t="n"/>
      <c r="F32" s="36" t="inlineStr">
        <is>
          <t>N/A</t>
        </is>
      </c>
      <c r="G32" s="36" t="n"/>
      <c r="H32" s="36" t="n"/>
      <c r="I32" s="36" t="n"/>
      <c r="J32" s="38">
        <f>COUNTIF(D32:I32,"Done")</f>
        <v/>
      </c>
      <c r="K32" s="39" t="n"/>
    </row>
    <row r="33" ht="15.75" customHeight="1" s="47">
      <c r="A33" s="32" t="n">
        <v>46287</v>
      </c>
      <c r="B33" s="33" t="inlineStr">
        <is>
          <t>Tue</t>
        </is>
      </c>
      <c r="C33" s="33" t="inlineStr">
        <is>
          <t>W6</t>
        </is>
      </c>
      <c r="D33" s="36" t="n"/>
      <c r="E33" s="36" t="n"/>
      <c r="F33" s="36" t="inlineStr">
        <is>
          <t>N/A</t>
        </is>
      </c>
      <c r="G33" s="36" t="n"/>
      <c r="H33" s="36" t="n"/>
      <c r="I33" s="36" t="n"/>
      <c r="J33" s="38">
        <f>COUNTIF(D33:I33,"Done")</f>
        <v/>
      </c>
      <c r="K33" s="39" t="n"/>
    </row>
    <row r="34" ht="15.75" customHeight="1" s="47">
      <c r="A34" s="32" t="n">
        <v>46288</v>
      </c>
      <c r="B34" s="33" t="inlineStr">
        <is>
          <t>Wed</t>
        </is>
      </c>
      <c r="C34" s="33" t="inlineStr">
        <is>
          <t>W6</t>
        </is>
      </c>
      <c r="D34" s="36" t="n"/>
      <c r="E34" s="36" t="n"/>
      <c r="F34" s="36" t="n"/>
      <c r="G34" s="36" t="n"/>
      <c r="H34" s="36" t="n"/>
      <c r="I34" s="36" t="n"/>
      <c r="J34" s="38">
        <f>COUNTIF(D34:I34,"Done")</f>
        <v/>
      </c>
      <c r="K34" s="39" t="n"/>
    </row>
    <row r="35" ht="15.75" customHeight="1" s="47">
      <c r="A35" s="32" t="n">
        <v>46289</v>
      </c>
      <c r="B35" s="33" t="inlineStr">
        <is>
          <t>Thu</t>
        </is>
      </c>
      <c r="C35" s="33" t="inlineStr">
        <is>
          <t>W6</t>
        </is>
      </c>
      <c r="D35" s="36" t="n"/>
      <c r="E35" s="36" t="n"/>
      <c r="F35" s="36" t="inlineStr">
        <is>
          <t>N/A</t>
        </is>
      </c>
      <c r="G35" s="36" t="n"/>
      <c r="H35" s="36" t="n"/>
      <c r="I35" s="36" t="n"/>
      <c r="J35" s="38">
        <f>COUNTIF(D35:I35,"Done")</f>
        <v/>
      </c>
      <c r="K35" s="39" t="n"/>
    </row>
    <row r="36" ht="15.75" customHeight="1" s="47">
      <c r="A36" s="32" t="n">
        <v>46290</v>
      </c>
      <c r="B36" s="33" t="inlineStr">
        <is>
          <t>Fri</t>
        </is>
      </c>
      <c r="C36" s="33" t="inlineStr">
        <is>
          <t>W6</t>
        </is>
      </c>
      <c r="D36" s="36" t="n"/>
      <c r="E36" s="36" t="n"/>
      <c r="F36" s="36" t="inlineStr">
        <is>
          <t>N/A</t>
        </is>
      </c>
      <c r="G36" s="36" t="n"/>
      <c r="H36" s="36" t="n"/>
      <c r="I36" s="36" t="n"/>
      <c r="J36" s="38">
        <f>COUNTIF(D36:I36,"Done")</f>
        <v/>
      </c>
      <c r="K36" s="39" t="n"/>
    </row>
    <row r="37" ht="15.75" customHeight="1" s="47">
      <c r="A37" s="32" t="n">
        <v>46293</v>
      </c>
      <c r="B37" s="33" t="inlineStr">
        <is>
          <t>Mon</t>
        </is>
      </c>
      <c r="C37" s="33" t="inlineStr">
        <is>
          <t>W7</t>
        </is>
      </c>
      <c r="D37" s="36" t="n"/>
      <c r="E37" s="36" t="n"/>
      <c r="F37" s="36" t="inlineStr">
        <is>
          <t>N/A</t>
        </is>
      </c>
      <c r="G37" s="36" t="n"/>
      <c r="H37" s="36" t="n"/>
      <c r="I37" s="36" t="n"/>
      <c r="J37" s="38">
        <f>COUNTIF(D37:I37,"Done")</f>
        <v/>
      </c>
      <c r="K37" s="39" t="n"/>
    </row>
    <row r="38" ht="15.75" customHeight="1" s="47">
      <c r="A38" s="32" t="n">
        <v>46294</v>
      </c>
      <c r="B38" s="33" t="inlineStr">
        <is>
          <t>Tue</t>
        </is>
      </c>
      <c r="C38" s="33" t="inlineStr">
        <is>
          <t>W7</t>
        </is>
      </c>
      <c r="D38" s="36" t="n"/>
      <c r="E38" s="36" t="n"/>
      <c r="F38" s="36" t="inlineStr">
        <is>
          <t>N/A</t>
        </is>
      </c>
      <c r="G38" s="36" t="n"/>
      <c r="H38" s="36" t="n"/>
      <c r="I38" s="36" t="n"/>
      <c r="J38" s="38">
        <f>COUNTIF(D38:I38,"Done")</f>
        <v/>
      </c>
      <c r="K38" s="39" t="n"/>
    </row>
    <row r="39" ht="15.75" customHeight="1" s="47">
      <c r="A39" s="32" t="n">
        <v>46295</v>
      </c>
      <c r="B39" s="33" t="inlineStr">
        <is>
          <t>Wed</t>
        </is>
      </c>
      <c r="C39" s="33" t="inlineStr">
        <is>
          <t>W7</t>
        </is>
      </c>
      <c r="D39" s="36" t="n"/>
      <c r="E39" s="36" t="n"/>
      <c r="F39" s="36" t="n"/>
      <c r="G39" s="36" t="n"/>
      <c r="H39" s="36" t="n"/>
      <c r="I39" s="36" t="n"/>
      <c r="J39" s="38">
        <f>COUNTIF(D39:I39,"Done")</f>
        <v/>
      </c>
      <c r="K39" s="39" t="n"/>
    </row>
    <row r="40" ht="19.5" customHeight="1" s="47">
      <c r="A40" s="48" t="inlineStr">
        <is>
          <t>OCTOBER 2026</t>
        </is>
      </c>
    </row>
    <row r="41" ht="15.75" customHeight="1" s="47">
      <c r="A41" s="32" t="n">
        <v>46296</v>
      </c>
      <c r="B41" s="33" t="inlineStr">
        <is>
          <t>Thu</t>
        </is>
      </c>
      <c r="C41" s="33" t="inlineStr">
        <is>
          <t>W7</t>
        </is>
      </c>
      <c r="D41" s="36" t="n"/>
      <c r="E41" s="36" t="n"/>
      <c r="F41" s="36" t="inlineStr">
        <is>
          <t>N/A</t>
        </is>
      </c>
      <c r="G41" s="36" t="n"/>
      <c r="H41" s="36" t="n"/>
      <c r="I41" s="36" t="n"/>
      <c r="J41" s="38">
        <f>COUNTIF(D41:I41,"Done")</f>
        <v/>
      </c>
      <c r="K41" s="39" t="n"/>
    </row>
    <row r="42" ht="15.75" customHeight="1" s="47">
      <c r="A42" s="32" t="n">
        <v>46297</v>
      </c>
      <c r="B42" s="33" t="inlineStr">
        <is>
          <t>Fri</t>
        </is>
      </c>
      <c r="C42" s="33" t="inlineStr">
        <is>
          <t>W7</t>
        </is>
      </c>
      <c r="D42" s="36" t="n"/>
      <c r="E42" s="36" t="n"/>
      <c r="F42" s="36" t="inlineStr">
        <is>
          <t>N/A</t>
        </is>
      </c>
      <c r="G42" s="36" t="n"/>
      <c r="H42" s="36" t="n"/>
      <c r="I42" s="36" t="n"/>
      <c r="J42" s="38">
        <f>COUNTIF(D42:I42,"Done")</f>
        <v/>
      </c>
      <c r="K42" s="39" t="n"/>
    </row>
    <row r="43" ht="15.75" customHeight="1" s="47">
      <c r="A43" s="32" t="n">
        <v>46300</v>
      </c>
      <c r="B43" s="33" t="inlineStr">
        <is>
          <t>Mon</t>
        </is>
      </c>
      <c r="C43" s="33" t="inlineStr">
        <is>
          <t>W8</t>
        </is>
      </c>
      <c r="D43" s="36" t="n"/>
      <c r="E43" s="36" t="n"/>
      <c r="F43" s="36" t="inlineStr">
        <is>
          <t>N/A</t>
        </is>
      </c>
      <c r="G43" s="36" t="n"/>
      <c r="H43" s="36" t="n"/>
      <c r="I43" s="36" t="n"/>
      <c r="J43" s="38">
        <f>COUNTIF(D43:I43,"Done")</f>
        <v/>
      </c>
      <c r="K43" s="39" t="n"/>
    </row>
    <row r="44" ht="15.75" customHeight="1" s="47">
      <c r="A44" s="32" t="n">
        <v>46301</v>
      </c>
      <c r="B44" s="33" t="inlineStr">
        <is>
          <t>Tue</t>
        </is>
      </c>
      <c r="C44" s="33" t="inlineStr">
        <is>
          <t>W8</t>
        </is>
      </c>
      <c r="D44" s="36" t="n"/>
      <c r="E44" s="36" t="n"/>
      <c r="F44" s="36" t="inlineStr">
        <is>
          <t>N/A</t>
        </is>
      </c>
      <c r="G44" s="36" t="n"/>
      <c r="H44" s="36" t="n"/>
      <c r="I44" s="36" t="n"/>
      <c r="J44" s="38">
        <f>COUNTIF(D44:I44,"Done")</f>
        <v/>
      </c>
      <c r="K44" s="39" t="n"/>
    </row>
    <row r="45" ht="15.75" customHeight="1" s="47">
      <c r="A45" s="32" t="n">
        <v>46302</v>
      </c>
      <c r="B45" s="33" t="inlineStr">
        <is>
          <t>Wed</t>
        </is>
      </c>
      <c r="C45" s="33" t="inlineStr">
        <is>
          <t>W8</t>
        </is>
      </c>
      <c r="D45" s="36" t="n"/>
      <c r="E45" s="36" t="n"/>
      <c r="F45" s="36" t="n"/>
      <c r="G45" s="36" t="n"/>
      <c r="H45" s="36" t="n"/>
      <c r="I45" s="36" t="n"/>
      <c r="J45" s="38">
        <f>COUNTIF(D45:I45,"Done")</f>
        <v/>
      </c>
      <c r="K45" s="39" t="n"/>
    </row>
    <row r="46" ht="15.75" customHeight="1" s="47">
      <c r="A46" s="32" t="n">
        <v>46303</v>
      </c>
      <c r="B46" s="33" t="inlineStr">
        <is>
          <t>Thu</t>
        </is>
      </c>
      <c r="C46" s="33" t="inlineStr">
        <is>
          <t>W8</t>
        </is>
      </c>
      <c r="D46" s="36" t="n"/>
      <c r="E46" s="36" t="n"/>
      <c r="F46" s="36" t="inlineStr">
        <is>
          <t>N/A</t>
        </is>
      </c>
      <c r="G46" s="36" t="n"/>
      <c r="H46" s="36" t="n"/>
      <c r="I46" s="36" t="n"/>
      <c r="J46" s="38">
        <f>COUNTIF(D46:I46,"Done")</f>
        <v/>
      </c>
      <c r="K46" s="39" t="n"/>
    </row>
    <row r="47" ht="15.75" customHeight="1" s="47">
      <c r="A47" s="32" t="n">
        <v>46304</v>
      </c>
      <c r="B47" s="33" t="inlineStr">
        <is>
          <t>Fri</t>
        </is>
      </c>
      <c r="C47" s="33" t="inlineStr">
        <is>
          <t>W8</t>
        </is>
      </c>
      <c r="D47" s="36" t="n"/>
      <c r="E47" s="36" t="n"/>
      <c r="F47" s="36" t="inlineStr">
        <is>
          <t>N/A</t>
        </is>
      </c>
      <c r="G47" s="36" t="n"/>
      <c r="H47" s="36" t="n"/>
      <c r="I47" s="36" t="n"/>
      <c r="J47" s="38">
        <f>COUNTIF(D47:I47,"Done")</f>
        <v/>
      </c>
      <c r="K47" s="39" t="n"/>
    </row>
    <row r="48" ht="15.75" customHeight="1" s="47">
      <c r="A48" s="32" t="n">
        <v>46307</v>
      </c>
      <c r="B48" s="33" t="inlineStr">
        <is>
          <t>Mon</t>
        </is>
      </c>
      <c r="C48" s="33" t="inlineStr">
        <is>
          <t>W9</t>
        </is>
      </c>
      <c r="D48" s="36" t="n"/>
      <c r="E48" s="36" t="n"/>
      <c r="F48" s="36" t="inlineStr">
        <is>
          <t>N/A</t>
        </is>
      </c>
      <c r="G48" s="36" t="n"/>
      <c r="H48" s="36" t="n"/>
      <c r="I48" s="36" t="n"/>
      <c r="J48" s="38">
        <f>COUNTIF(D48:I48,"Done")</f>
        <v/>
      </c>
      <c r="K48" s="39" t="n"/>
    </row>
    <row r="49" ht="15.75" customHeight="1" s="47">
      <c r="A49" s="32" t="n">
        <v>46308</v>
      </c>
      <c r="B49" s="33" t="inlineStr">
        <is>
          <t>Tue</t>
        </is>
      </c>
      <c r="C49" s="33" t="inlineStr">
        <is>
          <t>W9</t>
        </is>
      </c>
      <c r="D49" s="36" t="n"/>
      <c r="E49" s="36" t="n"/>
      <c r="F49" s="36" t="inlineStr">
        <is>
          <t>N/A</t>
        </is>
      </c>
      <c r="G49" s="36" t="n"/>
      <c r="H49" s="36" t="n"/>
      <c r="I49" s="36" t="n"/>
      <c r="J49" s="38">
        <f>COUNTIF(D49:I49,"Done")</f>
        <v/>
      </c>
      <c r="K49" s="39" t="n"/>
    </row>
    <row r="50" ht="15.75" customHeight="1" s="47">
      <c r="A50" s="32" t="n">
        <v>46309</v>
      </c>
      <c r="B50" s="33" t="inlineStr">
        <is>
          <t>Wed</t>
        </is>
      </c>
      <c r="C50" s="33" t="inlineStr">
        <is>
          <t>W9</t>
        </is>
      </c>
      <c r="D50" s="36" t="n"/>
      <c r="E50" s="36" t="n"/>
      <c r="F50" s="36" t="n"/>
      <c r="G50" s="36" t="n"/>
      <c r="H50" s="36" t="n"/>
      <c r="I50" s="36" t="n"/>
      <c r="J50" s="38">
        <f>COUNTIF(D50:I50,"Done")</f>
        <v/>
      </c>
      <c r="K50" s="39" t="n"/>
    </row>
    <row r="51" ht="15.75" customHeight="1" s="47">
      <c r="A51" s="32" t="n">
        <v>46310</v>
      </c>
      <c r="B51" s="33" t="inlineStr">
        <is>
          <t>Thu</t>
        </is>
      </c>
      <c r="C51" s="33" t="inlineStr">
        <is>
          <t>W9</t>
        </is>
      </c>
      <c r="D51" s="36" t="n"/>
      <c r="E51" s="36" t="n"/>
      <c r="F51" s="36" t="inlineStr">
        <is>
          <t>N/A</t>
        </is>
      </c>
      <c r="G51" s="36" t="n"/>
      <c r="H51" s="36" t="n"/>
      <c r="I51" s="36" t="n"/>
      <c r="J51" s="38">
        <f>COUNTIF(D51:I51,"Done")</f>
        <v/>
      </c>
      <c r="K51" s="39" t="n"/>
    </row>
    <row r="52" ht="15.75" customHeight="1" s="47">
      <c r="A52" s="32" t="n">
        <v>46311</v>
      </c>
      <c r="B52" s="33" t="inlineStr">
        <is>
          <t>Fri</t>
        </is>
      </c>
      <c r="C52" s="33" t="inlineStr">
        <is>
          <t>W9</t>
        </is>
      </c>
      <c r="D52" s="36" t="n"/>
      <c r="E52" s="36" t="n"/>
      <c r="F52" s="36" t="inlineStr">
        <is>
          <t>N/A</t>
        </is>
      </c>
      <c r="G52" s="36" t="n"/>
      <c r="H52" s="36" t="n"/>
      <c r="I52" s="36" t="n"/>
      <c r="J52" s="38">
        <f>COUNTIF(D52:I52,"Done")</f>
        <v/>
      </c>
      <c r="K52" s="39" t="n"/>
    </row>
    <row r="53" ht="15.75" customHeight="1" s="47">
      <c r="A53" s="32" t="n">
        <v>46314</v>
      </c>
      <c r="B53" s="33" t="inlineStr">
        <is>
          <t>Mon</t>
        </is>
      </c>
      <c r="C53" s="33" t="inlineStr">
        <is>
          <t>W10</t>
        </is>
      </c>
      <c r="D53" s="36" t="n"/>
      <c r="E53" s="36" t="n"/>
      <c r="F53" s="36" t="inlineStr">
        <is>
          <t>N/A</t>
        </is>
      </c>
      <c r="G53" s="36" t="n"/>
      <c r="H53" s="36" t="n"/>
      <c r="I53" s="36" t="n"/>
      <c r="J53" s="38">
        <f>COUNTIF(D53:I53,"Done")</f>
        <v/>
      </c>
      <c r="K53" s="39" t="n"/>
    </row>
    <row r="54" ht="15.75" customHeight="1" s="47">
      <c r="A54" s="32" t="n">
        <v>46315</v>
      </c>
      <c r="B54" s="33" t="inlineStr">
        <is>
          <t>Tue</t>
        </is>
      </c>
      <c r="C54" s="33" t="inlineStr">
        <is>
          <t>W10</t>
        </is>
      </c>
      <c r="D54" s="36" t="n"/>
      <c r="E54" s="36" t="n"/>
      <c r="F54" s="36" t="inlineStr">
        <is>
          <t>N/A</t>
        </is>
      </c>
      <c r="G54" s="36" t="n"/>
      <c r="H54" s="36" t="n"/>
      <c r="I54" s="36" t="n"/>
      <c r="J54" s="38">
        <f>COUNTIF(D54:I54,"Done")</f>
        <v/>
      </c>
      <c r="K54" s="39" t="n"/>
    </row>
    <row r="55" ht="15.75" customHeight="1" s="47">
      <c r="A55" s="32" t="n">
        <v>46316</v>
      </c>
      <c r="B55" s="33" t="inlineStr">
        <is>
          <t>Wed</t>
        </is>
      </c>
      <c r="C55" s="33" t="inlineStr">
        <is>
          <t>W10</t>
        </is>
      </c>
      <c r="D55" s="36" t="n"/>
      <c r="E55" s="36" t="n"/>
      <c r="F55" s="36" t="n"/>
      <c r="G55" s="36" t="n"/>
      <c r="H55" s="36" t="n"/>
      <c r="I55" s="36" t="n"/>
      <c r="J55" s="38">
        <f>COUNTIF(D55:I55,"Done")</f>
        <v/>
      </c>
      <c r="K55" s="39" t="n"/>
    </row>
    <row r="56" ht="15.75" customHeight="1" s="47">
      <c r="A56" s="32" t="n">
        <v>46317</v>
      </c>
      <c r="B56" s="33" t="inlineStr">
        <is>
          <t>Thu</t>
        </is>
      </c>
      <c r="C56" s="33" t="inlineStr">
        <is>
          <t>W10</t>
        </is>
      </c>
      <c r="D56" s="36" t="n"/>
      <c r="E56" s="36" t="n"/>
      <c r="F56" s="36" t="inlineStr">
        <is>
          <t>N/A</t>
        </is>
      </c>
      <c r="G56" s="36" t="n"/>
      <c r="H56" s="36" t="n"/>
      <c r="I56" s="36" t="n"/>
      <c r="J56" s="38">
        <f>COUNTIF(D56:I56,"Done")</f>
        <v/>
      </c>
      <c r="K56" s="39" t="n"/>
    </row>
    <row r="57" ht="15.75" customHeight="1" s="47">
      <c r="A57" s="32" t="n">
        <v>46318</v>
      </c>
      <c r="B57" s="33" t="inlineStr">
        <is>
          <t>Fri</t>
        </is>
      </c>
      <c r="C57" s="33" t="inlineStr">
        <is>
          <t>W10</t>
        </is>
      </c>
      <c r="D57" s="36" t="n"/>
      <c r="E57" s="36" t="n"/>
      <c r="F57" s="36" t="inlineStr">
        <is>
          <t>N/A</t>
        </is>
      </c>
      <c r="G57" s="36" t="n"/>
      <c r="H57" s="36" t="n"/>
      <c r="I57" s="36" t="n"/>
      <c r="J57" s="38">
        <f>COUNTIF(D57:I57,"Done")</f>
        <v/>
      </c>
      <c r="K57" s="39" t="n"/>
    </row>
    <row r="58" ht="15.75" customHeight="1" s="47">
      <c r="A58" s="32" t="n">
        <v>46321</v>
      </c>
      <c r="B58" s="33" t="inlineStr">
        <is>
          <t>Mon</t>
        </is>
      </c>
      <c r="C58" s="33" t="inlineStr">
        <is>
          <t>W11</t>
        </is>
      </c>
      <c r="D58" s="36" t="n"/>
      <c r="E58" s="36" t="n"/>
      <c r="F58" s="36" t="inlineStr">
        <is>
          <t>N/A</t>
        </is>
      </c>
      <c r="G58" s="36" t="n"/>
      <c r="H58" s="36" t="n"/>
      <c r="I58" s="36" t="n"/>
      <c r="J58" s="38">
        <f>COUNTIF(D58:I58,"Done")</f>
        <v/>
      </c>
      <c r="K58" s="39" t="n"/>
    </row>
    <row r="59" ht="15.75" customHeight="1" s="47">
      <c r="A59" s="32" t="n">
        <v>46322</v>
      </c>
      <c r="B59" s="33" t="inlineStr">
        <is>
          <t>Tue</t>
        </is>
      </c>
      <c r="C59" s="33" t="inlineStr">
        <is>
          <t>W11</t>
        </is>
      </c>
      <c r="D59" s="36" t="n"/>
      <c r="E59" s="36" t="n"/>
      <c r="F59" s="36" t="inlineStr">
        <is>
          <t>N/A</t>
        </is>
      </c>
      <c r="G59" s="36" t="n"/>
      <c r="H59" s="36" t="n"/>
      <c r="I59" s="36" t="n"/>
      <c r="J59" s="38">
        <f>COUNTIF(D59:I59,"Done")</f>
        <v/>
      </c>
      <c r="K59" s="39" t="n"/>
    </row>
    <row r="60" ht="15.75" customHeight="1" s="47">
      <c r="A60" s="32" t="n">
        <v>46323</v>
      </c>
      <c r="B60" s="33" t="inlineStr">
        <is>
          <t>Wed</t>
        </is>
      </c>
      <c r="C60" s="33" t="inlineStr">
        <is>
          <t>W11</t>
        </is>
      </c>
      <c r="D60" s="36" t="n"/>
      <c r="E60" s="36" t="n"/>
      <c r="F60" s="36" t="n"/>
      <c r="G60" s="36" t="n"/>
      <c r="H60" s="36" t="n"/>
      <c r="I60" s="36" t="n"/>
      <c r="J60" s="38">
        <f>COUNTIF(D60:I60,"Done")</f>
        <v/>
      </c>
      <c r="K60" s="39" t="n"/>
    </row>
    <row r="61" ht="15.75" customHeight="1" s="47">
      <c r="A61" s="32" t="n">
        <v>46324</v>
      </c>
      <c r="B61" s="33" t="inlineStr">
        <is>
          <t>Thu</t>
        </is>
      </c>
      <c r="C61" s="33" t="inlineStr">
        <is>
          <t>W11</t>
        </is>
      </c>
      <c r="D61" s="36" t="n"/>
      <c r="E61" s="36" t="n"/>
      <c r="F61" s="36" t="inlineStr">
        <is>
          <t>N/A</t>
        </is>
      </c>
      <c r="G61" s="36" t="n"/>
      <c r="H61" s="36" t="n"/>
      <c r="I61" s="36" t="n"/>
      <c r="J61" s="38">
        <f>COUNTIF(D61:I61,"Done")</f>
        <v/>
      </c>
      <c r="K61" s="39" t="n"/>
    </row>
    <row r="62" ht="15.75" customHeight="1" s="47">
      <c r="A62" s="32" t="n">
        <v>46325</v>
      </c>
      <c r="B62" s="33" t="inlineStr">
        <is>
          <t>Fri</t>
        </is>
      </c>
      <c r="C62" s="33" t="inlineStr">
        <is>
          <t>W11</t>
        </is>
      </c>
      <c r="D62" s="36" t="n"/>
      <c r="E62" s="36" t="n"/>
      <c r="F62" s="36" t="inlineStr">
        <is>
          <t>N/A</t>
        </is>
      </c>
      <c r="G62" s="36" t="n"/>
      <c r="H62" s="36" t="n"/>
      <c r="I62" s="36" t="n"/>
      <c r="J62" s="38">
        <f>COUNTIF(D62:I62,"Done")</f>
        <v/>
      </c>
      <c r="K62" s="39" t="n"/>
    </row>
    <row r="63" ht="19.5" customHeight="1" s="47">
      <c r="A63" s="48" t="inlineStr">
        <is>
          <t>NOVEMBER 2026</t>
        </is>
      </c>
    </row>
    <row r="64" ht="15.75" customHeight="1" s="47">
      <c r="A64" s="32" t="n">
        <v>46328</v>
      </c>
      <c r="B64" s="33" t="inlineStr">
        <is>
          <t>Mon</t>
        </is>
      </c>
      <c r="C64" s="33" t="inlineStr">
        <is>
          <t>W12</t>
        </is>
      </c>
      <c r="D64" s="36" t="n"/>
      <c r="E64" s="36" t="n"/>
      <c r="F64" s="36" t="inlineStr">
        <is>
          <t>N/A</t>
        </is>
      </c>
      <c r="G64" s="36" t="n"/>
      <c r="H64" s="36" t="n"/>
      <c r="I64" s="36" t="n"/>
      <c r="J64" s="38">
        <f>COUNTIF(D64:I64,"Done")</f>
        <v/>
      </c>
      <c r="K64" s="39" t="n"/>
    </row>
    <row r="65" ht="15.75" customHeight="1" s="47">
      <c r="A65" s="32" t="n">
        <v>46329</v>
      </c>
      <c r="B65" s="33" t="inlineStr">
        <is>
          <t>Tue</t>
        </is>
      </c>
      <c r="C65" s="33" t="inlineStr">
        <is>
          <t>W12</t>
        </is>
      </c>
      <c r="D65" s="36" t="n"/>
      <c r="E65" s="36" t="n"/>
      <c r="F65" s="36" t="inlineStr">
        <is>
          <t>N/A</t>
        </is>
      </c>
      <c r="G65" s="36" t="n"/>
      <c r="H65" s="36" t="n"/>
      <c r="I65" s="36" t="n"/>
      <c r="J65" s="38">
        <f>COUNTIF(D65:I65,"Done")</f>
        <v/>
      </c>
      <c r="K65" s="39" t="n"/>
    </row>
    <row r="66" ht="15.75" customHeight="1" s="47">
      <c r="A66" s="32" t="n">
        <v>46330</v>
      </c>
      <c r="B66" s="33" t="inlineStr">
        <is>
          <t>Wed</t>
        </is>
      </c>
      <c r="C66" s="33" t="inlineStr">
        <is>
          <t>W12</t>
        </is>
      </c>
      <c r="D66" s="36" t="n"/>
      <c r="E66" s="36" t="n"/>
      <c r="F66" s="36" t="n"/>
      <c r="G66" s="36" t="n"/>
      <c r="H66" s="36" t="n"/>
      <c r="I66" s="36" t="n"/>
      <c r="J66" s="38">
        <f>COUNTIF(D66:I66,"Done")</f>
        <v/>
      </c>
      <c r="K66" s="39" t="n"/>
    </row>
    <row r="67" ht="15.75" customHeight="1" s="47">
      <c r="A67" s="32" t="n">
        <v>46331</v>
      </c>
      <c r="B67" s="33" t="inlineStr">
        <is>
          <t>Thu</t>
        </is>
      </c>
      <c r="C67" s="33" t="inlineStr">
        <is>
          <t>W12</t>
        </is>
      </c>
      <c r="D67" s="36" t="n"/>
      <c r="E67" s="36" t="n"/>
      <c r="F67" s="36" t="inlineStr">
        <is>
          <t>N/A</t>
        </is>
      </c>
      <c r="G67" s="36" t="n"/>
      <c r="H67" s="36" t="n"/>
      <c r="I67" s="36" t="n"/>
      <c r="J67" s="38">
        <f>COUNTIF(D67:I67,"Done")</f>
        <v/>
      </c>
      <c r="K67" s="39" t="n"/>
    </row>
    <row r="68" ht="15.75" customHeight="1" s="47">
      <c r="A68" s="32" t="n">
        <v>46332</v>
      </c>
      <c r="B68" s="33" t="inlineStr">
        <is>
          <t>Fri</t>
        </is>
      </c>
      <c r="C68" s="33" t="inlineStr">
        <is>
          <t>W12</t>
        </is>
      </c>
      <c r="D68" s="36" t="n"/>
      <c r="E68" s="36" t="n"/>
      <c r="F68" s="36" t="inlineStr">
        <is>
          <t>N/A</t>
        </is>
      </c>
      <c r="G68" s="36" t="n"/>
      <c r="H68" s="36" t="n"/>
      <c r="I68" s="36" t="n"/>
      <c r="J68" s="38">
        <f>COUNTIF(D68:I68,"Done")</f>
        <v/>
      </c>
      <c r="K68" s="39" t="n"/>
    </row>
    <row r="69" ht="15.75" customHeight="1" s="47">
      <c r="A69" s="32" t="n">
        <v>46335</v>
      </c>
      <c r="B69" s="33" t="inlineStr">
        <is>
          <t>Mon</t>
        </is>
      </c>
      <c r="C69" s="33" t="inlineStr">
        <is>
          <t>W13</t>
        </is>
      </c>
      <c r="D69" s="36" t="n"/>
      <c r="E69" s="36" t="n"/>
      <c r="F69" s="36" t="inlineStr">
        <is>
          <t>N/A</t>
        </is>
      </c>
      <c r="G69" s="36" t="n"/>
      <c r="H69" s="36" t="n"/>
      <c r="I69" s="36" t="n"/>
      <c r="J69" s="38">
        <f>COUNTIF(D69:I69,"Done")</f>
        <v/>
      </c>
      <c r="K69" s="39" t="n"/>
    </row>
    <row r="70" ht="15.75" customHeight="1" s="47">
      <c r="A70" s="32" t="n">
        <v>46336</v>
      </c>
      <c r="B70" s="33" t="inlineStr">
        <is>
          <t>Tue</t>
        </is>
      </c>
      <c r="C70" s="33" t="inlineStr">
        <is>
          <t>W13</t>
        </is>
      </c>
      <c r="D70" s="36" t="n"/>
      <c r="E70" s="36" t="n"/>
      <c r="F70" s="36" t="inlineStr">
        <is>
          <t>N/A</t>
        </is>
      </c>
      <c r="G70" s="36" t="n"/>
      <c r="H70" s="36" t="n"/>
      <c r="I70" s="36" t="n"/>
      <c r="J70" s="38">
        <f>COUNTIF(D70:I70,"Done")</f>
        <v/>
      </c>
      <c r="K70" s="39" t="n"/>
    </row>
    <row r="71" ht="15.75" customHeight="1" s="47">
      <c r="A71" s="32" t="n">
        <v>46337</v>
      </c>
      <c r="B71" s="33" t="inlineStr">
        <is>
          <t>Wed</t>
        </is>
      </c>
      <c r="C71" s="33" t="inlineStr">
        <is>
          <t>W13</t>
        </is>
      </c>
      <c r="D71" s="36" t="n"/>
      <c r="E71" s="36" t="n"/>
      <c r="F71" s="36" t="n"/>
      <c r="G71" s="36" t="n"/>
      <c r="H71" s="36" t="n"/>
      <c r="I71" s="36" t="n"/>
      <c r="J71" s="38">
        <f>COUNTIF(D71:I71,"Done")</f>
        <v/>
      </c>
      <c r="K71" s="39" t="n"/>
    </row>
    <row r="72" ht="15.75" customHeight="1" s="47">
      <c r="A72" s="32" t="n">
        <v>46338</v>
      </c>
      <c r="B72" s="33" t="inlineStr">
        <is>
          <t>Thu</t>
        </is>
      </c>
      <c r="C72" s="33" t="inlineStr">
        <is>
          <t>W13</t>
        </is>
      </c>
      <c r="D72" s="36" t="n"/>
      <c r="E72" s="36" t="n"/>
      <c r="F72" s="36" t="inlineStr">
        <is>
          <t>N/A</t>
        </is>
      </c>
      <c r="G72" s="36" t="n"/>
      <c r="H72" s="36" t="n"/>
      <c r="I72" s="36" t="n"/>
      <c r="J72" s="38">
        <f>COUNTIF(D72:I72,"Done")</f>
        <v/>
      </c>
      <c r="K72" s="39" t="n"/>
    </row>
    <row r="73" ht="15.75" customHeight="1" s="47">
      <c r="A73" s="32" t="n">
        <v>46339</v>
      </c>
      <c r="B73" s="33" t="inlineStr">
        <is>
          <t>Fri</t>
        </is>
      </c>
      <c r="C73" s="33" t="inlineStr">
        <is>
          <t>W13</t>
        </is>
      </c>
      <c r="D73" s="36" t="n"/>
      <c r="E73" s="36" t="n"/>
      <c r="F73" s="36" t="inlineStr">
        <is>
          <t>N/A</t>
        </is>
      </c>
      <c r="G73" s="36" t="n"/>
      <c r="H73" s="36" t="n"/>
      <c r="I73" s="36" t="n"/>
      <c r="J73" s="38">
        <f>COUNTIF(D73:I73,"Done")</f>
        <v/>
      </c>
      <c r="K73" s="39" t="n"/>
    </row>
    <row r="74" ht="15.75" customHeight="1" s="47">
      <c r="A74" s="32" t="n">
        <v>46342</v>
      </c>
      <c r="B74" s="33" t="inlineStr">
        <is>
          <t>Mon</t>
        </is>
      </c>
      <c r="C74" s="33" t="inlineStr">
        <is>
          <t>W14</t>
        </is>
      </c>
      <c r="D74" s="36" t="n"/>
      <c r="E74" s="36" t="n"/>
      <c r="F74" s="36" t="inlineStr">
        <is>
          <t>N/A</t>
        </is>
      </c>
      <c r="G74" s="36" t="n"/>
      <c r="H74" s="36" t="n"/>
      <c r="I74" s="36" t="n"/>
      <c r="J74" s="38">
        <f>COUNTIF(D74:I74,"Done")</f>
        <v/>
      </c>
      <c r="K74" s="39" t="n"/>
    </row>
    <row r="75" ht="15.75" customHeight="1" s="47">
      <c r="A75" s="32" t="n">
        <v>46343</v>
      </c>
      <c r="B75" s="33" t="inlineStr">
        <is>
          <t>Tue</t>
        </is>
      </c>
      <c r="C75" s="33" t="inlineStr">
        <is>
          <t>W14</t>
        </is>
      </c>
      <c r="D75" s="36" t="n"/>
      <c r="E75" s="36" t="n"/>
      <c r="F75" s="36" t="inlineStr">
        <is>
          <t>N/A</t>
        </is>
      </c>
      <c r="G75" s="36" t="n"/>
      <c r="H75" s="36" t="n"/>
      <c r="I75" s="36" t="n"/>
      <c r="J75" s="38">
        <f>COUNTIF(D75:I75,"Done")</f>
        <v/>
      </c>
      <c r="K75" s="39" t="n"/>
    </row>
    <row r="76" ht="15.75" customHeight="1" s="47">
      <c r="A76" s="32" t="n">
        <v>46344</v>
      </c>
      <c r="B76" s="33" t="inlineStr">
        <is>
          <t>Wed</t>
        </is>
      </c>
      <c r="C76" s="33" t="inlineStr">
        <is>
          <t>W14</t>
        </is>
      </c>
      <c r="D76" s="36" t="n"/>
      <c r="E76" s="36" t="n"/>
      <c r="F76" s="36" t="n"/>
      <c r="G76" s="36" t="n"/>
      <c r="H76" s="36" t="n"/>
      <c r="I76" s="36" t="n"/>
      <c r="J76" s="38">
        <f>COUNTIF(D76:I76,"Done")</f>
        <v/>
      </c>
      <c r="K76" s="39" t="n"/>
    </row>
    <row r="77" ht="15.75" customHeight="1" s="47">
      <c r="A77" s="32" t="n">
        <v>46345</v>
      </c>
      <c r="B77" s="33" t="inlineStr">
        <is>
          <t>Thu</t>
        </is>
      </c>
      <c r="C77" s="33" t="inlineStr">
        <is>
          <t>W14</t>
        </is>
      </c>
      <c r="D77" s="36" t="n"/>
      <c r="E77" s="36" t="n"/>
      <c r="F77" s="36" t="inlineStr">
        <is>
          <t>N/A</t>
        </is>
      </c>
      <c r="G77" s="36" t="n"/>
      <c r="H77" s="36" t="n"/>
      <c r="I77" s="36" t="n"/>
      <c r="J77" s="38">
        <f>COUNTIF(D77:I77,"Done")</f>
        <v/>
      </c>
      <c r="K77" s="39" t="n"/>
    </row>
    <row r="78" ht="15.75" customHeight="1" s="47">
      <c r="A78" s="32" t="n">
        <v>46346</v>
      </c>
      <c r="B78" s="33" t="inlineStr">
        <is>
          <t>Fri</t>
        </is>
      </c>
      <c r="C78" s="33" t="inlineStr">
        <is>
          <t>W14</t>
        </is>
      </c>
      <c r="D78" s="36" t="n"/>
      <c r="E78" s="36" t="n"/>
      <c r="F78" s="36" t="inlineStr">
        <is>
          <t>N/A</t>
        </is>
      </c>
      <c r="G78" s="36" t="n"/>
      <c r="H78" s="36" t="n"/>
      <c r="I78" s="36" t="n"/>
      <c r="J78" s="38">
        <f>COUNTIF(D78:I78,"Done")</f>
        <v/>
      </c>
      <c r="K78" s="39" t="n"/>
    </row>
    <row r="79" ht="15.75" customHeight="1" s="47">
      <c r="A79" s="32" t="n">
        <v>46349</v>
      </c>
      <c r="B79" s="33" t="inlineStr">
        <is>
          <t>Mon</t>
        </is>
      </c>
      <c r="C79" s="33" t="inlineStr">
        <is>
          <t>W15</t>
        </is>
      </c>
      <c r="D79" s="36" t="n"/>
      <c r="E79" s="36" t="n"/>
      <c r="F79" s="36" t="inlineStr">
        <is>
          <t>N/A</t>
        </is>
      </c>
      <c r="G79" s="36" t="n"/>
      <c r="H79" s="36" t="n"/>
      <c r="I79" s="36" t="n"/>
      <c r="J79" s="38">
        <f>COUNTIF(D79:I79,"Done")</f>
        <v/>
      </c>
      <c r="K79" s="39" t="n"/>
    </row>
    <row r="80" ht="15.75" customHeight="1" s="47">
      <c r="A80" s="32" t="n">
        <v>46350</v>
      </c>
      <c r="B80" s="33" t="inlineStr">
        <is>
          <t>Tue</t>
        </is>
      </c>
      <c r="C80" s="33" t="inlineStr">
        <is>
          <t>W15</t>
        </is>
      </c>
      <c r="D80" s="36" t="n"/>
      <c r="E80" s="36" t="n"/>
      <c r="F80" s="36" t="inlineStr">
        <is>
          <t>N/A</t>
        </is>
      </c>
      <c r="G80" s="36" t="n"/>
      <c r="H80" s="36" t="n"/>
      <c r="I80" s="36" t="n"/>
      <c r="J80" s="38">
        <f>COUNTIF(D80:I80,"Done")</f>
        <v/>
      </c>
      <c r="K80" s="39" t="n"/>
    </row>
    <row r="81" ht="15.75" customHeight="1" s="47">
      <c r="A81" s="32" t="n">
        <v>46351</v>
      </c>
      <c r="B81" s="33" t="inlineStr">
        <is>
          <t>Wed</t>
        </is>
      </c>
      <c r="C81" s="33" t="inlineStr">
        <is>
          <t>W15</t>
        </is>
      </c>
      <c r="D81" s="36" t="n"/>
      <c r="E81" s="36" t="n"/>
      <c r="F81" s="36" t="n"/>
      <c r="G81" s="36" t="n"/>
      <c r="H81" s="36" t="n"/>
      <c r="I81" s="36" t="n"/>
      <c r="J81" s="38">
        <f>COUNTIF(D81:I81,"Done")</f>
        <v/>
      </c>
      <c r="K81" s="39" t="n"/>
    </row>
    <row r="82" ht="15.75" customHeight="1" s="47">
      <c r="A82" s="32" t="n">
        <v>46352</v>
      </c>
      <c r="B82" s="33" t="inlineStr">
        <is>
          <t>Thu</t>
        </is>
      </c>
      <c r="C82" s="33" t="inlineStr">
        <is>
          <t>W15</t>
        </is>
      </c>
      <c r="D82" s="36" t="n"/>
      <c r="E82" s="36" t="n"/>
      <c r="F82" s="36" t="inlineStr">
        <is>
          <t>N/A</t>
        </is>
      </c>
      <c r="G82" s="36" t="n"/>
      <c r="H82" s="36" t="n"/>
      <c r="I82" s="36" t="n"/>
      <c r="J82" s="38">
        <f>COUNTIF(D82:I82,"Done")</f>
        <v/>
      </c>
      <c r="K82" s="39" t="n"/>
    </row>
    <row r="83" ht="15.75" customHeight="1" s="47">
      <c r="A83" s="32" t="n">
        <v>46353</v>
      </c>
      <c r="B83" s="33" t="inlineStr">
        <is>
          <t>Fri</t>
        </is>
      </c>
      <c r="C83" s="33" t="inlineStr">
        <is>
          <t>W15</t>
        </is>
      </c>
      <c r="D83" s="36" t="n"/>
      <c r="E83" s="36" t="n"/>
      <c r="F83" s="36" t="inlineStr">
        <is>
          <t>N/A</t>
        </is>
      </c>
      <c r="G83" s="36" t="n"/>
      <c r="H83" s="36" t="n"/>
      <c r="I83" s="36" t="n"/>
      <c r="J83" s="38">
        <f>COUNTIF(D83:I83,"Done")</f>
        <v/>
      </c>
      <c r="K83" s="39" t="n"/>
    </row>
    <row r="84" ht="15.75" customHeight="1" s="47">
      <c r="A84" s="32" t="n">
        <v>46356</v>
      </c>
      <c r="B84" s="33" t="inlineStr">
        <is>
          <t>Mon</t>
        </is>
      </c>
      <c r="C84" s="33" t="inlineStr">
        <is>
          <t>W16</t>
        </is>
      </c>
      <c r="D84" s="36" t="n"/>
      <c r="E84" s="36" t="n"/>
      <c r="F84" s="36" t="inlineStr">
        <is>
          <t>N/A</t>
        </is>
      </c>
      <c r="G84" s="36" t="n"/>
      <c r="H84" s="36" t="n"/>
      <c r="I84" s="36" t="n"/>
      <c r="J84" s="38">
        <f>COUNTIF(D84:I84,"Done")</f>
        <v/>
      </c>
      <c r="K84" s="39" t="n"/>
    </row>
    <row r="85" ht="19.5" customHeight="1" s="47">
      <c r="A85" s="48" t="inlineStr">
        <is>
          <t>DECEMBER 2026</t>
        </is>
      </c>
    </row>
    <row r="86" ht="15.75" customHeight="1" s="47">
      <c r="A86" s="32" t="n">
        <v>46357</v>
      </c>
      <c r="B86" s="33" t="inlineStr">
        <is>
          <t>Tue</t>
        </is>
      </c>
      <c r="C86" s="33" t="inlineStr">
        <is>
          <t>W16</t>
        </is>
      </c>
      <c r="D86" s="36" t="n"/>
      <c r="E86" s="36" t="n"/>
      <c r="F86" s="36" t="inlineStr">
        <is>
          <t>N/A</t>
        </is>
      </c>
      <c r="G86" s="36" t="n"/>
      <c r="H86" s="36" t="n"/>
      <c r="I86" s="36" t="n"/>
      <c r="J86" s="38">
        <f>COUNTIF(D86:I86,"Done")</f>
        <v/>
      </c>
      <c r="K86" s="39" t="n"/>
    </row>
    <row r="87" ht="15.75" customHeight="1" s="47">
      <c r="A87" s="32" t="n">
        <v>46358</v>
      </c>
      <c r="B87" s="33" t="inlineStr">
        <is>
          <t>Wed</t>
        </is>
      </c>
      <c r="C87" s="33" t="inlineStr">
        <is>
          <t>W16</t>
        </is>
      </c>
      <c r="D87" s="36" t="n"/>
      <c r="E87" s="36" t="n"/>
      <c r="F87" s="36" t="n"/>
      <c r="G87" s="36" t="n"/>
      <c r="H87" s="36" t="n"/>
      <c r="I87" s="36" t="n"/>
      <c r="J87" s="38">
        <f>COUNTIF(D87:I87,"Done")</f>
        <v/>
      </c>
      <c r="K87" s="39" t="n"/>
    </row>
    <row r="88" ht="15.75" customHeight="1" s="47">
      <c r="A88" s="32" t="n">
        <v>46359</v>
      </c>
      <c r="B88" s="33" t="inlineStr">
        <is>
          <t>Thu</t>
        </is>
      </c>
      <c r="C88" s="33" t="inlineStr">
        <is>
          <t>W16</t>
        </is>
      </c>
      <c r="D88" s="36" t="n"/>
      <c r="E88" s="36" t="n"/>
      <c r="F88" s="36" t="inlineStr">
        <is>
          <t>N/A</t>
        </is>
      </c>
      <c r="G88" s="36" t="n"/>
      <c r="H88" s="36" t="n"/>
      <c r="I88" s="36" t="n"/>
      <c r="J88" s="38">
        <f>COUNTIF(D88:I88,"Done")</f>
        <v/>
      </c>
      <c r="K88" s="39" t="n"/>
    </row>
    <row r="89" ht="15.75" customHeight="1" s="47">
      <c r="A89" s="32" t="n">
        <v>46360</v>
      </c>
      <c r="B89" s="33" t="inlineStr">
        <is>
          <t>Fri</t>
        </is>
      </c>
      <c r="C89" s="33" t="inlineStr">
        <is>
          <t>W16</t>
        </is>
      </c>
      <c r="D89" s="36" t="n"/>
      <c r="E89" s="36" t="n"/>
      <c r="F89" s="36" t="inlineStr">
        <is>
          <t>N/A</t>
        </is>
      </c>
      <c r="G89" s="36" t="n"/>
      <c r="H89" s="36" t="n"/>
      <c r="I89" s="36" t="n"/>
      <c r="J89" s="38">
        <f>COUNTIF(D89:I89,"Done")</f>
        <v/>
      </c>
      <c r="K89" s="39" t="n"/>
    </row>
    <row r="90" ht="15.75" customHeight="1" s="47">
      <c r="A90" s="32" t="n">
        <v>46363</v>
      </c>
      <c r="B90" s="33" t="inlineStr">
        <is>
          <t>Mon</t>
        </is>
      </c>
      <c r="C90" s="33" t="inlineStr">
        <is>
          <t>W17</t>
        </is>
      </c>
      <c r="D90" s="36" t="n"/>
      <c r="E90" s="36" t="n"/>
      <c r="F90" s="36" t="inlineStr">
        <is>
          <t>N/A</t>
        </is>
      </c>
      <c r="G90" s="36" t="n"/>
      <c r="H90" s="36" t="n"/>
      <c r="I90" s="36" t="n"/>
      <c r="J90" s="38">
        <f>COUNTIF(D90:I90,"Done")</f>
        <v/>
      </c>
      <c r="K90" s="39" t="n"/>
    </row>
    <row r="91" ht="15.75" customHeight="1" s="47">
      <c r="A91" s="32" t="n">
        <v>46364</v>
      </c>
      <c r="B91" s="33" t="inlineStr">
        <is>
          <t>Tue</t>
        </is>
      </c>
      <c r="C91" s="33" t="inlineStr">
        <is>
          <t>W17</t>
        </is>
      </c>
      <c r="D91" s="36" t="n"/>
      <c r="E91" s="36" t="n"/>
      <c r="F91" s="36" t="inlineStr">
        <is>
          <t>N/A</t>
        </is>
      </c>
      <c r="G91" s="36" t="n"/>
      <c r="H91" s="36" t="n"/>
      <c r="I91" s="36" t="n"/>
      <c r="J91" s="38">
        <f>COUNTIF(D91:I91,"Done")</f>
        <v/>
      </c>
      <c r="K91" s="39" t="n"/>
    </row>
    <row r="92" ht="15.75" customHeight="1" s="47">
      <c r="A92" s="32" t="n">
        <v>46365</v>
      </c>
      <c r="B92" s="33" t="inlineStr">
        <is>
          <t>Wed</t>
        </is>
      </c>
      <c r="C92" s="33" t="inlineStr">
        <is>
          <t>W17</t>
        </is>
      </c>
      <c r="D92" s="36" t="n"/>
      <c r="E92" s="36" t="n"/>
      <c r="F92" s="36" t="n"/>
      <c r="G92" s="36" t="n"/>
      <c r="H92" s="36" t="n"/>
      <c r="I92" s="36" t="n"/>
      <c r="J92" s="38">
        <f>COUNTIF(D92:I92,"Done")</f>
        <v/>
      </c>
      <c r="K92" s="39" t="n"/>
    </row>
    <row r="93" ht="15.75" customHeight="1" s="47">
      <c r="A93" s="32" t="n">
        <v>46366</v>
      </c>
      <c r="B93" s="33" t="inlineStr">
        <is>
          <t>Thu</t>
        </is>
      </c>
      <c r="C93" s="33" t="inlineStr">
        <is>
          <t>W17</t>
        </is>
      </c>
      <c r="D93" s="36" t="n"/>
      <c r="E93" s="36" t="n"/>
      <c r="F93" s="36" t="inlineStr">
        <is>
          <t>N/A</t>
        </is>
      </c>
      <c r="G93" s="36" t="n"/>
      <c r="H93" s="36" t="n"/>
      <c r="I93" s="36" t="n"/>
      <c r="J93" s="38">
        <f>COUNTIF(D93:I93,"Done")</f>
        <v/>
      </c>
      <c r="K93" s="39" t="n"/>
    </row>
    <row r="94" ht="15.75" customHeight="1" s="47">
      <c r="A94" s="32" t="n">
        <v>46367</v>
      </c>
      <c r="B94" s="33" t="inlineStr">
        <is>
          <t>Fri</t>
        </is>
      </c>
      <c r="C94" s="33" t="inlineStr">
        <is>
          <t>W17</t>
        </is>
      </c>
      <c r="D94" s="36" t="n"/>
      <c r="E94" s="36" t="n"/>
      <c r="F94" s="36" t="inlineStr">
        <is>
          <t>N/A</t>
        </is>
      </c>
      <c r="G94" s="36" t="n"/>
      <c r="H94" s="36" t="n"/>
      <c r="I94" s="36" t="n"/>
      <c r="J94" s="38">
        <f>COUNTIF(D94:I94,"Done")</f>
        <v/>
      </c>
      <c r="K94" s="39" t="n"/>
    </row>
    <row r="95" ht="15.75" customHeight="1" s="47">
      <c r="A95" s="32" t="n">
        <v>46370</v>
      </c>
      <c r="B95" s="33" t="inlineStr">
        <is>
          <t>Mon</t>
        </is>
      </c>
      <c r="C95" s="33" t="inlineStr">
        <is>
          <t>W18</t>
        </is>
      </c>
      <c r="D95" s="36" t="n"/>
      <c r="E95" s="36" t="n"/>
      <c r="F95" s="36" t="inlineStr">
        <is>
          <t>N/A</t>
        </is>
      </c>
      <c r="G95" s="36" t="n"/>
      <c r="H95" s="36" t="n"/>
      <c r="I95" s="36" t="n"/>
      <c r="J95" s="38">
        <f>COUNTIF(D95:I95,"Done")</f>
        <v/>
      </c>
      <c r="K95" s="39" t="n"/>
    </row>
    <row r="96" ht="15.75" customHeight="1" s="47">
      <c r="A96" s="32" t="n">
        <v>46371</v>
      </c>
      <c r="B96" s="33" t="inlineStr">
        <is>
          <t>Tue</t>
        </is>
      </c>
      <c r="C96" s="33" t="inlineStr">
        <is>
          <t>W18</t>
        </is>
      </c>
      <c r="D96" s="36" t="n"/>
      <c r="E96" s="36" t="n"/>
      <c r="F96" s="36" t="inlineStr">
        <is>
          <t>N/A</t>
        </is>
      </c>
      <c r="G96" s="36" t="n"/>
      <c r="H96" s="36" t="n"/>
      <c r="I96" s="36" t="n"/>
      <c r="J96" s="38">
        <f>COUNTIF(D96:I96,"Done")</f>
        <v/>
      </c>
      <c r="K96" s="39" t="n"/>
    </row>
    <row r="97" ht="15.75" customHeight="1" s="47">
      <c r="A97" s="32" t="n">
        <v>46372</v>
      </c>
      <c r="B97" s="33" t="inlineStr">
        <is>
          <t>Wed</t>
        </is>
      </c>
      <c r="C97" s="33" t="inlineStr">
        <is>
          <t>W18</t>
        </is>
      </c>
      <c r="D97" s="36" t="n"/>
      <c r="E97" s="36" t="n"/>
      <c r="F97" s="36" t="n"/>
      <c r="G97" s="36" t="n"/>
      <c r="H97" s="36" t="n"/>
      <c r="I97" s="36" t="n"/>
      <c r="J97" s="38">
        <f>COUNTIF(D97:I97,"Done")</f>
        <v/>
      </c>
      <c r="K97" s="39" t="n"/>
    </row>
    <row r="98" ht="15.75" customHeight="1" s="47">
      <c r="A98" s="32" t="n">
        <v>46373</v>
      </c>
      <c r="B98" s="33" t="inlineStr">
        <is>
          <t>Thu</t>
        </is>
      </c>
      <c r="C98" s="33" t="inlineStr">
        <is>
          <t>W18</t>
        </is>
      </c>
      <c r="D98" s="36" t="n"/>
      <c r="E98" s="36" t="n"/>
      <c r="F98" s="36" t="inlineStr">
        <is>
          <t>N/A</t>
        </is>
      </c>
      <c r="G98" s="36" t="n"/>
      <c r="H98" s="36" t="n"/>
      <c r="I98" s="36" t="n"/>
      <c r="J98" s="38">
        <f>COUNTIF(D98:I98,"Done")</f>
        <v/>
      </c>
      <c r="K98" s="39" t="n"/>
    </row>
    <row r="99" ht="15.75" customHeight="1" s="47">
      <c r="A99" s="32" t="n">
        <v>46374</v>
      </c>
      <c r="B99" s="33" t="inlineStr">
        <is>
          <t>Fri</t>
        </is>
      </c>
      <c r="C99" s="33" t="inlineStr">
        <is>
          <t>W18</t>
        </is>
      </c>
      <c r="D99" s="36" t="n"/>
      <c r="E99" s="36" t="n"/>
      <c r="F99" s="36" t="inlineStr">
        <is>
          <t>N/A</t>
        </is>
      </c>
      <c r="G99" s="36" t="n"/>
      <c r="H99" s="36" t="n"/>
      <c r="I99" s="36" t="n"/>
      <c r="J99" s="38">
        <f>COUNTIF(D99:I99,"Done")</f>
        <v/>
      </c>
      <c r="K99" s="39" t="n"/>
    </row>
    <row r="100" ht="15.75" customHeight="1" s="47">
      <c r="A100" s="32" t="n">
        <v>46377</v>
      </c>
      <c r="B100" s="33" t="inlineStr">
        <is>
          <t>Mon</t>
        </is>
      </c>
      <c r="C100" s="33" t="inlineStr">
        <is>
          <t>W19</t>
        </is>
      </c>
      <c r="D100" s="36" t="n"/>
      <c r="E100" s="36" t="n"/>
      <c r="F100" s="36" t="inlineStr">
        <is>
          <t>N/A</t>
        </is>
      </c>
      <c r="G100" s="36" t="n"/>
      <c r="H100" s="36" t="n"/>
      <c r="I100" s="36" t="n"/>
      <c r="J100" s="38">
        <f>COUNTIF(D100:I100,"Done")</f>
        <v/>
      </c>
      <c r="K100" s="39" t="n"/>
    </row>
    <row r="101" ht="15.75" customHeight="1" s="47">
      <c r="A101" s="32" t="n">
        <v>46378</v>
      </c>
      <c r="B101" s="33" t="inlineStr">
        <is>
          <t>Tue</t>
        </is>
      </c>
      <c r="C101" s="33" t="inlineStr">
        <is>
          <t>W19</t>
        </is>
      </c>
      <c r="D101" s="36" t="n"/>
      <c r="E101" s="36" t="n"/>
      <c r="F101" s="36" t="inlineStr">
        <is>
          <t>N/A</t>
        </is>
      </c>
      <c r="G101" s="36" t="n"/>
      <c r="H101" s="36" t="n"/>
      <c r="I101" s="36" t="n"/>
      <c r="J101" s="38">
        <f>COUNTIF(D101:I101,"Done")</f>
        <v/>
      </c>
      <c r="K101" s="39" t="n"/>
    </row>
    <row r="102" ht="15.75" customHeight="1" s="47">
      <c r="A102" s="32" t="n">
        <v>46379</v>
      </c>
      <c r="B102" s="33" t="inlineStr">
        <is>
          <t>Wed</t>
        </is>
      </c>
      <c r="C102" s="33" t="inlineStr">
        <is>
          <t>W19</t>
        </is>
      </c>
      <c r="D102" s="36" t="n"/>
      <c r="E102" s="36" t="n"/>
      <c r="F102" s="36" t="n"/>
      <c r="G102" s="36" t="n"/>
      <c r="H102" s="36" t="n"/>
      <c r="I102" s="36" t="n"/>
      <c r="J102" s="38">
        <f>COUNTIF(D102:I102,"Done")</f>
        <v/>
      </c>
      <c r="K102" s="39" t="n"/>
    </row>
    <row r="103" ht="15.75" customHeight="1" s="47">
      <c r="A103" s="32" t="n">
        <v>46380</v>
      </c>
      <c r="B103" s="33" t="inlineStr">
        <is>
          <t>Thu</t>
        </is>
      </c>
      <c r="C103" s="33" t="inlineStr">
        <is>
          <t>W19</t>
        </is>
      </c>
      <c r="D103" s="36" t="n"/>
      <c r="E103" s="36" t="n"/>
      <c r="F103" s="36" t="inlineStr">
        <is>
          <t>N/A</t>
        </is>
      </c>
      <c r="G103" s="36" t="n"/>
      <c r="H103" s="36" t="n"/>
      <c r="I103" s="36" t="n"/>
      <c r="J103" s="38">
        <f>COUNTIF(D103:I103,"Done")</f>
        <v/>
      </c>
      <c r="K103" s="39" t="n"/>
    </row>
    <row r="104" ht="15.75" customHeight="1" s="47">
      <c r="A104" s="32" t="n">
        <v>46381</v>
      </c>
      <c r="B104" s="33" t="inlineStr">
        <is>
          <t>Fri</t>
        </is>
      </c>
      <c r="C104" s="33" t="inlineStr">
        <is>
          <t>W19</t>
        </is>
      </c>
      <c r="D104" s="36" t="n"/>
      <c r="E104" s="36" t="n"/>
      <c r="F104" s="36" t="inlineStr">
        <is>
          <t>N/A</t>
        </is>
      </c>
      <c r="G104" s="36" t="n"/>
      <c r="H104" s="36" t="n"/>
      <c r="I104" s="36" t="n"/>
      <c r="J104" s="38">
        <f>COUNTIF(D104:I104,"Done")</f>
        <v/>
      </c>
      <c r="K104" s="39" t="n"/>
    </row>
    <row r="105" ht="15.75" customHeight="1" s="47">
      <c r="A105" s="32" t="n">
        <v>46384</v>
      </c>
      <c r="B105" s="33" t="inlineStr">
        <is>
          <t>Mon</t>
        </is>
      </c>
      <c r="C105" s="33" t="inlineStr">
        <is>
          <t>W20</t>
        </is>
      </c>
      <c r="D105" s="36" t="n"/>
      <c r="E105" s="36" t="n"/>
      <c r="F105" s="36" t="inlineStr">
        <is>
          <t>N/A</t>
        </is>
      </c>
      <c r="G105" s="36" t="n"/>
      <c r="H105" s="36" t="n"/>
      <c r="I105" s="36" t="n"/>
      <c r="J105" s="38">
        <f>COUNTIF(D105:I105,"Done")</f>
        <v/>
      </c>
      <c r="K105" s="39" t="n"/>
    </row>
    <row r="106" ht="15.75" customHeight="1" s="47">
      <c r="A106" s="32" t="n">
        <v>46385</v>
      </c>
      <c r="B106" s="33" t="inlineStr">
        <is>
          <t>Tue</t>
        </is>
      </c>
      <c r="C106" s="33" t="inlineStr">
        <is>
          <t>W20</t>
        </is>
      </c>
      <c r="D106" s="36" t="n"/>
      <c r="E106" s="36" t="n"/>
      <c r="F106" s="36" t="inlineStr">
        <is>
          <t>N/A</t>
        </is>
      </c>
      <c r="G106" s="36" t="n"/>
      <c r="H106" s="36" t="n"/>
      <c r="I106" s="36" t="n"/>
      <c r="J106" s="38">
        <f>COUNTIF(D106:I106,"Done")</f>
        <v/>
      </c>
      <c r="K106" s="39" t="n"/>
    </row>
    <row r="107" ht="15.75" customHeight="1" s="47">
      <c r="A107" s="32" t="n">
        <v>46386</v>
      </c>
      <c r="B107" s="33" t="inlineStr">
        <is>
          <t>Wed</t>
        </is>
      </c>
      <c r="C107" s="33" t="inlineStr">
        <is>
          <t>W20</t>
        </is>
      </c>
      <c r="D107" s="36" t="n"/>
      <c r="E107" s="36" t="n"/>
      <c r="F107" s="36" t="n"/>
      <c r="G107" s="36" t="n"/>
      <c r="H107" s="36" t="n"/>
      <c r="I107" s="36" t="n"/>
      <c r="J107" s="38">
        <f>COUNTIF(D107:I107,"Done")</f>
        <v/>
      </c>
      <c r="K107" s="39" t="n"/>
    </row>
    <row r="108" ht="15.75" customHeight="1" s="47">
      <c r="A108" s="32" t="n">
        <v>46387</v>
      </c>
      <c r="B108" s="33" t="inlineStr">
        <is>
          <t>Thu</t>
        </is>
      </c>
      <c r="C108" s="33" t="inlineStr">
        <is>
          <t>W20</t>
        </is>
      </c>
      <c r="D108" s="36" t="n"/>
      <c r="E108" s="36" t="n"/>
      <c r="F108" s="36" t="inlineStr">
        <is>
          <t>N/A</t>
        </is>
      </c>
      <c r="G108" s="36" t="n"/>
      <c r="H108" s="36" t="n"/>
      <c r="I108" s="36" t="n"/>
      <c r="J108" s="38">
        <f>COUNTIF(D108:I108,"Done")</f>
        <v/>
      </c>
      <c r="K108" s="39" t="n"/>
    </row>
    <row r="109" ht="19.5" customHeight="1" s="47">
      <c r="A109" s="48" t="inlineStr">
        <is>
          <t>JANUARY 2027</t>
        </is>
      </c>
    </row>
    <row r="110" ht="15.75" customHeight="1" s="47">
      <c r="A110" s="32" t="n">
        <v>46388</v>
      </c>
      <c r="B110" s="33" t="inlineStr">
        <is>
          <t>Fri</t>
        </is>
      </c>
      <c r="C110" s="33" t="inlineStr">
        <is>
          <t>W20</t>
        </is>
      </c>
      <c r="D110" s="36" t="n"/>
      <c r="E110" s="36" t="n"/>
      <c r="F110" s="36" t="inlineStr">
        <is>
          <t>N/A</t>
        </is>
      </c>
      <c r="G110" s="36" t="n"/>
      <c r="H110" s="36" t="n"/>
      <c r="I110" s="36" t="n"/>
      <c r="J110" s="38">
        <f>COUNTIF(D110:I110,"Done")</f>
        <v/>
      </c>
      <c r="K110" s="39" t="n"/>
    </row>
    <row r="111" ht="15.75" customHeight="1" s="47">
      <c r="A111" s="32" t="n">
        <v>46391</v>
      </c>
      <c r="B111" s="33" t="inlineStr">
        <is>
          <t>Mon</t>
        </is>
      </c>
      <c r="C111" s="33" t="inlineStr">
        <is>
          <t>W21</t>
        </is>
      </c>
      <c r="D111" s="36" t="n"/>
      <c r="E111" s="36" t="n"/>
      <c r="F111" s="36" t="inlineStr">
        <is>
          <t>N/A</t>
        </is>
      </c>
      <c r="G111" s="36" t="n"/>
      <c r="H111" s="36" t="n"/>
      <c r="I111" s="36" t="n"/>
      <c r="J111" s="38">
        <f>COUNTIF(D111:I111,"Done")</f>
        <v/>
      </c>
      <c r="K111" s="39" t="n"/>
    </row>
    <row r="112" ht="15.75" customHeight="1" s="47">
      <c r="A112" s="32" t="n">
        <v>46392</v>
      </c>
      <c r="B112" s="33" t="inlineStr">
        <is>
          <t>Tue</t>
        </is>
      </c>
      <c r="C112" s="33" t="inlineStr">
        <is>
          <t>W21</t>
        </is>
      </c>
      <c r="D112" s="36" t="n"/>
      <c r="E112" s="36" t="n"/>
      <c r="F112" s="36" t="inlineStr">
        <is>
          <t>N/A</t>
        </is>
      </c>
      <c r="G112" s="36" t="n"/>
      <c r="H112" s="36" t="n"/>
      <c r="I112" s="36" t="n"/>
      <c r="J112" s="38">
        <f>COUNTIF(D112:I112,"Done")</f>
        <v/>
      </c>
      <c r="K112" s="39" t="n"/>
    </row>
    <row r="113" ht="15.75" customHeight="1" s="47">
      <c r="A113" s="32" t="n">
        <v>46393</v>
      </c>
      <c r="B113" s="33" t="inlineStr">
        <is>
          <t>Wed</t>
        </is>
      </c>
      <c r="C113" s="33" t="inlineStr">
        <is>
          <t>W21</t>
        </is>
      </c>
      <c r="D113" s="36" t="n"/>
      <c r="E113" s="36" t="n"/>
      <c r="F113" s="36" t="n"/>
      <c r="G113" s="36" t="n"/>
      <c r="H113" s="36" t="n"/>
      <c r="I113" s="36" t="n"/>
      <c r="J113" s="38">
        <f>COUNTIF(D113:I113,"Done")</f>
        <v/>
      </c>
      <c r="K113" s="39" t="n"/>
    </row>
    <row r="114" ht="15.75" customHeight="1" s="47">
      <c r="A114" s="32" t="n">
        <v>46394</v>
      </c>
      <c r="B114" s="33" t="inlineStr">
        <is>
          <t>Thu</t>
        </is>
      </c>
      <c r="C114" s="33" t="inlineStr">
        <is>
          <t>W21</t>
        </is>
      </c>
      <c r="D114" s="36" t="n"/>
      <c r="E114" s="36" t="n"/>
      <c r="F114" s="36" t="inlineStr">
        <is>
          <t>N/A</t>
        </is>
      </c>
      <c r="G114" s="36" t="n"/>
      <c r="H114" s="36" t="n"/>
      <c r="I114" s="36" t="n"/>
      <c r="J114" s="38">
        <f>COUNTIF(D114:I114,"Done")</f>
        <v/>
      </c>
      <c r="K114" s="39" t="n"/>
    </row>
    <row r="115" ht="15.75" customHeight="1" s="47">
      <c r="A115" s="32" t="n">
        <v>46395</v>
      </c>
      <c r="B115" s="33" t="inlineStr">
        <is>
          <t>Fri</t>
        </is>
      </c>
      <c r="C115" s="33" t="inlineStr">
        <is>
          <t>W21</t>
        </is>
      </c>
      <c r="D115" s="36" t="n"/>
      <c r="E115" s="36" t="n"/>
      <c r="F115" s="36" t="inlineStr">
        <is>
          <t>N/A</t>
        </is>
      </c>
      <c r="G115" s="36" t="n"/>
      <c r="H115" s="36" t="n"/>
      <c r="I115" s="36" t="n"/>
      <c r="J115" s="38">
        <f>COUNTIF(D115:I115,"Done")</f>
        <v/>
      </c>
      <c r="K115" s="39" t="n"/>
    </row>
    <row r="116" ht="15.75" customHeight="1" s="47">
      <c r="A116" s="32" t="n">
        <v>46398</v>
      </c>
      <c r="B116" s="33" t="inlineStr">
        <is>
          <t>Mon</t>
        </is>
      </c>
      <c r="C116" s="33" t="inlineStr">
        <is>
          <t>W22</t>
        </is>
      </c>
      <c r="D116" s="36" t="n"/>
      <c r="E116" s="36" t="n"/>
      <c r="F116" s="36" t="inlineStr">
        <is>
          <t>N/A</t>
        </is>
      </c>
      <c r="G116" s="36" t="n"/>
      <c r="H116" s="36" t="n"/>
      <c r="I116" s="36" t="n"/>
      <c r="J116" s="38">
        <f>COUNTIF(D116:I116,"Done")</f>
        <v/>
      </c>
      <c r="K116" s="39" t="n"/>
    </row>
    <row r="117" ht="15.75" customHeight="1" s="47">
      <c r="A117" s="32" t="n">
        <v>46399</v>
      </c>
      <c r="B117" s="33" t="inlineStr">
        <is>
          <t>Tue</t>
        </is>
      </c>
      <c r="C117" s="33" t="inlineStr">
        <is>
          <t>W22</t>
        </is>
      </c>
      <c r="D117" s="36" t="n"/>
      <c r="E117" s="36" t="n"/>
      <c r="F117" s="36" t="inlineStr">
        <is>
          <t>N/A</t>
        </is>
      </c>
      <c r="G117" s="36" t="n"/>
      <c r="H117" s="36" t="n"/>
      <c r="I117" s="36" t="n"/>
      <c r="J117" s="38">
        <f>COUNTIF(D117:I117,"Done")</f>
        <v/>
      </c>
      <c r="K117" s="39" t="n"/>
    </row>
    <row r="118" ht="15.75" customHeight="1" s="47">
      <c r="A118" s="32" t="n">
        <v>46400</v>
      </c>
      <c r="B118" s="33" t="inlineStr">
        <is>
          <t>Wed</t>
        </is>
      </c>
      <c r="C118" s="33" t="inlineStr">
        <is>
          <t>W22</t>
        </is>
      </c>
      <c r="D118" s="36" t="n"/>
      <c r="E118" s="36" t="n"/>
      <c r="F118" s="36" t="n"/>
      <c r="G118" s="36" t="n"/>
      <c r="H118" s="36" t="n"/>
      <c r="I118" s="36" t="n"/>
      <c r="J118" s="38">
        <f>COUNTIF(D118:I118,"Done")</f>
        <v/>
      </c>
      <c r="K118" s="39" t="n"/>
    </row>
    <row r="119" ht="15.75" customHeight="1" s="47">
      <c r="A119" s="32" t="n">
        <v>46401</v>
      </c>
      <c r="B119" s="33" t="inlineStr">
        <is>
          <t>Thu</t>
        </is>
      </c>
      <c r="C119" s="33" t="inlineStr">
        <is>
          <t>W22</t>
        </is>
      </c>
      <c r="D119" s="36" t="n"/>
      <c r="E119" s="36" t="n"/>
      <c r="F119" s="36" t="inlineStr">
        <is>
          <t>N/A</t>
        </is>
      </c>
      <c r="G119" s="36" t="n"/>
      <c r="H119" s="36" t="n"/>
      <c r="I119" s="36" t="n"/>
      <c r="J119" s="38">
        <f>COUNTIF(D119:I119,"Done")</f>
        <v/>
      </c>
      <c r="K119" s="39" t="n"/>
    </row>
    <row r="120" ht="15.75" customHeight="1" s="47">
      <c r="A120" s="32" t="n">
        <v>46402</v>
      </c>
      <c r="B120" s="33" t="inlineStr">
        <is>
          <t>Fri</t>
        </is>
      </c>
      <c r="C120" s="33" t="inlineStr">
        <is>
          <t>W22</t>
        </is>
      </c>
      <c r="D120" s="36" t="n"/>
      <c r="E120" s="36" t="n"/>
      <c r="F120" s="36" t="inlineStr">
        <is>
          <t>N/A</t>
        </is>
      </c>
      <c r="G120" s="36" t="n"/>
      <c r="H120" s="36" t="n"/>
      <c r="I120" s="36" t="n"/>
      <c r="J120" s="38">
        <f>COUNTIF(D120:I120,"Done")</f>
        <v/>
      </c>
      <c r="K120" s="39" t="n"/>
    </row>
    <row r="121" ht="15.75" customHeight="1" s="47">
      <c r="A121" s="32" t="n">
        <v>46405</v>
      </c>
      <c r="B121" s="33" t="inlineStr">
        <is>
          <t>Mon</t>
        </is>
      </c>
      <c r="C121" s="33" t="inlineStr">
        <is>
          <t>W23</t>
        </is>
      </c>
      <c r="D121" s="36" t="n"/>
      <c r="E121" s="36" t="n"/>
      <c r="F121" s="36" t="inlineStr">
        <is>
          <t>N/A</t>
        </is>
      </c>
      <c r="G121" s="36" t="n"/>
      <c r="H121" s="36" t="n"/>
      <c r="I121" s="36" t="n"/>
      <c r="J121" s="38">
        <f>COUNTIF(D121:I121,"Done")</f>
        <v/>
      </c>
      <c r="K121" s="39" t="n"/>
    </row>
    <row r="122" ht="15.75" customHeight="1" s="47">
      <c r="A122" s="32" t="n">
        <v>46406</v>
      </c>
      <c r="B122" s="33" t="inlineStr">
        <is>
          <t>Tue</t>
        </is>
      </c>
      <c r="C122" s="33" t="inlineStr">
        <is>
          <t>W23</t>
        </is>
      </c>
      <c r="D122" s="36" t="n"/>
      <c r="E122" s="36" t="n"/>
      <c r="F122" s="36" t="inlineStr">
        <is>
          <t>N/A</t>
        </is>
      </c>
      <c r="G122" s="36" t="n"/>
      <c r="H122" s="36" t="n"/>
      <c r="I122" s="36" t="n"/>
      <c r="J122" s="38">
        <f>COUNTIF(D122:I122,"Done")</f>
        <v/>
      </c>
      <c r="K122" s="39" t="n"/>
    </row>
    <row r="123" ht="15.75" customHeight="1" s="47">
      <c r="A123" s="32" t="n">
        <v>46407</v>
      </c>
      <c r="B123" s="33" t="inlineStr">
        <is>
          <t>Wed</t>
        </is>
      </c>
      <c r="C123" s="33" t="inlineStr">
        <is>
          <t>W23</t>
        </is>
      </c>
      <c r="D123" s="36" t="n"/>
      <c r="E123" s="36" t="n"/>
      <c r="F123" s="36" t="n"/>
      <c r="G123" s="36" t="n"/>
      <c r="H123" s="36" t="n"/>
      <c r="I123" s="36" t="n"/>
      <c r="J123" s="38">
        <f>COUNTIF(D123:I123,"Done")</f>
        <v/>
      </c>
      <c r="K123" s="39" t="n"/>
    </row>
    <row r="124" ht="15.75" customHeight="1" s="47">
      <c r="A124" s="32" t="n">
        <v>46408</v>
      </c>
      <c r="B124" s="33" t="inlineStr">
        <is>
          <t>Thu</t>
        </is>
      </c>
      <c r="C124" s="33" t="inlineStr">
        <is>
          <t>W23</t>
        </is>
      </c>
      <c r="D124" s="36" t="n"/>
      <c r="E124" s="36" t="n"/>
      <c r="F124" s="36" t="inlineStr">
        <is>
          <t>N/A</t>
        </is>
      </c>
      <c r="G124" s="36" t="n"/>
      <c r="H124" s="36" t="n"/>
      <c r="I124" s="36" t="n"/>
      <c r="J124" s="38">
        <f>COUNTIF(D124:I124,"Done")</f>
        <v/>
      </c>
      <c r="K124" s="39" t="n"/>
    </row>
    <row r="125" ht="15.75" customHeight="1" s="47">
      <c r="A125" s="32" t="n">
        <v>46409</v>
      </c>
      <c r="B125" s="33" t="inlineStr">
        <is>
          <t>Fri</t>
        </is>
      </c>
      <c r="C125" s="33" t="inlineStr">
        <is>
          <t>W23</t>
        </is>
      </c>
      <c r="D125" s="36" t="n"/>
      <c r="E125" s="36" t="n"/>
      <c r="F125" s="36" t="inlineStr">
        <is>
          <t>N/A</t>
        </is>
      </c>
      <c r="G125" s="36" t="n"/>
      <c r="H125" s="36" t="n"/>
      <c r="I125" s="36" t="n"/>
      <c r="J125" s="38">
        <f>COUNTIF(D125:I125,"Done")</f>
        <v/>
      </c>
      <c r="K125" s="39" t="n"/>
    </row>
    <row r="126" ht="15.75" customHeight="1" s="47">
      <c r="A126" s="32" t="n">
        <v>46412</v>
      </c>
      <c r="B126" s="33" t="inlineStr">
        <is>
          <t>Mon</t>
        </is>
      </c>
      <c r="C126" s="33" t="inlineStr">
        <is>
          <t>W24</t>
        </is>
      </c>
      <c r="D126" s="36" t="n"/>
      <c r="E126" s="36" t="n"/>
      <c r="F126" s="36" t="inlineStr">
        <is>
          <t>N/A</t>
        </is>
      </c>
      <c r="G126" s="36" t="n"/>
      <c r="H126" s="36" t="n"/>
      <c r="I126" s="36" t="n"/>
      <c r="J126" s="38">
        <f>COUNTIF(D126:I126,"Done")</f>
        <v/>
      </c>
      <c r="K126" s="39" t="n"/>
    </row>
    <row r="127" ht="15.75" customHeight="1" s="47">
      <c r="A127" s="32" t="n">
        <v>46413</v>
      </c>
      <c r="B127" s="33" t="inlineStr">
        <is>
          <t>Tue</t>
        </is>
      </c>
      <c r="C127" s="33" t="inlineStr">
        <is>
          <t>W24</t>
        </is>
      </c>
      <c r="D127" s="36" t="n"/>
      <c r="E127" s="36" t="n"/>
      <c r="F127" s="36" t="inlineStr">
        <is>
          <t>N/A</t>
        </is>
      </c>
      <c r="G127" s="36" t="n"/>
      <c r="H127" s="36" t="n"/>
      <c r="I127" s="36" t="n"/>
      <c r="J127" s="38">
        <f>COUNTIF(D127:I127,"Done")</f>
        <v/>
      </c>
      <c r="K127" s="39" t="n"/>
    </row>
    <row r="128" ht="15.75" customHeight="1" s="47">
      <c r="A128" s="32" t="n">
        <v>46414</v>
      </c>
      <c r="B128" s="33" t="inlineStr">
        <is>
          <t>Wed</t>
        </is>
      </c>
      <c r="C128" s="33" t="inlineStr">
        <is>
          <t>W24</t>
        </is>
      </c>
      <c r="D128" s="36" t="n"/>
      <c r="E128" s="36" t="n"/>
      <c r="F128" s="36" t="n"/>
      <c r="G128" s="36" t="n"/>
      <c r="H128" s="36" t="n"/>
      <c r="I128" s="36" t="n"/>
      <c r="J128" s="38">
        <f>COUNTIF(D128:I128,"Done")</f>
        <v/>
      </c>
      <c r="K128" s="39" t="n"/>
    </row>
    <row r="129" ht="15.75" customHeight="1" s="47">
      <c r="A129" s="32" t="n">
        <v>46415</v>
      </c>
      <c r="B129" s="33" t="inlineStr">
        <is>
          <t>Thu</t>
        </is>
      </c>
      <c r="C129" s="33" t="inlineStr">
        <is>
          <t>W24</t>
        </is>
      </c>
      <c r="D129" s="36" t="n"/>
      <c r="E129" s="36" t="n"/>
      <c r="F129" s="36" t="inlineStr">
        <is>
          <t>N/A</t>
        </is>
      </c>
      <c r="G129" s="36" t="n"/>
      <c r="H129" s="36" t="n"/>
      <c r="I129" s="36" t="n"/>
      <c r="J129" s="38">
        <f>COUNTIF(D129:I129,"Done")</f>
        <v/>
      </c>
      <c r="K129" s="39" t="n"/>
    </row>
    <row r="130" ht="15.75" customHeight="1" s="47">
      <c r="A130" s="32" t="n">
        <v>46416</v>
      </c>
      <c r="B130" s="33" t="inlineStr">
        <is>
          <t>Fri</t>
        </is>
      </c>
      <c r="C130" s="33" t="inlineStr">
        <is>
          <t>W24</t>
        </is>
      </c>
      <c r="D130" s="36" t="n"/>
      <c r="E130" s="36" t="n"/>
      <c r="F130" s="36" t="inlineStr">
        <is>
          <t>N/A</t>
        </is>
      </c>
      <c r="G130" s="36" t="n"/>
      <c r="H130" s="36" t="n"/>
      <c r="I130" s="36" t="n"/>
      <c r="J130" s="38">
        <f>COUNTIF(D130:I130,"Done")</f>
        <v/>
      </c>
      <c r="K130" s="39" t="n"/>
    </row>
    <row r="131" ht="19.5" customHeight="1" s="47">
      <c r="A131" s="48" t="inlineStr">
        <is>
          <t>FEBRUARY 2027</t>
        </is>
      </c>
    </row>
    <row r="132" ht="15.75" customHeight="1" s="47">
      <c r="A132" s="32" t="n">
        <v>46419</v>
      </c>
      <c r="B132" s="33" t="inlineStr">
        <is>
          <t>Mon</t>
        </is>
      </c>
      <c r="C132" s="33" t="inlineStr">
        <is>
          <t>W25</t>
        </is>
      </c>
      <c r="D132" s="36" t="n"/>
      <c r="E132" s="36" t="n"/>
      <c r="F132" s="36" t="inlineStr">
        <is>
          <t>N/A</t>
        </is>
      </c>
      <c r="G132" s="36" t="n"/>
      <c r="H132" s="36" t="n"/>
      <c r="I132" s="36" t="n"/>
      <c r="J132" s="38">
        <f>COUNTIF(D132:I132,"Done")</f>
        <v/>
      </c>
      <c r="K132" s="39" t="n"/>
    </row>
    <row r="133" ht="15.75" customHeight="1" s="47">
      <c r="A133" s="32" t="n">
        <v>46420</v>
      </c>
      <c r="B133" s="33" t="inlineStr">
        <is>
          <t>Tue</t>
        </is>
      </c>
      <c r="C133" s="33" t="inlineStr">
        <is>
          <t>W25</t>
        </is>
      </c>
      <c r="D133" s="36" t="n"/>
      <c r="E133" s="36" t="n"/>
      <c r="F133" s="36" t="inlineStr">
        <is>
          <t>N/A</t>
        </is>
      </c>
      <c r="G133" s="36" t="n"/>
      <c r="H133" s="36" t="n"/>
      <c r="I133" s="36" t="n"/>
      <c r="J133" s="38">
        <f>COUNTIF(D133:I133,"Done")</f>
        <v/>
      </c>
      <c r="K133" s="39" t="n"/>
    </row>
    <row r="134" ht="15.75" customHeight="1" s="47">
      <c r="A134" s="32" t="n">
        <v>46421</v>
      </c>
      <c r="B134" s="33" t="inlineStr">
        <is>
          <t>Wed</t>
        </is>
      </c>
      <c r="C134" s="33" t="inlineStr">
        <is>
          <t>W25</t>
        </is>
      </c>
      <c r="D134" s="36" t="n"/>
      <c r="E134" s="36" t="n"/>
      <c r="F134" s="36" t="n"/>
      <c r="G134" s="36" t="n"/>
      <c r="H134" s="36" t="n"/>
      <c r="I134" s="36" t="n"/>
      <c r="J134" s="38">
        <f>COUNTIF(D134:I134,"Done")</f>
        <v/>
      </c>
      <c r="K134" s="39" t="n"/>
    </row>
    <row r="135" ht="15.75" customHeight="1" s="47">
      <c r="A135" s="32" t="n">
        <v>46422</v>
      </c>
      <c r="B135" s="33" t="inlineStr">
        <is>
          <t>Thu</t>
        </is>
      </c>
      <c r="C135" s="33" t="inlineStr">
        <is>
          <t>W25</t>
        </is>
      </c>
      <c r="D135" s="36" t="n"/>
      <c r="E135" s="36" t="n"/>
      <c r="F135" s="36" t="inlineStr">
        <is>
          <t>N/A</t>
        </is>
      </c>
      <c r="G135" s="36" t="n"/>
      <c r="H135" s="36" t="n"/>
      <c r="I135" s="36" t="n"/>
      <c r="J135" s="38">
        <f>COUNTIF(D135:I135,"Done")</f>
        <v/>
      </c>
      <c r="K135" s="39" t="n"/>
    </row>
    <row r="136" ht="15.75" customHeight="1" s="47">
      <c r="A136" s="32" t="n">
        <v>46423</v>
      </c>
      <c r="B136" s="33" t="inlineStr">
        <is>
          <t>Fri</t>
        </is>
      </c>
      <c r="C136" s="33" t="inlineStr">
        <is>
          <t>W25</t>
        </is>
      </c>
      <c r="D136" s="36" t="n"/>
      <c r="E136" s="36" t="n"/>
      <c r="F136" s="36" t="inlineStr">
        <is>
          <t>N/A</t>
        </is>
      </c>
      <c r="G136" s="36" t="n"/>
      <c r="H136" s="36" t="n"/>
      <c r="I136" s="36" t="n"/>
      <c r="J136" s="38">
        <f>COUNTIF(D136:I136,"Done")</f>
        <v/>
      </c>
      <c r="K136" s="39" t="n"/>
    </row>
    <row r="137" ht="15.75" customHeight="1" s="47">
      <c r="A137" s="32" t="n">
        <v>46426</v>
      </c>
      <c r="B137" s="33" t="inlineStr">
        <is>
          <t>Mon</t>
        </is>
      </c>
      <c r="C137" s="33" t="inlineStr">
        <is>
          <t>W26</t>
        </is>
      </c>
      <c r="D137" s="36" t="n"/>
      <c r="E137" s="36" t="n"/>
      <c r="F137" s="36" t="inlineStr">
        <is>
          <t>N/A</t>
        </is>
      </c>
      <c r="G137" s="36" t="n"/>
      <c r="H137" s="36" t="n"/>
      <c r="I137" s="36" t="n"/>
      <c r="J137" s="38">
        <f>COUNTIF(D137:I137,"Done")</f>
        <v/>
      </c>
      <c r="K137" s="39" t="n"/>
    </row>
    <row r="138" ht="15.75" customHeight="1" s="47">
      <c r="A138" s="32" t="n">
        <v>46427</v>
      </c>
      <c r="B138" s="33" t="inlineStr">
        <is>
          <t>Tue</t>
        </is>
      </c>
      <c r="C138" s="33" t="inlineStr">
        <is>
          <t>W26</t>
        </is>
      </c>
      <c r="D138" s="36" t="n"/>
      <c r="E138" s="36" t="n"/>
      <c r="F138" s="36" t="inlineStr">
        <is>
          <t>N/A</t>
        </is>
      </c>
      <c r="G138" s="36" t="n"/>
      <c r="H138" s="36" t="n"/>
      <c r="I138" s="36" t="n"/>
      <c r="J138" s="38">
        <f>COUNTIF(D138:I138,"Done")</f>
        <v/>
      </c>
      <c r="K138" s="39" t="n"/>
    </row>
    <row r="139" ht="15.75" customHeight="1" s="47">
      <c r="A139" s="32" t="n">
        <v>46428</v>
      </c>
      <c r="B139" s="33" t="inlineStr">
        <is>
          <t>Wed</t>
        </is>
      </c>
      <c r="C139" s="33" t="inlineStr">
        <is>
          <t>W26</t>
        </is>
      </c>
      <c r="D139" s="36" t="n"/>
      <c r="E139" s="36" t="n"/>
      <c r="F139" s="36" t="n"/>
      <c r="G139" s="36" t="n"/>
      <c r="H139" s="36" t="n"/>
      <c r="I139" s="36" t="n"/>
      <c r="J139" s="38">
        <f>COUNTIF(D139:I139,"Done")</f>
        <v/>
      </c>
      <c r="K139" s="39" t="n"/>
    </row>
    <row r="140" ht="15.75" customHeight="1" s="47">
      <c r="A140" s="32" t="n">
        <v>46429</v>
      </c>
      <c r="B140" s="33" t="inlineStr">
        <is>
          <t>Thu</t>
        </is>
      </c>
      <c r="C140" s="33" t="inlineStr">
        <is>
          <t>W26</t>
        </is>
      </c>
      <c r="D140" s="36" t="n"/>
      <c r="E140" s="36" t="n"/>
      <c r="F140" s="36" t="inlineStr">
        <is>
          <t>N/A</t>
        </is>
      </c>
      <c r="G140" s="36" t="n"/>
      <c r="H140" s="36" t="n"/>
      <c r="I140" s="36" t="n"/>
      <c r="J140" s="38">
        <f>COUNTIF(D140:I140,"Done")</f>
        <v/>
      </c>
      <c r="K140" s="39" t="n"/>
    </row>
    <row r="141" ht="15.75" customHeight="1" s="47">
      <c r="A141" s="32" t="n">
        <v>46430</v>
      </c>
      <c r="B141" s="33" t="inlineStr">
        <is>
          <t>Fri</t>
        </is>
      </c>
      <c r="C141" s="33" t="inlineStr">
        <is>
          <t>W26</t>
        </is>
      </c>
      <c r="D141" s="36" t="n"/>
      <c r="E141" s="36" t="n"/>
      <c r="F141" s="36" t="inlineStr">
        <is>
          <t>N/A</t>
        </is>
      </c>
      <c r="G141" s="36" t="n"/>
      <c r="H141" s="36" t="n"/>
      <c r="I141" s="36" t="n"/>
      <c r="J141" s="38">
        <f>COUNTIF(D141:I141,"Done")</f>
        <v/>
      </c>
      <c r="K141" s="39" t="n"/>
    </row>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7">
    <mergeCell ref="A131:K131"/>
    <mergeCell ref="A109:K109"/>
    <mergeCell ref="A63:K63"/>
    <mergeCell ref="A85:K85"/>
    <mergeCell ref="A40:K40"/>
    <mergeCell ref="A5:K5"/>
    <mergeCell ref="A17:K17"/>
  </mergeCells>
  <conditionalFormatting sqref="A6:K141">
    <cfRule type="expression" priority="1" dxfId="0" stopIfTrue="1">
      <formula>AND(COUNTIF($D6:$I6,"Done")+COUNTIF($D6:$I6,"Missed")&gt;0,$J6&gt;=IF($B6="Wed",6,5))</formula>
    </cfRule>
    <cfRule type="expression" priority="2" dxfId="2" stopIfTrue="1">
      <formula>AND(COUNTIF($D6:$I6,"Done")+COUNTIF($D6:$I6,"Missed")&gt;0,$J6=IF($B6="Wed",6,5)-1)</formula>
    </cfRule>
    <cfRule type="expression" priority="3" dxfId="1" stopIfTrue="1">
      <formula>AND(COUNTIF($D6:$I6,"Done")+COUNTIF($D6:$I6,"Missed")&gt;0,$J6&lt;IF($B6="Wed",6,5)-1)</formula>
    </cfRule>
  </conditionalFormatting>
  <dataValidations count="1">
    <dataValidation sqref="D6:I16 D18:I39 D41:I62 D64:I84 D86:I108 D110:I130 D132:I141" showDropDown="0" showInputMessage="0" showErrorMessage="0" allowBlank="1" type="list">
      <formula1>"Done,Missed,N/A"</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I38"/>
  <sheetViews>
    <sheetView workbookViewId="0">
      <pane ySplit="3" topLeftCell="A4" activePane="bottomLeft" state="frozen"/>
      <selection pane="bottomLeft" activeCell="B5" sqref="B5"/>
    </sheetView>
  </sheetViews>
  <sheetFormatPr baseColWidth="8" defaultColWidth="14.43" defaultRowHeight="15" customHeight="1"/>
  <cols>
    <col width="12" customWidth="1" style="47" min="1" max="1"/>
    <col width="22" customWidth="1" style="47" min="2" max="2"/>
    <col width="58" customWidth="1" style="47" min="3" max="3"/>
    <col width="11" customWidth="1" style="47" min="4" max="4"/>
    <col width="8" customWidth="1" style="47" min="5" max="5"/>
    <col width="10" customWidth="1" style="47" min="6" max="6"/>
    <col width="14" customWidth="1" style="47" min="7" max="7"/>
    <col width="30" customWidth="1" style="47" min="8" max="8"/>
    <col width="20" customWidth="1" style="47" min="9" max="9"/>
    <col width="8.710000000000001" customWidth="1" style="47" min="10" max="26"/>
  </cols>
  <sheetData>
    <row r="1" ht="21.75" customHeight="1" s="47">
      <c r="A1" s="1" t="inlineStr">
        <is>
          <t>The first 90 days</t>
        </is>
      </c>
    </row>
    <row r="2">
      <c r="A2" s="3" t="inlineStr">
        <is>
          <t>17 August to 15 November 2026. Week 13 closes day 90. Counts pull live from the Tasks tab  this is where you look at progress, that is where you change it.</t>
        </is>
      </c>
    </row>
    <row r="3"/>
    <row r="4" ht="19.5" customHeight="1" s="47">
      <c r="A4" s="48" t="inlineStr">
        <is>
          <t>THE THREE CHECKPOINTS — what has to be true, and by when</t>
        </is>
      </c>
    </row>
    <row r="5" ht="27.75" customHeight="1" s="47">
      <c r="A5" s="5" t="inlineStr">
        <is>
          <t>Checkpoint</t>
        </is>
      </c>
      <c r="B5" s="5" t="inlineStr">
        <is>
          <t>Date</t>
        </is>
      </c>
      <c r="C5" s="5" t="inlineStr">
        <is>
          <t>What must be true by then</t>
        </is>
      </c>
      <c r="D5" s="5" t="n"/>
      <c r="E5" s="5" t="n"/>
      <c r="F5" s="5" t="n"/>
      <c r="G5" s="5" t="inlineStr">
        <is>
          <t>On track</t>
        </is>
      </c>
      <c r="H5" s="5" t="inlineStr">
        <is>
          <t>Notes</t>
        </is>
      </c>
      <c r="I5" s="5" t="n"/>
    </row>
    <row r="6" ht="45.75" customHeight="1" s="47">
      <c r="A6" s="12" t="inlineStr">
        <is>
          <t>Day 30</t>
        </is>
      </c>
      <c r="B6" s="13" t="n">
        <v>46280</v>
      </c>
      <c r="C6" s="14" t="inlineStr">
        <is>
          <t>Google profile claimed, verified, complete and posting daily. All 17 existing listings corrected AND verified at L6M 4L9. Design signed off, build two weeks in. Review asks going out every day.</t>
        </is>
      </c>
      <c r="G6" s="42" t="n"/>
      <c r="H6" s="14" t="n"/>
      <c r="I6" s="42" t="n"/>
    </row>
    <row r="7" ht="45.75" customHeight="1" s="47">
      <c r="A7" s="12" t="inlineStr">
        <is>
          <t>Day 60</t>
        </is>
      </c>
      <c r="B7" s="13" t="n">
        <v>46310</v>
      </c>
      <c r="C7" s="14" t="inlineStr">
        <is>
          <t>Site live. Every treatment page published, Search Console verified, sitemap submitted. Every citation repointed at the live URL. Ads running on three audiences.</t>
        </is>
      </c>
      <c r="G7" s="42" t="n"/>
      <c r="H7" s="14" t="n"/>
      <c r="I7" s="42" t="n"/>
    </row>
    <row r="8" ht="45.75" customHeight="1" s="47">
      <c r="A8" s="12" t="inlineStr">
        <is>
          <t>Day 90</t>
        </is>
      </c>
      <c r="B8" s="13" t="n">
        <v>46341</v>
      </c>
      <c r="C8" s="14" t="inlineStr">
        <is>
          <t>Eight to ten new reviews. Visible in the map pack for 'botox oakville' (480 searches a month) and 'lip filler oakville'. First two or three articles live and indexed. Local link building started. Note: 'nurse injector oakville' has no measurable search volume - own it, but do not measure by it.</t>
        </is>
      </c>
      <c r="G8" s="42" t="n"/>
      <c r="H8" s="14" t="n"/>
      <c r="I8" s="42" t="n"/>
    </row>
    <row r="9"/>
    <row r="10" ht="19.5" customHeight="1" s="47">
      <c r="A10" s="48" t="inlineStr">
        <is>
          <t>WEEK BY WEEK — the first 90 days</t>
        </is>
      </c>
    </row>
    <row r="11" ht="27.75" customHeight="1" s="47">
      <c r="A11" s="5" t="inlineStr">
        <is>
          <t>Week</t>
        </is>
      </c>
      <c r="B11" s="5" t="inlineStr">
        <is>
          <t>Dates</t>
        </is>
      </c>
      <c r="C11" s="5" t="inlineStr">
        <is>
          <t>Phase</t>
        </is>
      </c>
      <c r="D11" s="5" t="inlineStr">
        <is>
          <t>The one thing that matters</t>
        </is>
      </c>
      <c r="E11" s="5" t="inlineStr">
        <is>
          <t>Tasks due</t>
        </is>
      </c>
      <c r="F11" s="5" t="inlineStr">
        <is>
          <t>Done</t>
        </is>
      </c>
      <c r="G11" s="5" t="inlineStr">
        <is>
          <t>Progress</t>
        </is>
      </c>
      <c r="H11" s="5" t="inlineStr">
        <is>
          <t>Status</t>
        </is>
      </c>
      <c r="I11" s="5" t="inlineStr">
        <is>
          <t>Notes</t>
        </is>
      </c>
    </row>
    <row r="12" ht="27.75" customHeight="1" s="47">
      <c r="A12" s="23" t="inlineStr">
        <is>
          <t>W1</t>
        </is>
      </c>
      <c r="B12" s="30" t="inlineStr">
        <is>
          <t>17 Aug – 23 Aug</t>
        </is>
      </c>
      <c r="C12" s="30" t="inlineStr">
        <is>
          <t>Foundation</t>
        </is>
      </c>
      <c r="D12" s="26" t="inlineStr">
        <is>
          <t>Claim and verify the Google profile. Nothing else can start until it is settled</t>
        </is>
      </c>
      <c r="E12" s="27">
        <f>COUNTIF(Tasks!$C:$C,"W1")</f>
        <v/>
      </c>
      <c r="F12" s="27">
        <f>COUNTIFS(Tasks!$C:$C,"W1",Tasks!$J:$J,"Done")</f>
        <v/>
      </c>
      <c r="G12" s="28">
        <f>IFERROR(F12/E12,0)</f>
        <v/>
      </c>
      <c r="H12" s="30" t="inlineStr">
        <is>
          <t>Done</t>
        </is>
      </c>
      <c r="I12" s="26" t="n"/>
    </row>
    <row r="13" ht="27.75" customHeight="1" s="47">
      <c r="A13" s="23" t="inlineStr">
        <is>
          <t>W2</t>
        </is>
      </c>
      <c r="B13" s="30" t="inlineStr">
        <is>
          <t>24 Aug – 30 Aug</t>
        </is>
      </c>
      <c r="C13" s="30" t="inlineStr">
        <is>
          <t>Foundation</t>
        </is>
      </c>
      <c r="D13" s="26" t="inlineStr">
        <is>
          <t>Design sign-off Friday 28 August, and the citation corrections begin</t>
        </is>
      </c>
      <c r="E13" s="27">
        <f>COUNTIF(Tasks!$C:$C,"W2")</f>
        <v/>
      </c>
      <c r="F13" s="27">
        <f>COUNTIFS(Tasks!$C:$C,"W2",Tasks!$J:$J,"Done")</f>
        <v/>
      </c>
      <c r="G13" s="28">
        <f>IFERROR(F13/E13,0)</f>
        <v/>
      </c>
      <c r="H13" s="30" t="inlineStr">
        <is>
          <t>Not started</t>
        </is>
      </c>
      <c r="I13" s="26" t="n"/>
    </row>
    <row r="14" ht="27.75" customHeight="1" s="47">
      <c r="A14" s="23" t="inlineStr">
        <is>
          <t>W3</t>
        </is>
      </c>
      <c r="B14" s="30" t="inlineStr">
        <is>
          <t>31 Aug – 06 Sep</t>
        </is>
      </c>
      <c r="C14" s="30" t="inlineStr">
        <is>
          <t>Build</t>
        </is>
      </c>
      <c r="D14" s="26" t="inlineStr">
        <is>
          <t>Design signed off Monday. BUILD STARTS 1 SEPTEMBER</t>
        </is>
      </c>
      <c r="E14" s="27">
        <f>COUNTIF(Tasks!$C:$C,"W3")</f>
        <v/>
      </c>
      <c r="F14" s="27">
        <f>COUNTIFS(Tasks!$C:$C,"W3",Tasks!$J:$J,"Done")</f>
        <v/>
      </c>
      <c r="G14" s="28">
        <f>IFERROR(F14/E14,0)</f>
        <v/>
      </c>
      <c r="H14" s="30" t="inlineStr">
        <is>
          <t>Not started</t>
        </is>
      </c>
      <c r="I14" s="26" t="n"/>
    </row>
    <row r="15" ht="27.75" customHeight="1" s="47">
      <c r="A15" s="23" t="inlineStr">
        <is>
          <t>W4</t>
        </is>
      </c>
      <c r="B15" s="30" t="inlineStr">
        <is>
          <t>07 Sep – 13 Sep</t>
        </is>
      </c>
      <c r="C15" s="30" t="inlineStr">
        <is>
          <t>Build</t>
        </is>
      </c>
      <c r="D15" s="26" t="inlineStr">
        <is>
          <t>Home and contact complete in staging. Citations verified, not just corrected</t>
        </is>
      </c>
      <c r="E15" s="27">
        <f>COUNTIF(Tasks!$C:$C,"W4")</f>
        <v/>
      </c>
      <c r="F15" s="27">
        <f>COUNTIFS(Tasks!$C:$C,"W4",Tasks!$J:$J,"Done")</f>
        <v/>
      </c>
      <c r="G15" s="28">
        <f>IFERROR(F15/E15,0)</f>
        <v/>
      </c>
      <c r="H15" s="30" t="inlineStr">
        <is>
          <t>Not started</t>
        </is>
      </c>
      <c r="I15" s="26" t="n"/>
    </row>
    <row r="16" ht="27.75" customHeight="1" s="47">
      <c r="A16" s="23" t="inlineStr">
        <is>
          <t>W5</t>
        </is>
      </c>
      <c r="B16" s="30" t="inlineStr">
        <is>
          <t>14 Sep – 20 Sep</t>
        </is>
      </c>
      <c r="C16" s="30" t="inlineStr">
        <is>
          <t>Build</t>
        </is>
      </c>
      <c r="D16" s="26" t="inlineStr">
        <is>
          <t>First four treatment pages. The review ask is now a daily habit</t>
        </is>
      </c>
      <c r="E16" s="27">
        <f>COUNTIF(Tasks!$C:$C,"W5")</f>
        <v/>
      </c>
      <c r="F16" s="27">
        <f>COUNTIFS(Tasks!$C:$C,"W5",Tasks!$J:$J,"Done")</f>
        <v/>
      </c>
      <c r="G16" s="28">
        <f>IFERROR(F16/E16,0)</f>
        <v/>
      </c>
      <c r="H16" s="30" t="inlineStr">
        <is>
          <t>Not started</t>
        </is>
      </c>
      <c r="I16" s="26" t="n"/>
    </row>
    <row r="17" ht="27.75" customHeight="1" s="47">
      <c r="A17" s="23" t="inlineStr">
        <is>
          <t>W6</t>
        </is>
      </c>
      <c r="B17" s="30" t="inlineStr">
        <is>
          <t>21 Sep – 27 Sep</t>
        </is>
      </c>
      <c r="C17" s="30" t="inlineStr">
        <is>
          <t>Build</t>
        </is>
      </c>
      <c r="D17" s="26" t="inlineStr">
        <is>
          <t>Second pair of treatment pages. Ad audiences built</t>
        </is>
      </c>
      <c r="E17" s="27">
        <f>COUNTIF(Tasks!$C:$C,"W6")</f>
        <v/>
      </c>
      <c r="F17" s="27">
        <f>COUNTIFS(Tasks!$C:$C,"W6",Tasks!$J:$J,"Done")</f>
        <v/>
      </c>
      <c r="G17" s="28">
        <f>IFERROR(F17/E17,0)</f>
        <v/>
      </c>
      <c r="H17" s="30" t="inlineStr">
        <is>
          <t>Not started</t>
        </is>
      </c>
      <c r="I17" s="26" t="n"/>
    </row>
    <row r="18" ht="27.75" customHeight="1" s="47">
      <c r="A18" s="23" t="inlineStr">
        <is>
          <t>W7</t>
        </is>
      </c>
      <c r="B18" s="30" t="inlineStr">
        <is>
          <t>28 Sep – 04 Oct</t>
        </is>
      </c>
      <c r="C18" s="30" t="inlineStr">
        <is>
          <t>Build</t>
        </is>
      </c>
      <c r="D18" s="26" t="inlineStr">
        <is>
          <t>Last treatment pages and the area page. Mobile speed pass</t>
        </is>
      </c>
      <c r="E18" s="27">
        <f>COUNTIF(Tasks!$C:$C,"W7")</f>
        <v/>
      </c>
      <c r="F18" s="27">
        <f>COUNTIFS(Tasks!$C:$C,"W7",Tasks!$J:$J,"Done")</f>
        <v/>
      </c>
      <c r="G18" s="28">
        <f>IFERROR(F18/E18,0)</f>
        <v/>
      </c>
      <c r="H18" s="30" t="inlineStr">
        <is>
          <t>Not started</t>
        </is>
      </c>
      <c r="I18" s="26" t="n"/>
    </row>
    <row r="19" ht="27.75" customHeight="1" s="47">
      <c r="A19" s="23" t="inlineStr">
        <is>
          <t>W8</t>
        </is>
      </c>
      <c r="B19" s="30" t="inlineStr">
        <is>
          <t>05 Oct – 11 Oct</t>
        </is>
      </c>
      <c r="C19" s="30" t="inlineStr">
        <is>
          <t>Launch</t>
        </is>
      </c>
      <c r="D19" s="26" t="inlineStr">
        <is>
          <t>LAUNCH WEEK. Search Console verified, sitemap in, every listing repointed</t>
        </is>
      </c>
      <c r="E19" s="27">
        <f>COUNTIF(Tasks!$C:$C,"W8")</f>
        <v/>
      </c>
      <c r="F19" s="27">
        <f>COUNTIFS(Tasks!$C:$C,"W8",Tasks!$J:$J,"Done")</f>
        <v/>
      </c>
      <c r="G19" s="28">
        <f>IFERROR(F19/E19,0)</f>
        <v/>
      </c>
      <c r="H19" s="30" t="inlineStr">
        <is>
          <t>Not started</t>
        </is>
      </c>
      <c r="I19" s="26" t="n"/>
    </row>
    <row r="20" ht="27.75" customHeight="1" s="47">
      <c r="A20" s="23" t="inlineStr">
        <is>
          <t>W9</t>
        </is>
      </c>
      <c r="B20" s="30" t="inlineStr">
        <is>
          <t>12 Oct – 18 Oct</t>
        </is>
      </c>
      <c r="C20" s="30" t="inlineStr">
        <is>
          <t>Index and optimise</t>
        </is>
      </c>
      <c r="D20" s="26" t="inlineStr">
        <is>
          <t>Confirm every page is indexed. First local link submissions</t>
        </is>
      </c>
      <c r="E20" s="27">
        <f>COUNTIF(Tasks!$C:$C,"W9")</f>
        <v/>
      </c>
      <c r="F20" s="27">
        <f>COUNTIFS(Tasks!$C:$C,"W9",Tasks!$J:$J,"Done")</f>
        <v/>
      </c>
      <c r="G20" s="28">
        <f>IFERROR(F20/E20,0)</f>
        <v/>
      </c>
      <c r="H20" s="30" t="inlineStr">
        <is>
          <t>Not started</t>
        </is>
      </c>
      <c r="I20" s="26" t="n"/>
    </row>
    <row r="21" ht="27.75" customHeight="1" s="47">
      <c r="A21" s="23" t="inlineStr">
        <is>
          <t>W10</t>
        </is>
      </c>
      <c r="B21" s="30" t="inlineStr">
        <is>
          <t>19 Oct – 25 Oct</t>
        </is>
      </c>
      <c r="C21" s="30" t="inlineStr">
        <is>
          <t>Index and optimise</t>
        </is>
      </c>
      <c r="D21" s="26" t="inlineStr">
        <is>
          <t>On-page pass on the four highest-intent pages. First article</t>
        </is>
      </c>
      <c r="E21" s="27">
        <f>COUNTIF(Tasks!$C:$C,"W10")</f>
        <v/>
      </c>
      <c r="F21" s="27">
        <f>COUNTIFS(Tasks!$C:$C,"W10",Tasks!$J:$J,"Done")</f>
        <v/>
      </c>
      <c r="G21" s="28">
        <f>IFERROR(F21/E21,0)</f>
        <v/>
      </c>
      <c r="H21" s="30" t="inlineStr">
        <is>
          <t>Not started</t>
        </is>
      </c>
      <c r="I21" s="26" t="n"/>
    </row>
    <row r="22" ht="27.75" customHeight="1" s="47">
      <c r="A22" s="23" t="inlineStr">
        <is>
          <t>W11</t>
        </is>
      </c>
      <c r="B22" s="30" t="inlineStr">
        <is>
          <t>26 Oct – 01 Nov</t>
        </is>
      </c>
      <c r="C22" s="30" t="inlineStr">
        <is>
          <t>Index and optimise</t>
        </is>
      </c>
      <c r="D22" s="26" t="inlineStr">
        <is>
          <t>Fix whatever Search Console flags. Second article</t>
        </is>
      </c>
      <c r="E22" s="27">
        <f>COUNTIF(Tasks!$C:$C,"W11")</f>
        <v/>
      </c>
      <c r="F22" s="27">
        <f>COUNTIFS(Tasks!$C:$C,"W11",Tasks!$J:$J,"Done")</f>
        <v/>
      </c>
      <c r="G22" s="28">
        <f>IFERROR(F22/E22,0)</f>
        <v/>
      </c>
      <c r="H22" s="30" t="inlineStr">
        <is>
          <t>Not started</t>
        </is>
      </c>
      <c r="I22" s="26" t="n"/>
    </row>
    <row r="23" ht="27.75" customHeight="1" s="47">
      <c r="A23" s="23" t="inlineStr">
        <is>
          <t>W12</t>
        </is>
      </c>
      <c r="B23" s="30" t="inlineStr">
        <is>
          <t>02 Nov – 08 Nov</t>
        </is>
      </c>
      <c r="C23" s="30" t="inlineStr">
        <is>
          <t>Index and optimise</t>
        </is>
      </c>
      <c r="D23" s="26" t="inlineStr">
        <is>
          <t>Month three review and a rank check against the baseline</t>
        </is>
      </c>
      <c r="E23" s="27">
        <f>COUNTIF(Tasks!$C:$C,"W12")</f>
        <v/>
      </c>
      <c r="F23" s="27">
        <f>COUNTIFS(Tasks!$C:$C,"W12",Tasks!$J:$J,"Done")</f>
        <v/>
      </c>
      <c r="G23" s="28">
        <f>IFERROR(F23/E23,0)</f>
        <v/>
      </c>
      <c r="H23" s="30" t="inlineStr">
        <is>
          <t>Not started</t>
        </is>
      </c>
      <c r="I23" s="26" t="n"/>
    </row>
    <row r="24" ht="27.75" customHeight="1" s="47">
      <c r="A24" s="23" t="inlineStr">
        <is>
          <t>W13</t>
        </is>
      </c>
      <c r="B24" s="30" t="inlineStr">
        <is>
          <t>09 Nov – 15 Nov</t>
        </is>
      </c>
      <c r="C24" s="30" t="inlineStr">
        <is>
          <t>Review</t>
        </is>
      </c>
      <c r="D24" s="26" t="inlineStr">
        <is>
          <t>DAY 90. Full read against the week-one baseline</t>
        </is>
      </c>
      <c r="E24" s="27">
        <f>COUNTIF(Tasks!$C:$C,"W13")</f>
        <v/>
      </c>
      <c r="F24" s="27">
        <f>COUNTIFS(Tasks!$C:$C,"W13",Tasks!$J:$J,"Done")</f>
        <v/>
      </c>
      <c r="G24" s="28">
        <f>IFERROR(F24/E24,0)</f>
        <v/>
      </c>
      <c r="H24" s="30" t="inlineStr">
        <is>
          <t>Not started</t>
        </is>
      </c>
      <c r="I24" s="26" t="n"/>
    </row>
    <row r="25" ht="15.75" customHeight="1" s="47"/>
    <row r="26" ht="19.5" customHeight="1" s="47">
      <c r="A26" s="48" t="inlineStr">
        <is>
          <t>AFTER DAY 90 — the second half</t>
        </is>
      </c>
    </row>
    <row r="27" ht="27.75" customHeight="1" s="47">
      <c r="A27" s="5" t="inlineStr">
        <is>
          <t>Month</t>
        </is>
      </c>
      <c r="B27" s="5" t="inlineStr">
        <is>
          <t>Dates</t>
        </is>
      </c>
      <c r="C27" s="5" t="inlineStr">
        <is>
          <t>Theme</t>
        </is>
      </c>
      <c r="D27" s="5" t="n"/>
      <c r="E27" s="5" t="n"/>
      <c r="F27" s="5" t="n"/>
      <c r="G27" s="5" t="n"/>
      <c r="H27" s="5" t="n"/>
      <c r="I27" s="5" t="n"/>
    </row>
    <row r="28" ht="25.5" customHeight="1" s="47">
      <c r="A28" s="12" t="inlineStr">
        <is>
          <t>Month 4</t>
        </is>
      </c>
      <c r="B28" s="42" t="inlineStr">
        <is>
          <t>9 Nov – 6 Dec</t>
        </is>
      </c>
      <c r="C28" s="14" t="inlineStr">
        <is>
          <t>Depth on the pages that earn. Thin pages expanded, gallery, articles four to six</t>
        </is>
      </c>
    </row>
    <row r="29" ht="25.5" customHeight="1" s="47">
      <c r="A29" s="12" t="inlineStr">
        <is>
          <t>Month 5</t>
        </is>
      </c>
      <c r="B29" s="42" t="inlineStr">
        <is>
          <t>7 Dec – 10 Jan</t>
        </is>
      </c>
      <c r="C29" s="14" t="inlineStr">
        <is>
          <t>Hold the cadence through the holidays. Reduced posting, never stopped posting</t>
        </is>
      </c>
    </row>
    <row r="30" ht="25.5" customHeight="1" s="47">
      <c r="A30" s="12" t="inlineStr">
        <is>
          <t>Month 6</t>
        </is>
      </c>
      <c r="B30" s="42" t="inlineStr">
        <is>
          <t>11 Jan – 14 Feb</t>
        </is>
      </c>
      <c r="C30" s="14" t="inlineStr">
        <is>
          <t>Compound it. Near-miss queries, technical audit, the six-month report</t>
        </is>
      </c>
    </row>
    <row r="31" ht="15.75" customHeight="1" s="47">
      <c r="A31" s="31" t="inlineStr">
        <is>
          <t>Week 13 is both the day-90 review and the first week of month four. It appears in two places on purpose.</t>
        </is>
      </c>
    </row>
    <row r="32" ht="15.75" customHeight="1" s="47"/>
    <row r="33" ht="19.5" customHeight="1" s="47">
      <c r="A33" s="48" t="inlineStr">
        <is>
          <t>THE DATES THAT DO NOT MOVE</t>
        </is>
      </c>
    </row>
    <row r="34" ht="27.75" customHeight="1" s="47">
      <c r="A34" s="5" t="inlineStr">
        <is>
          <t>Date</t>
        </is>
      </c>
      <c r="B34" s="5" t="inlineStr">
        <is>
          <t>What</t>
        </is>
      </c>
      <c r="C34" s="5" t="inlineStr">
        <is>
          <t>Why it matters</t>
        </is>
      </c>
      <c r="D34" s="5" t="n"/>
      <c r="E34" s="5" t="n"/>
      <c r="F34" s="5" t="n"/>
      <c r="G34" s="5" t="inlineStr">
        <is>
          <t>Status</t>
        </is>
      </c>
      <c r="H34" s="5" t="inlineStr">
        <is>
          <t>Notes</t>
        </is>
      </c>
      <c r="I34" s="5" t="n"/>
    </row>
    <row r="35" ht="15.75" customHeight="1" s="47">
      <c r="A35" s="13" t="n">
        <v>46265</v>
      </c>
      <c r="B35" s="12" t="inlineStr">
        <is>
          <t>Design sign-off</t>
        </is>
      </c>
      <c r="C35" s="14" t="inlineStr">
        <is>
          <t>The build gate. Everything after it moves one-for-one</t>
        </is>
      </c>
      <c r="G35" s="42" t="inlineStr">
        <is>
          <t>Not started</t>
        </is>
      </c>
      <c r="H35" s="14" t="n"/>
      <c r="I35" s="42" t="n"/>
    </row>
    <row r="36" ht="15.75" customHeight="1" s="47">
      <c r="A36" s="13" t="n">
        <v>46266</v>
      </c>
      <c r="B36" s="12" t="inlineStr">
        <is>
          <t>Build starts</t>
        </is>
      </c>
      <c r="C36" s="14" t="inlineStr">
        <is>
          <t>Hosting, DNS, platform, page scaffolding</t>
        </is>
      </c>
      <c r="G36" s="42" t="inlineStr">
        <is>
          <t>Not started</t>
        </is>
      </c>
      <c r="H36" s="14" t="n"/>
      <c r="I36" s="42" t="n"/>
    </row>
    <row r="37" ht="15.75" customHeight="1" s="47">
      <c r="A37" s="13" t="n">
        <v>46300</v>
      </c>
      <c r="B37" s="12" t="inlineStr">
        <is>
          <t>Launch week begins</t>
        </is>
      </c>
      <c r="C37" s="14" t="inlineStr">
        <is>
          <t>Site live by Sunday 11 October</t>
        </is>
      </c>
      <c r="G37" s="42" t="inlineStr">
        <is>
          <t>Not started</t>
        </is>
      </c>
      <c r="H37" s="14" t="n"/>
      <c r="I37" s="42" t="n"/>
    </row>
    <row r="38" ht="15.75" customHeight="1" s="47">
      <c r="A38" s="13" t="n">
        <v>46341</v>
      </c>
      <c r="B38" s="12" t="inlineStr">
        <is>
          <t>Day 90 review</t>
        </is>
      </c>
      <c r="C38" s="14" t="inlineStr">
        <is>
          <t>Every number against the week-one baseline</t>
        </is>
      </c>
      <c r="G38" s="42" t="inlineStr">
        <is>
          <t>Not started</t>
        </is>
      </c>
      <c r="H38" s="14" t="n"/>
      <c r="I38" s="42" t="n"/>
    </row>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5">
    <mergeCell ref="C36:F36"/>
    <mergeCell ref="A33:I33"/>
    <mergeCell ref="C8:F8"/>
    <mergeCell ref="C35:F35"/>
    <mergeCell ref="A10:I10"/>
    <mergeCell ref="C28:H28"/>
    <mergeCell ref="C6:F6"/>
    <mergeCell ref="C38:F38"/>
    <mergeCell ref="C7:F7"/>
    <mergeCell ref="C37:F37"/>
    <mergeCell ref="A31:I31"/>
    <mergeCell ref="C30:H30"/>
    <mergeCell ref="A4:I4"/>
    <mergeCell ref="C29:H29"/>
    <mergeCell ref="A26:I26"/>
  </mergeCells>
  <conditionalFormatting sqref="A6:I8">
    <cfRule type="expression" priority="1" dxfId="0">
      <formula>$G6="Yes"</formula>
    </cfRule>
    <cfRule type="expression" priority="2" dxfId="1">
      <formula>$G6="No"</formula>
    </cfRule>
    <cfRule type="expression" priority="3" dxfId="2">
      <formula>$G6="At risk"</formula>
    </cfRule>
  </conditionalFormatting>
  <conditionalFormatting sqref="A12:I24">
    <cfRule type="expression" priority="4" dxfId="0" stopIfTrue="1">
      <formula>AND($E12&gt;0,$F12=$E12)</formula>
    </cfRule>
    <cfRule type="expression" priority="5" dxfId="2" stopIfTrue="1">
      <formula>$F12&gt;0</formula>
    </cfRule>
  </conditionalFormatting>
  <conditionalFormatting sqref="A12:I12">
    <cfRule type="expression" priority="6" dxfId="1" stopIfTrue="1">
      <formula>AND($E12&gt;0,$F12=0,TODAY()&gt;DATE(2026,8,23))</formula>
    </cfRule>
  </conditionalFormatting>
  <conditionalFormatting sqref="A13:I13">
    <cfRule type="expression" priority="7" dxfId="1" stopIfTrue="1">
      <formula>AND($E13&gt;0,$F13=0,TODAY()&gt;DATE(2026,8,30))</formula>
    </cfRule>
  </conditionalFormatting>
  <conditionalFormatting sqref="A14:I14">
    <cfRule type="expression" priority="8" dxfId="1" stopIfTrue="1">
      <formula>AND($E14&gt;0,$F14=0,TODAY()&gt;DATE(2026,9,6))</formula>
    </cfRule>
  </conditionalFormatting>
  <conditionalFormatting sqref="A15:I15">
    <cfRule type="expression" priority="9" dxfId="1" stopIfTrue="1">
      <formula>AND($E15&gt;0,$F15=0,TODAY()&gt;DATE(2026,9,13))</formula>
    </cfRule>
  </conditionalFormatting>
  <conditionalFormatting sqref="A16:I16">
    <cfRule type="expression" priority="10" dxfId="1" stopIfTrue="1">
      <formula>AND($E16&gt;0,$F16=0,TODAY()&gt;DATE(2026,9,20))</formula>
    </cfRule>
  </conditionalFormatting>
  <conditionalFormatting sqref="A17:I17">
    <cfRule type="expression" priority="11" dxfId="1" stopIfTrue="1">
      <formula>AND($E17&gt;0,$F17=0,TODAY()&gt;DATE(2026,9,27))</formula>
    </cfRule>
  </conditionalFormatting>
  <conditionalFormatting sqref="A18:I18">
    <cfRule type="expression" priority="12" dxfId="1" stopIfTrue="1">
      <formula>AND($E18&gt;0,$F18=0,TODAY()&gt;DATE(2026,10,4))</formula>
    </cfRule>
  </conditionalFormatting>
  <conditionalFormatting sqref="A19:I19">
    <cfRule type="expression" priority="13" dxfId="1" stopIfTrue="1">
      <formula>AND($E19&gt;0,$F19=0,TODAY()&gt;DATE(2026,10,11))</formula>
    </cfRule>
  </conditionalFormatting>
  <conditionalFormatting sqref="A20:I20">
    <cfRule type="expression" priority="14" dxfId="1" stopIfTrue="1">
      <formula>AND($E20&gt;0,$F20=0,TODAY()&gt;DATE(2026,10,18))</formula>
    </cfRule>
  </conditionalFormatting>
  <conditionalFormatting sqref="A21:I21">
    <cfRule type="expression" priority="15" dxfId="1" stopIfTrue="1">
      <formula>AND($E21&gt;0,$F21=0,TODAY()&gt;DATE(2026,10,25))</formula>
    </cfRule>
  </conditionalFormatting>
  <conditionalFormatting sqref="A22:I22">
    <cfRule type="expression" priority="16" dxfId="1" stopIfTrue="1">
      <formula>AND($E22&gt;0,$F22=0,TODAY()&gt;DATE(2026,11,1))</formula>
    </cfRule>
  </conditionalFormatting>
  <conditionalFormatting sqref="A23:I23">
    <cfRule type="expression" priority="17" dxfId="1" stopIfTrue="1">
      <formula>AND($E23&gt;0,$F23=0,TODAY()&gt;DATE(2026,11,8))</formula>
    </cfRule>
  </conditionalFormatting>
  <conditionalFormatting sqref="A24:I24">
    <cfRule type="expression" priority="18" dxfId="1" stopIfTrue="1">
      <formula>AND($E24&gt;0,$F24=0,TODAY()&gt;DATE(2026,11,15))</formula>
    </cfRule>
  </conditionalFormatting>
  <conditionalFormatting sqref="A35:I38">
    <cfRule type="expression" priority="19" dxfId="0">
      <formula>$G35="Done"</formula>
    </cfRule>
    <cfRule type="expression" priority="20" dxfId="1">
      <formula>$G35="Blocked"</formula>
    </cfRule>
    <cfRule type="expression" priority="21" dxfId="2">
      <formula>$G35="In progress"</formula>
    </cfRule>
    <cfRule type="expression" priority="22" dxfId="3">
      <formula>AND($A35&lt;TODAY(),$G35&lt;&gt;"Done")</formula>
    </cfRule>
  </conditionalFormatting>
  <dataValidations count="2">
    <dataValidation sqref="G6:G8" showDropDown="0" showInputMessage="0" showErrorMessage="0" allowBlank="1" type="list">
      <formula1>"Yes,At risk,No"</formula1>
    </dataValidation>
    <dataValidation sqref="G35:G38 H12:H24" showDropDown="0" showInputMessage="0" showErrorMessage="0" allowBlank="1" type="list">
      <formula1>"Not started,In progress,Blocked,Done,Not applicable"</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L16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47" min="1" max="1"/>
    <col width="9" customWidth="1" style="47" min="2" max="2"/>
    <col width="7" customWidth="1" style="47" min="3" max="3"/>
    <col width="11" customWidth="1" style="47" min="4" max="4"/>
    <col width="15" customWidth="1" style="47" min="5" max="5"/>
    <col width="74" customWidth="1" style="47" min="6" max="6"/>
    <col width="9" customWidth="1" style="47" min="7" max="7"/>
    <col width="13" customWidth="1" style="47" min="8" max="8"/>
    <col width="9" customWidth="1" style="47" min="9" max="9"/>
    <col width="14" customWidth="1" style="47" min="10" max="10"/>
    <col width="11" customWidth="1" style="47" min="11" max="11"/>
    <col width="40" customWidth="1" style="47" min="12" max="12"/>
    <col width="8.710000000000001" customWidth="1" style="47" min="13" max="26"/>
  </cols>
  <sheetData>
    <row r="1" ht="27.75" customHeight="1" s="47">
      <c r="A1" s="5" t="inlineStr">
        <is>
          <t>ID</t>
        </is>
      </c>
      <c r="B1" s="5" t="inlineStr">
        <is>
          <t>Month</t>
        </is>
      </c>
      <c r="C1" s="5" t="inlineStr">
        <is>
          <t>Week</t>
        </is>
      </c>
      <c r="D1" s="5" t="inlineStr">
        <is>
          <t>Due</t>
        </is>
      </c>
      <c r="E1" s="5" t="inlineStr">
        <is>
          <t>Area</t>
        </is>
      </c>
      <c r="F1" s="5" t="inlineStr">
        <is>
          <t>Task</t>
        </is>
      </c>
      <c r="G1" s="5" t="inlineStr">
        <is>
          <t>Owner</t>
        </is>
      </c>
      <c r="H1" s="5" t="inlineStr">
        <is>
          <t>Cadence</t>
        </is>
      </c>
      <c r="I1" s="5" t="inlineStr">
        <is>
          <t>Priority</t>
        </is>
      </c>
      <c r="J1" s="5" t="inlineStr">
        <is>
          <t>Status</t>
        </is>
      </c>
      <c r="K1" s="5" t="inlineStr">
        <is>
          <t>Date done</t>
        </is>
      </c>
      <c r="L1" s="5" t="inlineStr">
        <is>
          <t>Notes / blockers</t>
        </is>
      </c>
    </row>
    <row r="2" ht="15" customHeight="1" s="47">
      <c r="A2" s="42" t="n">
        <v>3</v>
      </c>
      <c r="B2" s="42" t="inlineStr">
        <is>
          <t>Month 1</t>
        </is>
      </c>
      <c r="C2" s="42" t="inlineStr">
        <is>
          <t>W1</t>
        </is>
      </c>
      <c r="D2" s="13" t="n">
        <v>46257</v>
      </c>
      <c r="E2" s="42" t="inlineStr">
        <is>
          <t>Google profile</t>
        </is>
      </c>
      <c r="F2" s="14" t="inlineStr">
        <is>
          <t>Claim and verify the Google Business Profile</t>
        </is>
      </c>
      <c r="G2" s="42" t="inlineStr">
        <is>
          <t>Agency</t>
        </is>
      </c>
      <c r="H2" s="42" t="inlineStr">
        <is>
          <t>One-off</t>
        </is>
      </c>
      <c r="I2" s="42" t="inlineStr">
        <is>
          <t>High</t>
        </is>
      </c>
      <c r="J2" s="42" t="inlineStr">
        <is>
          <t>Done</t>
        </is>
      </c>
      <c r="K2" s="13" t="n"/>
      <c r="L2" s="14" t="n"/>
    </row>
    <row r="3" ht="15" customHeight="1" s="47">
      <c r="A3" s="42" t="n">
        <v>5</v>
      </c>
      <c r="B3" s="42" t="inlineStr">
        <is>
          <t>Month 1</t>
        </is>
      </c>
      <c r="C3" s="42" t="inlineStr">
        <is>
          <t>W1</t>
        </is>
      </c>
      <c r="D3" s="13" t="n">
        <v>46257</v>
      </c>
      <c r="E3" s="42" t="inlineStr">
        <is>
          <t>Google profile</t>
        </is>
      </c>
      <c r="F3" s="14" t="inlineStr">
        <is>
          <t>Set real opening hours on GBP for every day of the week</t>
        </is>
      </c>
      <c r="G3" s="42" t="inlineStr">
        <is>
          <t>Agency</t>
        </is>
      </c>
      <c r="H3" s="42" t="inlineStr">
        <is>
          <t>One-off</t>
        </is>
      </c>
      <c r="I3" s="42" t="inlineStr">
        <is>
          <t>High</t>
        </is>
      </c>
      <c r="J3" s="42" t="inlineStr">
        <is>
          <t>Done</t>
        </is>
      </c>
      <c r="K3" s="13" t="n"/>
      <c r="L3" s="14" t="n"/>
    </row>
    <row r="4" ht="15" customHeight="1" s="47">
      <c r="A4" s="42" t="n">
        <v>6</v>
      </c>
      <c r="B4" s="42" t="inlineStr">
        <is>
          <t>Month 1</t>
        </is>
      </c>
      <c r="C4" s="42" t="inlineStr">
        <is>
          <t>W1</t>
        </is>
      </c>
      <c r="D4" s="13" t="n">
        <v>46257</v>
      </c>
      <c r="E4" s="42" t="inlineStr">
        <is>
          <t>Google profile</t>
        </is>
      </c>
      <c r="F4" s="14" t="inlineStr">
        <is>
          <t>Choose the primary GBP category</t>
        </is>
      </c>
      <c r="G4" s="42" t="inlineStr">
        <is>
          <t>Agency</t>
        </is>
      </c>
      <c r="H4" s="42" t="inlineStr">
        <is>
          <t>One-off</t>
        </is>
      </c>
      <c r="I4" s="42" t="inlineStr">
        <is>
          <t>High</t>
        </is>
      </c>
      <c r="J4" s="42" t="inlineStr">
        <is>
          <t>Done</t>
        </is>
      </c>
      <c r="K4" s="13" t="n"/>
      <c r="L4" s="14" t="n"/>
    </row>
    <row r="5" ht="15" customHeight="1" s="47">
      <c r="A5" s="42" t="n">
        <v>7</v>
      </c>
      <c r="B5" s="42" t="inlineStr">
        <is>
          <t>Month 1</t>
        </is>
      </c>
      <c r="C5" s="42" t="inlineStr">
        <is>
          <t>W1</t>
        </is>
      </c>
      <c r="D5" s="13" t="n">
        <v>46257</v>
      </c>
      <c r="E5" s="42" t="inlineStr">
        <is>
          <t>Google profile</t>
        </is>
      </c>
      <c r="F5" s="14" t="inlineStr">
        <is>
          <t>Choose secondary categories that avoid colliding with Allure's listing</t>
        </is>
      </c>
      <c r="G5" s="42" t="inlineStr">
        <is>
          <t>Agency</t>
        </is>
      </c>
      <c r="H5" s="42" t="inlineStr">
        <is>
          <t>One-off</t>
        </is>
      </c>
      <c r="I5" s="42" t="inlineStr">
        <is>
          <t>High</t>
        </is>
      </c>
      <c r="J5" s="42" t="inlineStr">
        <is>
          <t>Done</t>
        </is>
      </c>
      <c r="K5" s="13" t="n"/>
      <c r="L5" s="14" t="n"/>
    </row>
    <row r="6" ht="15" customHeight="1" s="47">
      <c r="A6" s="42" t="n">
        <v>8</v>
      </c>
      <c r="B6" s="42" t="inlineStr">
        <is>
          <t>Month 1</t>
        </is>
      </c>
      <c r="C6" s="42" t="inlineStr">
        <is>
          <t>W1</t>
        </is>
      </c>
      <c r="D6" s="13" t="n">
        <v>46257</v>
      </c>
      <c r="E6" s="42" t="inlineStr">
        <is>
          <t>Google profile</t>
        </is>
      </c>
      <c r="F6" s="14" t="inlineStr">
        <is>
          <t>Replace the dead website link on GBP with the booking link until the site is live</t>
        </is>
      </c>
      <c r="G6" s="42" t="inlineStr">
        <is>
          <t>Agency</t>
        </is>
      </c>
      <c r="H6" s="42" t="inlineStr">
        <is>
          <t>One-off</t>
        </is>
      </c>
      <c r="I6" s="42" t="inlineStr">
        <is>
          <t>High</t>
        </is>
      </c>
      <c r="J6" s="42" t="inlineStr">
        <is>
          <t>Done</t>
        </is>
      </c>
      <c r="K6" s="13" t="n"/>
      <c r="L6" s="14" t="n"/>
    </row>
    <row r="7" ht="15" customHeight="1" s="47">
      <c r="A7" s="42" t="n">
        <v>9</v>
      </c>
      <c r="B7" s="42" t="inlineStr">
        <is>
          <t>Month 1</t>
        </is>
      </c>
      <c r="C7" s="42" t="inlineStr">
        <is>
          <t>W1</t>
        </is>
      </c>
      <c r="D7" s="13" t="n">
        <v>46257</v>
      </c>
      <c r="E7" s="42" t="inlineStr">
        <is>
          <t>Google profile</t>
        </is>
      </c>
      <c r="F7" s="14" t="inlineStr">
        <is>
          <t>Upload real photos to GBP: treatment room, you, the space</t>
        </is>
      </c>
      <c r="G7" s="42" t="inlineStr">
        <is>
          <t>Both</t>
        </is>
      </c>
      <c r="H7" s="42" t="inlineStr">
        <is>
          <t>One-off</t>
        </is>
      </c>
      <c r="I7" s="42" t="inlineStr">
        <is>
          <t>High</t>
        </is>
      </c>
      <c r="J7" s="42" t="inlineStr">
        <is>
          <t>In progress</t>
        </is>
      </c>
      <c r="K7" s="13" t="n"/>
      <c r="L7" s="14" t="n"/>
    </row>
    <row r="8" ht="15" customHeight="1" s="47">
      <c r="A8" s="42" t="n">
        <v>10</v>
      </c>
      <c r="B8" s="42" t="inlineStr">
        <is>
          <t>Month 1</t>
        </is>
      </c>
      <c r="C8" s="42" t="inlineStr">
        <is>
          <t>W1</t>
        </is>
      </c>
      <c r="D8" s="13" t="n">
        <v>46257</v>
      </c>
      <c r="E8" s="42" t="inlineStr">
        <is>
          <t>Citations</t>
        </is>
      </c>
      <c r="F8" s="14" t="inlineStr">
        <is>
          <t>Decide on one email address and one phone number to use everywhere</t>
        </is>
      </c>
      <c r="G8" s="42" t="inlineStr">
        <is>
          <t>Cleo</t>
        </is>
      </c>
      <c r="H8" s="42" t="inlineStr">
        <is>
          <t>One-off</t>
        </is>
      </c>
      <c r="I8" s="42" t="inlineStr">
        <is>
          <t>High</t>
        </is>
      </c>
      <c r="J8" s="42" t="inlineStr">
        <is>
          <t>In progress</t>
        </is>
      </c>
      <c r="K8" s="13" t="n"/>
      <c r="L8" s="14" t="n"/>
    </row>
    <row r="9" ht="15" customHeight="1" s="47">
      <c r="A9" s="42" t="n">
        <v>11</v>
      </c>
      <c r="B9" s="42" t="inlineStr">
        <is>
          <t>Month 1</t>
        </is>
      </c>
      <c r="C9" s="42" t="inlineStr">
        <is>
          <t>W1</t>
        </is>
      </c>
      <c r="D9" s="13" t="n">
        <v>46257</v>
      </c>
      <c r="E9" s="42" t="inlineStr">
        <is>
          <t>Citations</t>
        </is>
      </c>
      <c r="F9" s="14" t="inlineStr">
        <is>
          <t>Audit every listing that mentions the practice and record the wrong NAP on the Citations tab</t>
        </is>
      </c>
      <c r="G9" s="42" t="inlineStr">
        <is>
          <t>Agency</t>
        </is>
      </c>
      <c r="H9" s="42" t="inlineStr">
        <is>
          <t>One-off</t>
        </is>
      </c>
      <c r="I9" s="42" t="inlineStr">
        <is>
          <t>High</t>
        </is>
      </c>
      <c r="J9" s="42" t="inlineStr">
        <is>
          <t>Not started</t>
        </is>
      </c>
      <c r="K9" s="13" t="n"/>
      <c r="L9" s="14" t="n"/>
    </row>
    <row r="10" ht="15" customHeight="1" s="47">
      <c r="A10" s="42" t="n">
        <v>12</v>
      </c>
      <c r="B10" s="42" t="inlineStr">
        <is>
          <t>Month 1</t>
        </is>
      </c>
      <c r="C10" s="42" t="inlineStr">
        <is>
          <t>W1</t>
        </is>
      </c>
      <c r="D10" s="13" t="n">
        <v>46257</v>
      </c>
      <c r="E10" s="42" t="inlineStr">
        <is>
          <t>Citations</t>
        </is>
      </c>
      <c r="F10" s="14" t="inlineStr">
        <is>
          <t>Fill in THE RECORD on the Local Citations tab: one name, one address, one phone, one email</t>
        </is>
      </c>
      <c r="G10" s="42" t="inlineStr">
        <is>
          <t>Both</t>
        </is>
      </c>
      <c r="H10" s="42" t="inlineStr">
        <is>
          <t>One-off</t>
        </is>
      </c>
      <c r="I10" s="42" t="inlineStr">
        <is>
          <t>High</t>
        </is>
      </c>
      <c r="J10" s="42" t="inlineStr">
        <is>
          <t>Not started</t>
        </is>
      </c>
      <c r="K10" s="13" t="n"/>
      <c r="L10" s="14" t="n"/>
    </row>
    <row r="11" ht="15" customHeight="1" s="47">
      <c r="A11" s="42" t="n">
        <v>13</v>
      </c>
      <c r="B11" s="42" t="inlineStr">
        <is>
          <t>Month 1</t>
        </is>
      </c>
      <c r="C11" s="42" t="inlineStr">
        <is>
          <t>W1</t>
        </is>
      </c>
      <c r="D11" s="13" t="n">
        <v>46257</v>
      </c>
      <c r="E11" s="42" t="inlineStr">
        <is>
          <t>Daily routine</t>
        </is>
      </c>
      <c r="F11" s="14" t="inlineStr">
        <is>
          <t>Start the daily routine: GBP post, Instagram, on-page, review ask, citation</t>
        </is>
      </c>
      <c r="G11" s="42" t="inlineStr">
        <is>
          <t>Cleo</t>
        </is>
      </c>
      <c r="H11" s="42" t="inlineStr">
        <is>
          <t>Daily</t>
        </is>
      </c>
      <c r="I11" s="42" t="inlineStr">
        <is>
          <t>High</t>
        </is>
      </c>
      <c r="J11" s="42" t="inlineStr">
        <is>
          <t>Done</t>
        </is>
      </c>
      <c r="K11" s="13" t="n"/>
      <c r="L11" s="14" t="n"/>
    </row>
    <row r="12" ht="15" customHeight="1" s="47">
      <c r="A12" s="42" t="n">
        <v>14</v>
      </c>
      <c r="B12" s="42" t="inlineStr">
        <is>
          <t>Month 1</t>
        </is>
      </c>
      <c r="C12" s="42" t="inlineStr">
        <is>
          <t>W1</t>
        </is>
      </c>
      <c r="D12" s="13" t="n">
        <v>46257</v>
      </c>
      <c r="E12" s="42" t="inlineStr">
        <is>
          <t>Daily routine</t>
        </is>
      </c>
      <c r="F12" s="14" t="inlineStr">
        <is>
          <t>Agree who does which daily slot and put it in the calendar</t>
        </is>
      </c>
      <c r="G12" s="42" t="inlineStr">
        <is>
          <t>Both</t>
        </is>
      </c>
      <c r="H12" s="42" t="inlineStr">
        <is>
          <t>One-off</t>
        </is>
      </c>
      <c r="I12" s="42" t="inlineStr">
        <is>
          <t>High</t>
        </is>
      </c>
      <c r="J12" s="42" t="inlineStr">
        <is>
          <t>Done</t>
        </is>
      </c>
      <c r="K12" s="13" t="n"/>
      <c r="L12" s="14" t="n"/>
    </row>
    <row r="13" ht="15" customHeight="1" s="47">
      <c r="A13" s="42" t="n">
        <v>15</v>
      </c>
      <c r="B13" s="42" t="inlineStr">
        <is>
          <t>Month 1</t>
        </is>
      </c>
      <c r="C13" s="42" t="inlineStr">
        <is>
          <t>W1</t>
        </is>
      </c>
      <c r="D13" s="13" t="n">
        <v>46257</v>
      </c>
      <c r="E13" s="42" t="inlineStr">
        <is>
          <t>Measurement</t>
        </is>
      </c>
      <c r="F13" s="14" t="inlineStr">
        <is>
          <t>Record the baseline: 12 reviews, 5.0 average, GBP calls, views and direction requests</t>
        </is>
      </c>
      <c r="G13" s="42" t="inlineStr">
        <is>
          <t>Agency</t>
        </is>
      </c>
      <c r="H13" s="42" t="inlineStr">
        <is>
          <t>One-off</t>
        </is>
      </c>
      <c r="I13" s="42" t="inlineStr">
        <is>
          <t>High</t>
        </is>
      </c>
      <c r="J13" s="42" t="inlineStr">
        <is>
          <t>Not started</t>
        </is>
      </c>
      <c r="K13" s="13" t="n"/>
      <c r="L13" s="14" t="n"/>
    </row>
    <row r="14" ht="15" customHeight="1" s="47">
      <c r="A14" s="42" t="n">
        <v>16</v>
      </c>
      <c r="B14" s="42" t="inlineStr">
        <is>
          <t>Month 1</t>
        </is>
      </c>
      <c r="C14" s="42" t="inlineStr">
        <is>
          <t>W1</t>
        </is>
      </c>
      <c r="D14" s="13" t="n">
        <v>46257</v>
      </c>
      <c r="E14" s="42" t="inlineStr">
        <is>
          <t>Measurement</t>
        </is>
      </c>
      <c r="F14" s="14" t="inlineStr">
        <is>
          <t>Send us your real opening hours for every day of the week</t>
        </is>
      </c>
      <c r="G14" s="42" t="inlineStr">
        <is>
          <t>Cleo</t>
        </is>
      </c>
      <c r="H14" s="42" t="inlineStr">
        <is>
          <t>One-off</t>
        </is>
      </c>
      <c r="I14" s="42" t="inlineStr">
        <is>
          <t>High</t>
        </is>
      </c>
      <c r="J14" s="42" t="inlineStr">
        <is>
          <t>Not started</t>
        </is>
      </c>
      <c r="K14" s="13" t="n"/>
      <c r="L14" s="14" t="n"/>
    </row>
    <row r="15" ht="15" customHeight="1" s="47">
      <c r="A15" s="42" t="n">
        <v>17</v>
      </c>
      <c r="B15" s="42" t="inlineStr">
        <is>
          <t>Month 1</t>
        </is>
      </c>
      <c r="C15" s="42" t="inlineStr">
        <is>
          <t>W1</t>
        </is>
      </c>
      <c r="D15" s="13" t="n">
        <v>46257</v>
      </c>
      <c r="E15" s="42" t="inlineStr">
        <is>
          <t>Measurement</t>
        </is>
      </c>
      <c r="F15" s="14" t="inlineStr">
        <is>
          <t>Name the three competitors you want to be measured against</t>
        </is>
      </c>
      <c r="G15" s="42" t="inlineStr">
        <is>
          <t>Cleo</t>
        </is>
      </c>
      <c r="H15" s="42" t="inlineStr">
        <is>
          <t>One-off</t>
        </is>
      </c>
      <c r="I15" s="42" t="inlineStr">
        <is>
          <t>Medium</t>
        </is>
      </c>
      <c r="J15" s="42" t="inlineStr">
        <is>
          <t>Not started</t>
        </is>
      </c>
      <c r="K15" s="13" t="n"/>
      <c r="L15" s="14" t="n"/>
    </row>
    <row r="16" ht="15" customHeight="1" s="47">
      <c r="A16" s="42" t="n">
        <v>23</v>
      </c>
      <c r="B16" s="42" t="inlineStr">
        <is>
          <t>Month 1</t>
        </is>
      </c>
      <c r="C16" s="42" t="inlineStr">
        <is>
          <t>W2</t>
        </is>
      </c>
      <c r="D16" s="13" t="n">
        <v>46264</v>
      </c>
      <c r="E16" s="42" t="inlineStr">
        <is>
          <t>Citations</t>
        </is>
      </c>
      <c r="F16" s="14" t="inlineStr">
        <is>
          <t>Check which directories on the Local Citations build list are still live and still free</t>
        </is>
      </c>
      <c r="G16" s="42" t="inlineStr">
        <is>
          <t>Agency</t>
        </is>
      </c>
      <c r="H16" s="42" t="inlineStr">
        <is>
          <t>One-off</t>
        </is>
      </c>
      <c r="I16" s="42" t="inlineStr">
        <is>
          <t>Medium</t>
        </is>
      </c>
      <c r="J16" s="42" t="inlineStr">
        <is>
          <t>Not started</t>
        </is>
      </c>
      <c r="K16" s="13" t="n"/>
      <c r="L16" s="14" t="n"/>
    </row>
    <row r="17" ht="15" customHeight="1" s="47">
      <c r="A17" s="42" t="n">
        <v>24</v>
      </c>
      <c r="B17" s="42" t="inlineStr">
        <is>
          <t>Month 1</t>
        </is>
      </c>
      <c r="C17" s="42" t="inlineStr">
        <is>
          <t>W2</t>
        </is>
      </c>
      <c r="D17" s="13" t="n">
        <v>46264</v>
      </c>
      <c r="E17" s="42" t="inlineStr">
        <is>
          <t>Website</t>
        </is>
      </c>
      <c r="F17" s="14" t="inlineStr">
        <is>
          <t>PLANNING WEEK: agree the sitemap and the full page inventory</t>
        </is>
      </c>
      <c r="G17" s="42" t="inlineStr">
        <is>
          <t>Both</t>
        </is>
      </c>
      <c r="H17" s="42" t="inlineStr">
        <is>
          <t>One-off</t>
        </is>
      </c>
      <c r="I17" s="42" t="inlineStr">
        <is>
          <t>High</t>
        </is>
      </c>
      <c r="J17" s="42" t="inlineStr">
        <is>
          <t>Not started</t>
        </is>
      </c>
      <c r="K17" s="13" t="n"/>
      <c r="L17" s="14" t="n"/>
    </row>
    <row r="18" ht="15" customHeight="1" s="47">
      <c r="A18" s="42" t="n">
        <v>25</v>
      </c>
      <c r="B18" s="42" t="inlineStr">
        <is>
          <t>Month 1</t>
        </is>
      </c>
      <c r="C18" s="42" t="inlineStr">
        <is>
          <t>W2</t>
        </is>
      </c>
      <c r="D18" s="13" t="n">
        <v>46264</v>
      </c>
      <c r="E18" s="42" t="inlineStr">
        <is>
          <t>Website</t>
        </is>
      </c>
      <c r="F18" s="14" t="inlineStr">
        <is>
          <t>Build the keyword-to-page map so every page has one job</t>
        </is>
      </c>
      <c r="G18" s="42" t="inlineStr">
        <is>
          <t>Agency</t>
        </is>
      </c>
      <c r="H18" s="42" t="inlineStr">
        <is>
          <t>One-off</t>
        </is>
      </c>
      <c r="I18" s="42" t="inlineStr">
        <is>
          <t>High</t>
        </is>
      </c>
      <c r="J18" s="42" t="inlineStr">
        <is>
          <t>Not started</t>
        </is>
      </c>
      <c r="K18" s="13" t="n"/>
      <c r="L18" s="14" t="n"/>
    </row>
    <row r="19" ht="15" customHeight="1" s="47">
      <c r="A19" s="42" t="n">
        <v>26</v>
      </c>
      <c r="B19" s="42" t="inlineStr">
        <is>
          <t>Month 1</t>
        </is>
      </c>
      <c r="C19" s="42" t="inlineStr">
        <is>
          <t>W2</t>
        </is>
      </c>
      <c r="D19" s="13" t="n">
        <v>46264</v>
      </c>
      <c r="E19" s="42" t="inlineStr">
        <is>
          <t>Website</t>
        </is>
      </c>
      <c r="F19" s="14" t="inlineStr">
        <is>
          <t>Wireframe the home page, the contact page and the treatment page template</t>
        </is>
      </c>
      <c r="G19" s="42" t="inlineStr">
        <is>
          <t>Agency</t>
        </is>
      </c>
      <c r="H19" s="42" t="inlineStr">
        <is>
          <t>One-off</t>
        </is>
      </c>
      <c r="I19" s="42" t="inlineStr">
        <is>
          <t>High</t>
        </is>
      </c>
      <c r="J19" s="42" t="inlineStr">
        <is>
          <t>Not started</t>
        </is>
      </c>
      <c r="K19" s="13" t="n"/>
      <c r="L19" s="14" t="n"/>
    </row>
    <row r="20" ht="15" customHeight="1" s="47">
      <c r="A20" s="42" t="n">
        <v>27</v>
      </c>
      <c r="B20" s="42" t="inlineStr">
        <is>
          <t>Month 1</t>
        </is>
      </c>
      <c r="C20" s="42" t="inlineStr">
        <is>
          <t>W2</t>
        </is>
      </c>
      <c r="D20" s="13" t="n">
        <v>46264</v>
      </c>
      <c r="E20" s="42" t="inlineStr">
        <is>
          <t>Website</t>
        </is>
      </c>
      <c r="F20" s="14" t="inlineStr">
        <is>
          <t>Pull the brand kit — colours, type, logo — from design/brand</t>
        </is>
      </c>
      <c r="G20" s="42" t="inlineStr">
        <is>
          <t>Agency</t>
        </is>
      </c>
      <c r="H20" s="42" t="inlineStr">
        <is>
          <t>One-off</t>
        </is>
      </c>
      <c r="I20" s="42" t="inlineStr">
        <is>
          <t>Medium</t>
        </is>
      </c>
      <c r="J20" s="42" t="inlineStr">
        <is>
          <t>Not started</t>
        </is>
      </c>
      <c r="K20" s="13" t="n"/>
      <c r="L20" s="14" t="n"/>
    </row>
    <row r="21" ht="15" customHeight="1" s="47">
      <c r="A21" s="42" t="n">
        <v>28</v>
      </c>
      <c r="B21" s="42" t="inlineStr">
        <is>
          <t>Month 1</t>
        </is>
      </c>
      <c r="C21" s="42" t="inlineStr">
        <is>
          <t>W2</t>
        </is>
      </c>
      <c r="D21" s="13" t="n">
        <v>46264</v>
      </c>
      <c r="E21" s="42" t="inlineStr">
        <is>
          <t>Website</t>
        </is>
      </c>
      <c r="F21" s="14" t="inlineStr">
        <is>
          <t>Send the domain registrar login for luxurybeautybycleo.ca</t>
        </is>
      </c>
      <c r="G21" s="42" t="inlineStr">
        <is>
          <t>Cleo</t>
        </is>
      </c>
      <c r="H21" s="42" t="inlineStr">
        <is>
          <t>One-off</t>
        </is>
      </c>
      <c r="I21" s="42" t="inlineStr">
        <is>
          <t>High</t>
        </is>
      </c>
      <c r="J21" s="42" t="inlineStr">
        <is>
          <t>Not started</t>
        </is>
      </c>
      <c r="K21" s="13" t="n"/>
      <c r="L21" s="14" t="n"/>
    </row>
    <row r="22" ht="15" customHeight="1" s="47">
      <c r="A22" s="42" t="n">
        <v>29</v>
      </c>
      <c r="B22" s="42" t="inlineStr">
        <is>
          <t>Month 1</t>
        </is>
      </c>
      <c r="C22" s="42" t="inlineStr">
        <is>
          <t>W2</t>
        </is>
      </c>
      <c r="D22" s="13" t="n">
        <v>46264</v>
      </c>
      <c r="E22" s="42" t="inlineStr">
        <is>
          <t>Website</t>
        </is>
      </c>
      <c r="F22" s="14" t="inlineStr">
        <is>
          <t>Send the treatment list with current pricing</t>
        </is>
      </c>
      <c r="G22" s="42" t="inlineStr">
        <is>
          <t>Cleo</t>
        </is>
      </c>
      <c r="H22" s="42" t="inlineStr">
        <is>
          <t>One-off</t>
        </is>
      </c>
      <c r="I22" s="42" t="inlineStr">
        <is>
          <t>High</t>
        </is>
      </c>
      <c r="J22" s="42" t="inlineStr">
        <is>
          <t>Not started</t>
        </is>
      </c>
      <c r="K22" s="13" t="n"/>
      <c r="L22" s="14" t="n"/>
    </row>
    <row r="23" ht="15" customHeight="1" s="47">
      <c r="A23" s="42" t="n">
        <v>30</v>
      </c>
      <c r="B23" s="42" t="inlineStr">
        <is>
          <t>Month 1</t>
        </is>
      </c>
      <c r="C23" s="42" t="inlineStr">
        <is>
          <t>W2</t>
        </is>
      </c>
      <c r="D23" s="13" t="n">
        <v>46264</v>
      </c>
      <c r="E23" s="42" t="inlineStr">
        <is>
          <t>Website</t>
        </is>
      </c>
      <c r="F23" s="14" t="inlineStr">
        <is>
          <t>DESIGN REVIEW with Cleo. Sign-off due Friday 28 August</t>
        </is>
      </c>
      <c r="G23" s="42" t="inlineStr">
        <is>
          <t>Both</t>
        </is>
      </c>
      <c r="H23" s="42" t="inlineStr">
        <is>
          <t>One-off</t>
        </is>
      </c>
      <c r="I23" s="42" t="inlineStr">
        <is>
          <t>High</t>
        </is>
      </c>
      <c r="J23" s="42" t="inlineStr">
        <is>
          <t>Not started</t>
        </is>
      </c>
      <c r="K23" s="13" t="n"/>
      <c r="L23" s="14" t="n"/>
    </row>
    <row r="24" ht="15" customHeight="1" s="47">
      <c r="A24" s="42" t="n">
        <v>31</v>
      </c>
      <c r="B24" s="42" t="inlineStr">
        <is>
          <t>Month 1</t>
        </is>
      </c>
      <c r="C24" s="42" t="inlineStr">
        <is>
          <t>W2</t>
        </is>
      </c>
      <c r="D24" s="13" t="n">
        <v>46264</v>
      </c>
      <c r="E24" s="42" t="inlineStr">
        <is>
          <t>Instagram</t>
        </is>
      </c>
      <c r="F24" s="14" t="inlineStr">
        <is>
          <t>Rewrite the Instagram name field to read 'Cleo | Nurse Injector Oakville'</t>
        </is>
      </c>
      <c r="G24" s="42" t="inlineStr">
        <is>
          <t>Agency</t>
        </is>
      </c>
      <c r="H24" s="42" t="inlineStr">
        <is>
          <t>One-off</t>
        </is>
      </c>
      <c r="I24" s="42" t="inlineStr">
        <is>
          <t>High</t>
        </is>
      </c>
      <c r="J24" s="42" t="inlineStr">
        <is>
          <t>Not started</t>
        </is>
      </c>
      <c r="K24" s="13" t="n"/>
      <c r="L24" s="14" t="n"/>
    </row>
    <row r="25" ht="15" customHeight="1" s="47">
      <c r="A25" s="42" t="n">
        <v>32</v>
      </c>
      <c r="B25" s="42" t="inlineStr">
        <is>
          <t>Month 1</t>
        </is>
      </c>
      <c r="C25" s="42" t="inlineStr">
        <is>
          <t>W2</t>
        </is>
      </c>
      <c r="D25" s="13" t="n">
        <v>46264</v>
      </c>
      <c r="E25" s="42" t="inlineStr">
        <is>
          <t>Instagram</t>
        </is>
      </c>
      <c r="F25" s="14" t="inlineStr">
        <is>
          <t>Rewrite the Instagram bio to name the town and the treatments</t>
        </is>
      </c>
      <c r="G25" s="42" t="inlineStr">
        <is>
          <t>Agency</t>
        </is>
      </c>
      <c r="H25" s="42" t="inlineStr">
        <is>
          <t>One-off</t>
        </is>
      </c>
      <c r="I25" s="42" t="inlineStr">
        <is>
          <t>High</t>
        </is>
      </c>
      <c r="J25" s="42" t="inlineStr">
        <is>
          <t>Not started</t>
        </is>
      </c>
      <c r="K25" s="13" t="n"/>
      <c r="L25" s="14" t="n"/>
    </row>
    <row r="26" ht="15" customHeight="1" s="47">
      <c r="A26" s="42" t="n">
        <v>33</v>
      </c>
      <c r="B26" s="42" t="inlineStr">
        <is>
          <t>Month 1</t>
        </is>
      </c>
      <c r="C26" s="42" t="inlineStr">
        <is>
          <t>W2</t>
        </is>
      </c>
      <c r="D26" s="13" t="n">
        <v>46264</v>
      </c>
      <c r="E26" s="42" t="inlineStr">
        <is>
          <t>Instagram</t>
        </is>
      </c>
      <c r="F26" s="14" t="inlineStr">
        <is>
          <t>Fix the link in bio so it no longer points at the dead domain</t>
        </is>
      </c>
      <c r="G26" s="42" t="inlineStr">
        <is>
          <t>Agency</t>
        </is>
      </c>
      <c r="H26" s="42" t="inlineStr">
        <is>
          <t>One-off</t>
        </is>
      </c>
      <c r="I26" s="42" t="inlineStr">
        <is>
          <t>High</t>
        </is>
      </c>
      <c r="J26" s="42" t="inlineStr">
        <is>
          <t>Not started</t>
        </is>
      </c>
      <c r="K26" s="13" t="n"/>
      <c r="L26" s="14" t="n"/>
    </row>
    <row r="27" ht="15" customHeight="1" s="47">
      <c r="A27" s="42" t="n">
        <v>34</v>
      </c>
      <c r="B27" s="42" t="inlineStr">
        <is>
          <t>Month 1</t>
        </is>
      </c>
      <c r="C27" s="42" t="inlineStr">
        <is>
          <t>W2</t>
        </is>
      </c>
      <c r="D27" s="13" t="n">
        <v>46264</v>
      </c>
      <c r="E27" s="42" t="inlineStr">
        <is>
          <t>Instagram</t>
        </is>
      </c>
      <c r="F27" s="14" t="inlineStr">
        <is>
          <t>Start location-tagging Oakville on every post</t>
        </is>
      </c>
      <c r="G27" s="42" t="inlineStr">
        <is>
          <t>Cleo</t>
        </is>
      </c>
      <c r="H27" s="42" t="inlineStr">
        <is>
          <t>Ongoing</t>
        </is>
      </c>
      <c r="I27" s="42" t="inlineStr">
        <is>
          <t>High</t>
        </is>
      </c>
      <c r="J27" s="42" t="inlineStr">
        <is>
          <t>Not started</t>
        </is>
      </c>
      <c r="K27" s="13" t="n"/>
      <c r="L27" s="14" t="n"/>
    </row>
    <row r="28" ht="15" customHeight="1" s="47">
      <c r="A28" s="42" t="n">
        <v>35</v>
      </c>
      <c r="B28" s="42" t="inlineStr">
        <is>
          <t>Month 1</t>
        </is>
      </c>
      <c r="C28" s="42" t="inlineStr">
        <is>
          <t>W2</t>
        </is>
      </c>
      <c r="D28" s="13" t="n">
        <v>46264</v>
      </c>
      <c r="E28" s="42" t="inlineStr">
        <is>
          <t>Reviews</t>
        </is>
      </c>
      <c r="F28" s="14" t="inlineStr">
        <is>
          <t>Write the WhatsApp review-ask message</t>
        </is>
      </c>
      <c r="G28" s="42" t="inlineStr">
        <is>
          <t>Agency</t>
        </is>
      </c>
      <c r="H28" s="42" t="inlineStr">
        <is>
          <t>One-off</t>
        </is>
      </c>
      <c r="I28" s="42" t="inlineStr">
        <is>
          <t>High</t>
        </is>
      </c>
      <c r="J28" s="42" t="inlineStr">
        <is>
          <t>Not started</t>
        </is>
      </c>
      <c r="K28" s="13" t="n"/>
      <c r="L28" s="14" t="n"/>
    </row>
    <row r="29" ht="15" customHeight="1" s="47">
      <c r="A29" s="42" t="n">
        <v>36</v>
      </c>
      <c r="B29" s="42" t="inlineStr">
        <is>
          <t>Month 1</t>
        </is>
      </c>
      <c r="C29" s="42" t="inlineStr">
        <is>
          <t>W2</t>
        </is>
      </c>
      <c r="D29" s="13" t="n">
        <v>46264</v>
      </c>
      <c r="E29" s="42" t="inlineStr">
        <is>
          <t>Reviews</t>
        </is>
      </c>
      <c r="F29" s="14" t="inlineStr">
        <is>
          <t>Reply to all 12 existing reviews</t>
        </is>
      </c>
      <c r="G29" s="42" t="inlineStr">
        <is>
          <t>Cleo</t>
        </is>
      </c>
      <c r="H29" s="42" t="inlineStr">
        <is>
          <t>One-off</t>
        </is>
      </c>
      <c r="I29" s="42" t="inlineStr">
        <is>
          <t>Medium</t>
        </is>
      </c>
      <c r="J29" s="42" t="inlineStr">
        <is>
          <t>Not started</t>
        </is>
      </c>
      <c r="K29" s="13" t="n"/>
      <c r="L29" s="14" t="n"/>
    </row>
    <row r="30" ht="15" customHeight="1" s="47">
      <c r="A30" s="42" t="n">
        <v>37</v>
      </c>
      <c r="B30" s="42" t="inlineStr">
        <is>
          <t>Month 1</t>
        </is>
      </c>
      <c r="C30" s="42" t="inlineStr">
        <is>
          <t>W3</t>
        </is>
      </c>
      <c r="D30" s="13" t="n">
        <v>46271</v>
      </c>
      <c r="E30" s="42" t="inlineStr">
        <is>
          <t>Website</t>
        </is>
      </c>
      <c r="F30" s="14" t="inlineStr">
        <is>
          <t>DESIGN SIGN-OFF DUE Monday 31 August</t>
        </is>
      </c>
      <c r="G30" s="42" t="inlineStr">
        <is>
          <t>Cleo</t>
        </is>
      </c>
      <c r="H30" s="42" t="inlineStr">
        <is>
          <t>One-off</t>
        </is>
      </c>
      <c r="I30" s="42" t="inlineStr">
        <is>
          <t>High</t>
        </is>
      </c>
      <c r="J30" s="42" t="inlineStr">
        <is>
          <t>Not started</t>
        </is>
      </c>
      <c r="K30" s="13" t="n"/>
      <c r="L30" s="14" t="n"/>
    </row>
    <row r="31" ht="15" customHeight="1" s="47">
      <c r="A31" s="42" t="n">
        <v>38</v>
      </c>
      <c r="B31" s="42" t="inlineStr">
        <is>
          <t>Month 1</t>
        </is>
      </c>
      <c r="C31" s="42" t="inlineStr">
        <is>
          <t>W3</t>
        </is>
      </c>
      <c r="D31" s="13" t="n">
        <v>46271</v>
      </c>
      <c r="E31" s="42" t="inlineStr">
        <is>
          <t>Website</t>
        </is>
      </c>
      <c r="F31" s="14" t="inlineStr">
        <is>
          <t>BUILD STARTS 1 SEPTEMBER: hosting sorted, DNS pointed, platform set up</t>
        </is>
      </c>
      <c r="G31" s="42" t="inlineStr">
        <is>
          <t>Agency</t>
        </is>
      </c>
      <c r="H31" s="42" t="inlineStr">
        <is>
          <t>One-off</t>
        </is>
      </c>
      <c r="I31" s="42" t="inlineStr">
        <is>
          <t>High</t>
        </is>
      </c>
      <c r="J31" s="42" t="inlineStr">
        <is>
          <t>Not started</t>
        </is>
      </c>
      <c r="K31" s="13" t="n"/>
      <c r="L31" s="14" t="n"/>
    </row>
    <row r="32" ht="15" customHeight="1" s="47">
      <c r="A32" s="42" t="n">
        <v>39</v>
      </c>
      <c r="B32" s="42" t="inlineStr">
        <is>
          <t>Month 1</t>
        </is>
      </c>
      <c r="C32" s="42" t="inlineStr">
        <is>
          <t>W3</t>
        </is>
      </c>
      <c r="D32" s="13" t="n">
        <v>46271</v>
      </c>
      <c r="E32" s="42" t="inlineStr">
        <is>
          <t>Website</t>
        </is>
      </c>
      <c r="F32" s="14" t="inlineStr">
        <is>
          <t>Scaffold the page structure agreed in planning</t>
        </is>
      </c>
      <c r="G32" s="42" t="inlineStr">
        <is>
          <t>Agency</t>
        </is>
      </c>
      <c r="H32" s="42" t="inlineStr">
        <is>
          <t>One-off</t>
        </is>
      </c>
      <c r="I32" s="42" t="inlineStr">
        <is>
          <t>High</t>
        </is>
      </c>
      <c r="J32" s="42" t="inlineStr">
        <is>
          <t>Not started</t>
        </is>
      </c>
      <c r="K32" s="13" t="n"/>
      <c r="L32" s="14" t="n"/>
    </row>
    <row r="33" ht="15" customHeight="1" s="47">
      <c r="A33" s="42" t="n">
        <v>40</v>
      </c>
      <c r="B33" s="42" t="inlineStr">
        <is>
          <t>Month 1</t>
        </is>
      </c>
      <c r="C33" s="42" t="inlineStr">
        <is>
          <t>W3</t>
        </is>
      </c>
      <c r="D33" s="13" t="n">
        <v>46271</v>
      </c>
      <c r="E33" s="42" t="inlineStr">
        <is>
          <t>Website</t>
        </is>
      </c>
      <c r="F33" s="14" t="inlineStr">
        <is>
          <t>Write the home page copy and get it approved</t>
        </is>
      </c>
      <c r="G33" s="42" t="inlineStr">
        <is>
          <t>Both</t>
        </is>
      </c>
      <c r="H33" s="42" t="inlineStr">
        <is>
          <t>One-off</t>
        </is>
      </c>
      <c r="I33" s="42" t="inlineStr">
        <is>
          <t>High</t>
        </is>
      </c>
      <c r="J33" s="42" t="inlineStr">
        <is>
          <t>Not started</t>
        </is>
      </c>
      <c r="K33" s="13" t="n"/>
      <c r="L33" s="14" t="n"/>
    </row>
    <row r="34" ht="15" customHeight="1" s="47">
      <c r="A34" s="42" t="n">
        <v>41</v>
      </c>
      <c r="B34" s="42" t="inlineStr">
        <is>
          <t>Month 1</t>
        </is>
      </c>
      <c r="C34" s="42" t="inlineStr">
        <is>
          <t>W3</t>
        </is>
      </c>
      <c r="D34" s="13" t="n">
        <v>46271</v>
      </c>
      <c r="E34" s="42" t="inlineStr">
        <is>
          <t>Website</t>
        </is>
      </c>
      <c r="F34" s="14" t="inlineStr">
        <is>
          <t>Write the contact page copy with the corrected NAP and hours</t>
        </is>
      </c>
      <c r="G34" s="42" t="inlineStr">
        <is>
          <t>Agency</t>
        </is>
      </c>
      <c r="H34" s="42" t="inlineStr">
        <is>
          <t>One-off</t>
        </is>
      </c>
      <c r="I34" s="42" t="inlineStr">
        <is>
          <t>High</t>
        </is>
      </c>
      <c r="J34" s="42" t="inlineStr">
        <is>
          <t>Not started</t>
        </is>
      </c>
      <c r="K34" s="13" t="n"/>
      <c r="L34" s="14" t="n"/>
    </row>
    <row r="35" ht="15" customHeight="1" s="47">
      <c r="A35" s="42" t="n">
        <v>42</v>
      </c>
      <c r="B35" s="42" t="inlineStr">
        <is>
          <t>Month 1</t>
        </is>
      </c>
      <c r="C35" s="42" t="inlineStr">
        <is>
          <t>W3</t>
        </is>
      </c>
      <c r="D35" s="13" t="n">
        <v>46271</v>
      </c>
      <c r="E35" s="42" t="inlineStr">
        <is>
          <t>Citations</t>
        </is>
      </c>
      <c r="F35" s="14" t="inlineStr">
        <is>
          <t>Correct postal code to L6M 4L9 on Apple Maps</t>
        </is>
      </c>
      <c r="G35" s="42" t="inlineStr">
        <is>
          <t>Agency</t>
        </is>
      </c>
      <c r="H35" s="42" t="inlineStr">
        <is>
          <t>One-off</t>
        </is>
      </c>
      <c r="I35" s="42" t="inlineStr">
        <is>
          <t>Medium</t>
        </is>
      </c>
      <c r="J35" s="42" t="inlineStr">
        <is>
          <t>Not started</t>
        </is>
      </c>
      <c r="K35" s="13" t="n"/>
      <c r="L35" s="14" t="n"/>
    </row>
    <row r="36" ht="15" customHeight="1" s="47">
      <c r="A36" s="42" t="n">
        <v>43</v>
      </c>
      <c r="B36" s="42" t="inlineStr">
        <is>
          <t>Month 1</t>
        </is>
      </c>
      <c r="C36" s="42" t="inlineStr">
        <is>
          <t>W3</t>
        </is>
      </c>
      <c r="D36" s="13" t="n">
        <v>46271</v>
      </c>
      <c r="E36" s="42" t="inlineStr">
        <is>
          <t>Citations</t>
        </is>
      </c>
      <c r="F36" s="14" t="inlineStr">
        <is>
          <t>Correct postal code to L6M 4L9 on Bing Places</t>
        </is>
      </c>
      <c r="G36" s="42" t="inlineStr">
        <is>
          <t>Agency</t>
        </is>
      </c>
      <c r="H36" s="42" t="inlineStr">
        <is>
          <t>One-off</t>
        </is>
      </c>
      <c r="I36" s="42" t="inlineStr">
        <is>
          <t>Medium</t>
        </is>
      </c>
      <c r="J36" s="42" t="inlineStr">
        <is>
          <t>Not started</t>
        </is>
      </c>
      <c r="K36" s="13" t="n"/>
      <c r="L36" s="14" t="n"/>
    </row>
    <row r="37" ht="15" customHeight="1" s="47">
      <c r="A37" s="42" t="n">
        <v>44</v>
      </c>
      <c r="B37" s="42" t="inlineStr">
        <is>
          <t>Month 1</t>
        </is>
      </c>
      <c r="C37" s="42" t="inlineStr">
        <is>
          <t>W3</t>
        </is>
      </c>
      <c r="D37" s="13" t="n">
        <v>46271</v>
      </c>
      <c r="E37" s="42" t="inlineStr">
        <is>
          <t>Citations</t>
        </is>
      </c>
      <c r="F37" s="14" t="inlineStr">
        <is>
          <t>Correct postal code to L6M 4L9 on RateMDs</t>
        </is>
      </c>
      <c r="G37" s="42" t="inlineStr">
        <is>
          <t>Agency</t>
        </is>
      </c>
      <c r="H37" s="42" t="inlineStr">
        <is>
          <t>One-off</t>
        </is>
      </c>
      <c r="I37" s="42" t="inlineStr">
        <is>
          <t>Low</t>
        </is>
      </c>
      <c r="J37" s="42" t="inlineStr">
        <is>
          <t>Not started</t>
        </is>
      </c>
      <c r="K37" s="13" t="n"/>
      <c r="L37" s="14" t="n"/>
    </row>
    <row r="38" ht="15" customHeight="1" s="47">
      <c r="A38" s="42" t="n">
        <v>45</v>
      </c>
      <c r="B38" s="42" t="inlineStr">
        <is>
          <t>Month 1</t>
        </is>
      </c>
      <c r="C38" s="42" t="inlineStr">
        <is>
          <t>W3</t>
        </is>
      </c>
      <c r="D38" s="13" t="n">
        <v>46271</v>
      </c>
      <c r="E38" s="42" t="inlineStr">
        <is>
          <t>Citations</t>
        </is>
      </c>
      <c r="F38" s="14" t="inlineStr">
        <is>
          <t>Build the Oakville and Halton local citations from the build list</t>
        </is>
      </c>
      <c r="G38" s="42" t="inlineStr">
        <is>
          <t>Agency</t>
        </is>
      </c>
      <c r="H38" s="42" t="inlineStr">
        <is>
          <t>One-off</t>
        </is>
      </c>
      <c r="I38" s="42" t="inlineStr">
        <is>
          <t>High</t>
        </is>
      </c>
      <c r="J38" s="42" t="inlineStr">
        <is>
          <t>Not started</t>
        </is>
      </c>
      <c r="K38" s="13" t="n"/>
      <c r="L38" s="14" t="n"/>
    </row>
    <row r="39" ht="15" customHeight="1" s="47">
      <c r="A39" s="42" t="n">
        <v>46</v>
      </c>
      <c r="B39" s="42" t="inlineStr">
        <is>
          <t>Month 1</t>
        </is>
      </c>
      <c r="C39" s="42" t="inlineStr">
        <is>
          <t>W3</t>
        </is>
      </c>
      <c r="D39" s="13" t="n">
        <v>46271</v>
      </c>
      <c r="E39" s="42" t="inlineStr">
        <is>
          <t>Google profile</t>
        </is>
      </c>
      <c r="F39" s="14" t="inlineStr">
        <is>
          <t>Fill out the GBP services list with a plain description of each treatment</t>
        </is>
      </c>
      <c r="G39" s="42" t="inlineStr">
        <is>
          <t>Agency</t>
        </is>
      </c>
      <c r="H39" s="42" t="inlineStr">
        <is>
          <t>One-off</t>
        </is>
      </c>
      <c r="I39" s="42" t="inlineStr">
        <is>
          <t>Medium</t>
        </is>
      </c>
      <c r="J39" s="42" t="inlineStr">
        <is>
          <t>Not started</t>
        </is>
      </c>
      <c r="K39" s="13" t="n"/>
      <c r="L39" s="14" t="n"/>
    </row>
    <row r="40" ht="15" customHeight="1" s="47">
      <c r="A40" s="42" t="n">
        <v>47</v>
      </c>
      <c r="B40" s="42" t="inlineStr">
        <is>
          <t>Month 1</t>
        </is>
      </c>
      <c r="C40" s="42" t="inlineStr">
        <is>
          <t>W3</t>
        </is>
      </c>
      <c r="D40" s="13" t="n">
        <v>46271</v>
      </c>
      <c r="E40" s="42" t="inlineStr">
        <is>
          <t>Google profile</t>
        </is>
      </c>
      <c r="F40" s="14" t="inlineStr">
        <is>
          <t>Add a working booking link to GBP</t>
        </is>
      </c>
      <c r="G40" s="42" t="inlineStr">
        <is>
          <t>Agency</t>
        </is>
      </c>
      <c r="H40" s="42" t="inlineStr">
        <is>
          <t>One-off</t>
        </is>
      </c>
      <c r="I40" s="42" t="inlineStr">
        <is>
          <t>High</t>
        </is>
      </c>
      <c r="J40" s="42" t="inlineStr">
        <is>
          <t>Not started</t>
        </is>
      </c>
      <c r="K40" s="13" t="n"/>
      <c r="L40" s="14" t="n"/>
    </row>
    <row r="41" ht="15" customHeight="1" s="47">
      <c r="A41" s="42" t="n">
        <v>48</v>
      </c>
      <c r="B41" s="42" t="inlineStr">
        <is>
          <t>Month 1</t>
        </is>
      </c>
      <c r="C41" s="42" t="inlineStr">
        <is>
          <t>W3</t>
        </is>
      </c>
      <c r="D41" s="13" t="n">
        <v>46271</v>
      </c>
      <c r="E41" s="42" t="inlineStr">
        <is>
          <t>Reviews</t>
        </is>
      </c>
      <c r="F41" s="14" t="inlineStr">
        <is>
          <t>Start sending the review ask within 24 hours of every appointment</t>
        </is>
      </c>
      <c r="G41" s="42" t="inlineStr">
        <is>
          <t>Cleo</t>
        </is>
      </c>
      <c r="H41" s="42" t="inlineStr">
        <is>
          <t>Daily</t>
        </is>
      </c>
      <c r="I41" s="42" t="inlineStr">
        <is>
          <t>High</t>
        </is>
      </c>
      <c r="J41" s="42" t="inlineStr">
        <is>
          <t>Not started</t>
        </is>
      </c>
      <c r="K41" s="13" t="n"/>
      <c r="L41" s="14" t="n"/>
    </row>
    <row r="42" ht="15" customHeight="1" s="47">
      <c r="A42" s="42" t="n">
        <v>49</v>
      </c>
      <c r="B42" s="42" t="inlineStr">
        <is>
          <t>Month 1</t>
        </is>
      </c>
      <c r="C42" s="42" t="inlineStr">
        <is>
          <t>W3</t>
        </is>
      </c>
      <c r="D42" s="13" t="n">
        <v>46271</v>
      </c>
      <c r="E42" s="42" t="inlineStr">
        <is>
          <t>Compliance</t>
        </is>
      </c>
      <c r="F42" s="14" t="inlineStr">
        <is>
          <t>Confirm the signed before-and-after consent form is on file</t>
        </is>
      </c>
      <c r="G42" s="42" t="inlineStr">
        <is>
          <t>Cleo</t>
        </is>
      </c>
      <c r="H42" s="42" t="inlineStr">
        <is>
          <t>One-off</t>
        </is>
      </c>
      <c r="I42" s="42" t="inlineStr">
        <is>
          <t>High</t>
        </is>
      </c>
      <c r="J42" s="42" t="inlineStr">
        <is>
          <t>Not started</t>
        </is>
      </c>
      <c r="K42" s="13" t="n"/>
      <c r="L42" s="14" t="n"/>
    </row>
    <row r="43" ht="15" customHeight="1" s="47">
      <c r="A43" s="42" t="n">
        <v>50</v>
      </c>
      <c r="B43" s="42" t="inlineStr">
        <is>
          <t>Month 1</t>
        </is>
      </c>
      <c r="C43" s="42" t="inlineStr">
        <is>
          <t>W4</t>
        </is>
      </c>
      <c r="D43" s="13" t="n">
        <v>46278</v>
      </c>
      <c r="E43" s="42" t="inlineStr">
        <is>
          <t>Website</t>
        </is>
      </c>
      <c r="F43" s="14" t="inlineStr">
        <is>
          <t>Home and contact pages complete in staging: NAP, hours, booking link, schema</t>
        </is>
      </c>
      <c r="G43" s="42" t="inlineStr">
        <is>
          <t>Agency</t>
        </is>
      </c>
      <c r="H43" s="42" t="inlineStr">
        <is>
          <t>One-off</t>
        </is>
      </c>
      <c r="I43" s="42" t="inlineStr">
        <is>
          <t>High</t>
        </is>
      </c>
      <c r="J43" s="42" t="inlineStr">
        <is>
          <t>Not started</t>
        </is>
      </c>
      <c r="K43" s="13" t="n"/>
      <c r="L43" s="14" t="n"/>
    </row>
    <row r="44" ht="15" customHeight="1" s="47">
      <c r="A44" s="42" t="n">
        <v>51</v>
      </c>
      <c r="B44" s="42" t="inlineStr">
        <is>
          <t>Month 1</t>
        </is>
      </c>
      <c r="C44" s="42" t="inlineStr">
        <is>
          <t>W4</t>
        </is>
      </c>
      <c r="D44" s="13" t="n">
        <v>46278</v>
      </c>
      <c r="E44" s="42" t="inlineStr">
        <is>
          <t>Website</t>
        </is>
      </c>
      <c r="F44" s="14" t="inlineStr">
        <is>
          <t>LocalBusiness and Service schema on every page built so far</t>
        </is>
      </c>
      <c r="G44" s="42" t="inlineStr">
        <is>
          <t>Agency</t>
        </is>
      </c>
      <c r="H44" s="42" t="inlineStr">
        <is>
          <t>One-off</t>
        </is>
      </c>
      <c r="I44" s="42" t="inlineStr">
        <is>
          <t>High</t>
        </is>
      </c>
      <c r="J44" s="42" t="inlineStr">
        <is>
          <t>Not started</t>
        </is>
      </c>
      <c r="K44" s="13" t="n"/>
      <c r="L44" s="14" t="n"/>
    </row>
    <row r="45" ht="15" customHeight="1" s="47">
      <c r="A45" s="42" t="n">
        <v>52</v>
      </c>
      <c r="B45" s="42" t="inlineStr">
        <is>
          <t>Month 1</t>
        </is>
      </c>
      <c r="C45" s="42" t="inlineStr">
        <is>
          <t>W4</t>
        </is>
      </c>
      <c r="D45" s="13" t="n">
        <v>46278</v>
      </c>
      <c r="E45" s="42" t="inlineStr">
        <is>
          <t>Website</t>
        </is>
      </c>
      <c r="F45" s="14" t="inlineStr">
        <is>
          <t>Title tags and meta descriptions for the home and contact pages</t>
        </is>
      </c>
      <c r="G45" s="42" t="inlineStr">
        <is>
          <t>Agency</t>
        </is>
      </c>
      <c r="H45" s="42" t="inlineStr">
        <is>
          <t>One-off</t>
        </is>
      </c>
      <c r="I45" s="42" t="inlineStr">
        <is>
          <t>High</t>
        </is>
      </c>
      <c r="J45" s="42" t="inlineStr">
        <is>
          <t>Not started</t>
        </is>
      </c>
      <c r="K45" s="13" t="n"/>
      <c r="L45" s="14" t="n"/>
    </row>
    <row r="46" ht="15" customHeight="1" s="47">
      <c r="A46" s="42" t="n">
        <v>53</v>
      </c>
      <c r="B46" s="42" t="inlineStr">
        <is>
          <t>Month 1</t>
        </is>
      </c>
      <c r="C46" s="42" t="inlineStr">
        <is>
          <t>W4</t>
        </is>
      </c>
      <c r="D46" s="13" t="n">
        <v>46278</v>
      </c>
      <c r="E46" s="42" t="inlineStr">
        <is>
          <t>Citations</t>
        </is>
      </c>
      <c r="F46" s="14" t="inlineStr">
        <is>
          <t>Correct postal code to L6M 4L9 on the Canadian chamber directories</t>
        </is>
      </c>
      <c r="G46" s="42" t="inlineStr">
        <is>
          <t>Agency</t>
        </is>
      </c>
      <c r="H46" s="42" t="inlineStr">
        <is>
          <t>One-off</t>
        </is>
      </c>
      <c r="I46" s="42" t="inlineStr">
        <is>
          <t>Low</t>
        </is>
      </c>
      <c r="J46" s="42" t="inlineStr">
        <is>
          <t>Not started</t>
        </is>
      </c>
      <c r="K46" s="13" t="n"/>
      <c r="L46" s="14" t="n"/>
    </row>
    <row r="47" ht="15" customHeight="1" s="47">
      <c r="A47" s="42" t="n">
        <v>54</v>
      </c>
      <c r="B47" s="42" t="inlineStr">
        <is>
          <t>Month 1</t>
        </is>
      </c>
      <c r="C47" s="42" t="inlineStr">
        <is>
          <t>W4</t>
        </is>
      </c>
      <c r="D47" s="13" t="n">
        <v>46278</v>
      </c>
      <c r="E47" s="42" t="inlineStr">
        <is>
          <t>Citations</t>
        </is>
      </c>
      <c r="F47" s="14" t="inlineStr">
        <is>
          <t>Claim any listing about the practice that is not under your control</t>
        </is>
      </c>
      <c r="G47" s="42" t="inlineStr">
        <is>
          <t>Agency</t>
        </is>
      </c>
      <c r="H47" s="42" t="inlineStr">
        <is>
          <t>One-off</t>
        </is>
      </c>
      <c r="I47" s="42" t="inlineStr">
        <is>
          <t>Medium</t>
        </is>
      </c>
      <c r="J47" s="42" t="inlineStr">
        <is>
          <t>Not started</t>
        </is>
      </c>
      <c r="K47" s="13" t="n"/>
      <c r="L47" s="14" t="n"/>
    </row>
    <row r="48" ht="15" customHeight="1" s="47">
      <c r="A48" s="42" t="n">
        <v>55</v>
      </c>
      <c r="B48" s="42" t="inlineStr">
        <is>
          <t>Month 1</t>
        </is>
      </c>
      <c r="C48" s="42" t="inlineStr">
        <is>
          <t>W4</t>
        </is>
      </c>
      <c r="D48" s="13" t="n">
        <v>46278</v>
      </c>
      <c r="E48" s="42" t="inlineStr">
        <is>
          <t>Citations</t>
        </is>
      </c>
      <c r="F48" s="14" t="inlineStr">
        <is>
          <t>Verify every corrected listing now shows identical name, address and phone</t>
        </is>
      </c>
      <c r="G48" s="42" t="inlineStr">
        <is>
          <t>Agency</t>
        </is>
      </c>
      <c r="H48" s="42" t="inlineStr">
        <is>
          <t>One-off</t>
        </is>
      </c>
      <c r="I48" s="42" t="inlineStr">
        <is>
          <t>High</t>
        </is>
      </c>
      <c r="J48" s="42" t="inlineStr">
        <is>
          <t>Not started</t>
        </is>
      </c>
      <c r="K48" s="13" t="n"/>
      <c r="L48" s="14" t="n"/>
    </row>
    <row r="49" ht="15" customHeight="1" s="47">
      <c r="A49" s="42" t="n">
        <v>56</v>
      </c>
      <c r="B49" s="42" t="inlineStr">
        <is>
          <t>Month 1</t>
        </is>
      </c>
      <c r="C49" s="42" t="inlineStr">
        <is>
          <t>W4</t>
        </is>
      </c>
      <c r="D49" s="13" t="n">
        <v>46278</v>
      </c>
      <c r="E49" s="42" t="inlineStr">
        <is>
          <t>Citations</t>
        </is>
      </c>
      <c r="F49" s="14" t="inlineStr">
        <is>
          <t>Build the healthcare and aesthetics citations, the NPAO listing included</t>
        </is>
      </c>
      <c r="G49" s="42" t="inlineStr">
        <is>
          <t>Agency</t>
        </is>
      </c>
      <c r="H49" s="42" t="inlineStr">
        <is>
          <t>One-off</t>
        </is>
      </c>
      <c r="I49" s="42" t="inlineStr">
        <is>
          <t>Medium</t>
        </is>
      </c>
      <c r="J49" s="42" t="inlineStr">
        <is>
          <t>Not started</t>
        </is>
      </c>
      <c r="K49" s="13" t="n"/>
      <c r="L49" s="14" t="n"/>
    </row>
    <row r="50" ht="15" customHeight="1" s="47">
      <c r="A50" s="42" t="n">
        <v>57</v>
      </c>
      <c r="B50" s="42" t="inlineStr">
        <is>
          <t>Month 1</t>
        </is>
      </c>
      <c r="C50" s="42" t="inlineStr">
        <is>
          <t>W4</t>
        </is>
      </c>
      <c r="D50" s="13" t="n">
        <v>46278</v>
      </c>
      <c r="E50" s="42" t="inlineStr">
        <is>
          <t>Citations</t>
        </is>
      </c>
      <c r="F50" s="14" t="inlineStr">
        <is>
          <t>Check the College of Nurses public register entry is correct as it stands</t>
        </is>
      </c>
      <c r="G50" s="42" t="inlineStr">
        <is>
          <t>Agency</t>
        </is>
      </c>
      <c r="H50" s="42" t="inlineStr">
        <is>
          <t>One-off</t>
        </is>
      </c>
      <c r="I50" s="42" t="inlineStr">
        <is>
          <t>Medium</t>
        </is>
      </c>
      <c r="J50" s="42" t="inlineStr">
        <is>
          <t>Not started</t>
        </is>
      </c>
      <c r="K50" s="13" t="n"/>
      <c r="L50" s="14" t="n"/>
    </row>
    <row r="51" ht="15" customHeight="1" s="47">
      <c r="A51" s="42" t="n">
        <v>58</v>
      </c>
      <c r="B51" s="42" t="inlineStr">
        <is>
          <t>Month 1</t>
        </is>
      </c>
      <c r="C51" s="42" t="inlineStr">
        <is>
          <t>W4</t>
        </is>
      </c>
      <c r="D51" s="13" t="n">
        <v>46278</v>
      </c>
      <c r="E51" s="42" t="inlineStr">
        <is>
          <t>Google profile</t>
        </is>
      </c>
      <c r="F51" s="14" t="inlineStr">
        <is>
          <t>Seed the GBP questions section with real questions and answers</t>
        </is>
      </c>
      <c r="G51" s="42" t="inlineStr">
        <is>
          <t>Both</t>
        </is>
      </c>
      <c r="H51" s="42" t="inlineStr">
        <is>
          <t>One-off</t>
        </is>
      </c>
      <c r="I51" s="42" t="inlineStr">
        <is>
          <t>Medium</t>
        </is>
      </c>
      <c r="J51" s="42" t="inlineStr">
        <is>
          <t>Not started</t>
        </is>
      </c>
      <c r="K51" s="13" t="n"/>
      <c r="L51" s="14" t="n"/>
    </row>
    <row r="52" ht="15" customHeight="1" s="47">
      <c r="A52" s="42" t="n">
        <v>59</v>
      </c>
      <c r="B52" s="42" t="inlineStr">
        <is>
          <t>Month 1</t>
        </is>
      </c>
      <c r="C52" s="42" t="inlineStr">
        <is>
          <t>W4</t>
        </is>
      </c>
      <c r="D52" s="13" t="n">
        <v>46278</v>
      </c>
      <c r="E52" s="42" t="inlineStr">
        <is>
          <t>Google profile</t>
        </is>
      </c>
      <c r="F52" s="14" t="inlineStr">
        <is>
          <t>Post to GBP every weekday from the content calendar</t>
        </is>
      </c>
      <c r="G52" s="42" t="inlineStr">
        <is>
          <t>Cleo</t>
        </is>
      </c>
      <c r="H52" s="42" t="inlineStr">
        <is>
          <t>Daily</t>
        </is>
      </c>
      <c r="I52" s="42" t="inlineStr">
        <is>
          <t>High</t>
        </is>
      </c>
      <c r="J52" s="42" t="inlineStr">
        <is>
          <t>Not started</t>
        </is>
      </c>
      <c r="K52" s="13" t="n"/>
      <c r="L52" s="14" t="n"/>
    </row>
    <row r="53" ht="15" customHeight="1" s="47">
      <c r="A53" s="42" t="n">
        <v>60</v>
      </c>
      <c r="B53" s="42" t="inlineStr">
        <is>
          <t>Month 1</t>
        </is>
      </c>
      <c r="C53" s="42" t="inlineStr">
        <is>
          <t>W4</t>
        </is>
      </c>
      <c r="D53" s="13" t="n">
        <v>46278</v>
      </c>
      <c r="E53" s="42" t="inlineStr">
        <is>
          <t>Compliance</t>
        </is>
      </c>
      <c r="F53" s="14" t="inlineStr">
        <is>
          <t>Compliance pass on the 21 briefs naming Botox or Dysport in client-facing copy</t>
        </is>
      </c>
      <c r="G53" s="42" t="inlineStr">
        <is>
          <t>Agency</t>
        </is>
      </c>
      <c r="H53" s="42" t="inlineStr">
        <is>
          <t>One-off</t>
        </is>
      </c>
      <c r="I53" s="42" t="inlineStr">
        <is>
          <t>High</t>
        </is>
      </c>
      <c r="J53" s="42" t="inlineStr">
        <is>
          <t>Not started</t>
        </is>
      </c>
      <c r="K53" s="13" t="n"/>
      <c r="L53" s="14" t="n"/>
    </row>
    <row r="54" ht="15" customHeight="1" s="47">
      <c r="A54" s="42" t="n">
        <v>61</v>
      </c>
      <c r="B54" s="42" t="inlineStr">
        <is>
          <t>Month 1</t>
        </is>
      </c>
      <c r="C54" s="42" t="inlineStr">
        <is>
          <t>W4</t>
        </is>
      </c>
      <c r="D54" s="13" t="n">
        <v>46278</v>
      </c>
      <c r="E54" s="42" t="inlineStr">
        <is>
          <t>Compliance</t>
        </is>
      </c>
      <c r="F54" s="14" t="inlineStr">
        <is>
          <t>Compliance rules apply to GBP posts too — brief Cleo on what cannot be named</t>
        </is>
      </c>
      <c r="G54" s="42" t="inlineStr">
        <is>
          <t>Agency</t>
        </is>
      </c>
      <c r="H54" s="42" t="inlineStr">
        <is>
          <t>One-off</t>
        </is>
      </c>
      <c r="I54" s="42" t="inlineStr">
        <is>
          <t>High</t>
        </is>
      </c>
      <c r="J54" s="42" t="inlineStr">
        <is>
          <t>Not started</t>
        </is>
      </c>
      <c r="K54" s="13" t="n"/>
      <c r="L54" s="14" t="n"/>
    </row>
    <row r="55" ht="15" customHeight="1" s="47">
      <c r="A55" s="42" t="n">
        <v>62</v>
      </c>
      <c r="B55" s="42" t="inlineStr">
        <is>
          <t>Month 1</t>
        </is>
      </c>
      <c r="C55" s="42" t="inlineStr">
        <is>
          <t>W4</t>
        </is>
      </c>
      <c r="D55" s="13" t="n">
        <v>46278</v>
      </c>
      <c r="E55" s="42" t="inlineStr">
        <is>
          <t>Measurement</t>
        </is>
      </c>
      <c r="F55" s="14" t="inlineStr">
        <is>
          <t>Set up the analytics property ready for launch</t>
        </is>
      </c>
      <c r="G55" s="42" t="inlineStr">
        <is>
          <t>Agency</t>
        </is>
      </c>
      <c r="H55" s="42" t="inlineStr">
        <is>
          <t>One-off</t>
        </is>
      </c>
      <c r="I55" s="42" t="inlineStr">
        <is>
          <t>Medium</t>
        </is>
      </c>
      <c r="J55" s="42" t="inlineStr">
        <is>
          <t>Not started</t>
        </is>
      </c>
      <c r="K55" s="13" t="n"/>
      <c r="L55" s="14" t="n"/>
    </row>
    <row r="56" ht="15" customHeight="1" s="47">
      <c r="A56" s="42" t="n">
        <v>63</v>
      </c>
      <c r="B56" s="42" t="inlineStr">
        <is>
          <t>Month 1</t>
        </is>
      </c>
      <c r="C56" s="42" t="inlineStr">
        <is>
          <t>W4</t>
        </is>
      </c>
      <c r="D56" s="13" t="n">
        <v>46278</v>
      </c>
      <c r="E56" s="42" t="inlineStr">
        <is>
          <t>Ads</t>
        </is>
      </c>
      <c r="F56" s="14" t="inlineStr">
        <is>
          <t>Send us your current monthly Instagram and Google ad spend</t>
        </is>
      </c>
      <c r="G56" s="42" t="inlineStr">
        <is>
          <t>Cleo</t>
        </is>
      </c>
      <c r="H56" s="42" t="inlineStr">
        <is>
          <t>One-off</t>
        </is>
      </c>
      <c r="I56" s="42" t="inlineStr">
        <is>
          <t>High</t>
        </is>
      </c>
      <c r="J56" s="42" t="inlineStr">
        <is>
          <t>Not started</t>
        </is>
      </c>
      <c r="K56" s="13" t="n"/>
      <c r="L56" s="14" t="n"/>
    </row>
    <row r="57" ht="15" customHeight="1" s="47">
      <c r="A57" s="42" t="n">
        <v>64</v>
      </c>
      <c r="B57" s="42" t="inlineStr">
        <is>
          <t>Month 2</t>
        </is>
      </c>
      <c r="C57" s="42" t="inlineStr">
        <is>
          <t>W5</t>
        </is>
      </c>
      <c r="D57" s="13" t="n">
        <v>46285</v>
      </c>
      <c r="E57" s="42" t="inlineStr">
        <is>
          <t>Website</t>
        </is>
      </c>
      <c r="F57" s="14" t="inlineStr">
        <is>
          <t>Build the treatment pages: lip filler, dermal filler and facial balancing</t>
        </is>
      </c>
      <c r="G57" s="42" t="inlineStr">
        <is>
          <t>Agency</t>
        </is>
      </c>
      <c r="H57" s="42" t="inlineStr">
        <is>
          <t>One-off</t>
        </is>
      </c>
      <c r="I57" s="42" t="inlineStr">
        <is>
          <t>High</t>
        </is>
      </c>
      <c r="J57" s="42" t="inlineStr">
        <is>
          <t>Not started</t>
        </is>
      </c>
      <c r="K57" s="13" t="n"/>
      <c r="L57" s="14" t="n"/>
    </row>
    <row r="58" ht="15" customHeight="1" s="47">
      <c r="A58" s="42" t="n">
        <v>65</v>
      </c>
      <c r="B58" s="42" t="inlineStr">
        <is>
          <t>Month 2</t>
        </is>
      </c>
      <c r="C58" s="42" t="inlineStr">
        <is>
          <t>W5</t>
        </is>
      </c>
      <c r="D58" s="13" t="n">
        <v>46285</v>
      </c>
      <c r="E58" s="42" t="inlineStr">
        <is>
          <t>Website</t>
        </is>
      </c>
      <c r="F58" s="14" t="inlineStr">
        <is>
          <t>Write the copy for those pages and confirm every claim is one you can stand behind</t>
        </is>
      </c>
      <c r="G58" s="42" t="inlineStr">
        <is>
          <t>Both</t>
        </is>
      </c>
      <c r="H58" s="42" t="inlineStr">
        <is>
          <t>One-off</t>
        </is>
      </c>
      <c r="I58" s="42" t="inlineStr">
        <is>
          <t>High</t>
        </is>
      </c>
      <c r="J58" s="42" t="inlineStr">
        <is>
          <t>Not started</t>
        </is>
      </c>
      <c r="K58" s="13" t="n"/>
      <c r="L58" s="14" t="n"/>
    </row>
    <row r="59" ht="15" customHeight="1" s="47">
      <c r="A59" s="42" t="n">
        <v>66</v>
      </c>
      <c r="B59" s="42" t="inlineStr">
        <is>
          <t>Month 2</t>
        </is>
      </c>
      <c r="C59" s="42" t="inlineStr">
        <is>
          <t>W5</t>
        </is>
      </c>
      <c r="D59" s="13" t="n">
        <v>46285</v>
      </c>
      <c r="E59" s="42" t="inlineStr">
        <is>
          <t>Website</t>
        </is>
      </c>
      <c r="F59" s="14" t="inlineStr">
        <is>
          <t>Title tag, meta description and H1 on every treatment page built</t>
        </is>
      </c>
      <c r="G59" s="42" t="inlineStr">
        <is>
          <t>Agency</t>
        </is>
      </c>
      <c r="H59" s="42" t="inlineStr">
        <is>
          <t>One-off</t>
        </is>
      </c>
      <c r="I59" s="42" t="inlineStr">
        <is>
          <t>High</t>
        </is>
      </c>
      <c r="J59" s="42" t="inlineStr">
        <is>
          <t>Not started</t>
        </is>
      </c>
      <c r="K59" s="13" t="n"/>
      <c r="L59" s="14" t="n"/>
    </row>
    <row r="60" ht="15" customHeight="1" s="47">
      <c r="A60" s="42" t="n">
        <v>67</v>
      </c>
      <c r="B60" s="42" t="inlineStr">
        <is>
          <t>Month 2</t>
        </is>
      </c>
      <c r="C60" s="42" t="inlineStr">
        <is>
          <t>W5</t>
        </is>
      </c>
      <c r="D60" s="13" t="n">
        <v>46285</v>
      </c>
      <c r="E60" s="42" t="inlineStr">
        <is>
          <t>Citations</t>
        </is>
      </c>
      <c r="F60" s="14" t="inlineStr">
        <is>
          <t>Build the Canadian directory, maps and social profile citations</t>
        </is>
      </c>
      <c r="G60" s="42" t="inlineStr">
        <is>
          <t>Agency</t>
        </is>
      </c>
      <c r="H60" s="42" t="inlineStr">
        <is>
          <t>One-off</t>
        </is>
      </c>
      <c r="I60" s="42" t="inlineStr">
        <is>
          <t>Low</t>
        </is>
      </c>
      <c r="J60" s="42" t="inlineStr">
        <is>
          <t>Not started</t>
        </is>
      </c>
      <c r="K60" s="13" t="n"/>
      <c r="L60" s="14" t="n"/>
    </row>
    <row r="61" ht="15" customHeight="1" s="47">
      <c r="A61" s="42" t="n">
        <v>68</v>
      </c>
      <c r="B61" s="42" t="inlineStr">
        <is>
          <t>Month 2</t>
        </is>
      </c>
      <c r="C61" s="42" t="inlineStr">
        <is>
          <t>W5</t>
        </is>
      </c>
      <c r="D61" s="13" t="n">
        <v>46285</v>
      </c>
      <c r="E61" s="42" t="inlineStr">
        <is>
          <t>Reviews</t>
        </is>
      </c>
      <c r="F61" s="14" t="inlineStr">
        <is>
          <t>Design and print the QR review card for the treatment room</t>
        </is>
      </c>
      <c r="G61" s="42" t="inlineStr">
        <is>
          <t>Agency</t>
        </is>
      </c>
      <c r="H61" s="42" t="inlineStr">
        <is>
          <t>One-off</t>
        </is>
      </c>
      <c r="I61" s="42" t="inlineStr">
        <is>
          <t>Medium</t>
        </is>
      </c>
      <c r="J61" s="42" t="inlineStr">
        <is>
          <t>Not started</t>
        </is>
      </c>
      <c r="K61" s="13" t="n"/>
      <c r="L61" s="14" t="n"/>
    </row>
    <row r="62" ht="15" customHeight="1" s="47">
      <c r="A62" s="42" t="n">
        <v>69</v>
      </c>
      <c r="B62" s="42" t="inlineStr">
        <is>
          <t>Month 2</t>
        </is>
      </c>
      <c r="C62" s="42" t="inlineStr">
        <is>
          <t>W5</t>
        </is>
      </c>
      <c r="D62" s="13" t="n">
        <v>46285</v>
      </c>
      <c r="E62" s="42" t="inlineStr">
        <is>
          <t>Reviews</t>
        </is>
      </c>
      <c r="F62" s="14" t="inlineStr">
        <is>
          <t>Reply to every new review within two days</t>
        </is>
      </c>
      <c r="G62" s="42" t="inlineStr">
        <is>
          <t>Cleo</t>
        </is>
      </c>
      <c r="H62" s="42" t="inlineStr">
        <is>
          <t>Ongoing</t>
        </is>
      </c>
      <c r="I62" s="42" t="inlineStr">
        <is>
          <t>Medium</t>
        </is>
      </c>
      <c r="J62" s="42" t="inlineStr">
        <is>
          <t>Not started</t>
        </is>
      </c>
      <c r="K62" s="13" t="n"/>
      <c r="L62" s="14" t="n"/>
    </row>
    <row r="63" ht="15" customHeight="1" s="47">
      <c r="A63" s="42" t="n">
        <v>70</v>
      </c>
      <c r="B63" s="42" t="inlineStr">
        <is>
          <t>Month 2</t>
        </is>
      </c>
      <c r="C63" s="42" t="inlineStr">
        <is>
          <t>W5</t>
        </is>
      </c>
      <c r="D63" s="13" t="n">
        <v>46285</v>
      </c>
      <c r="E63" s="42" t="inlineStr">
        <is>
          <t>Instagram</t>
        </is>
      </c>
      <c r="F63" s="14" t="inlineStr">
        <is>
          <t>Switch to locally weighted hashtag sets, clear of prescription brand names</t>
        </is>
      </c>
      <c r="G63" s="42" t="inlineStr">
        <is>
          <t>Agency</t>
        </is>
      </c>
      <c r="H63" s="42" t="inlineStr">
        <is>
          <t>One-off</t>
        </is>
      </c>
      <c r="I63" s="42" t="inlineStr">
        <is>
          <t>Medium</t>
        </is>
      </c>
      <c r="J63" s="42" t="inlineStr">
        <is>
          <t>Not started</t>
        </is>
      </c>
      <c r="K63" s="13" t="n"/>
      <c r="L63" s="14" t="n"/>
    </row>
    <row r="64" ht="15" customHeight="1" s="47">
      <c r="A64" s="42" t="n">
        <v>71</v>
      </c>
      <c r="B64" s="42" t="inlineStr">
        <is>
          <t>Month 2</t>
        </is>
      </c>
      <c r="C64" s="42" t="inlineStr">
        <is>
          <t>W5</t>
        </is>
      </c>
      <c r="D64" s="13" t="n">
        <v>46285</v>
      </c>
      <c r="E64" s="42" t="inlineStr">
        <is>
          <t>Instagram</t>
        </is>
      </c>
      <c r="F64" s="14" t="inlineStr">
        <is>
          <t>Write alt text on every new post</t>
        </is>
      </c>
      <c r="G64" s="42" t="inlineStr">
        <is>
          <t>Cleo</t>
        </is>
      </c>
      <c r="H64" s="42" t="inlineStr">
        <is>
          <t>Ongoing</t>
        </is>
      </c>
      <c r="I64" s="42" t="inlineStr">
        <is>
          <t>Medium</t>
        </is>
      </c>
      <c r="J64" s="42" t="inlineStr">
        <is>
          <t>Not started</t>
        </is>
      </c>
      <c r="K64" s="13" t="n"/>
      <c r="L64" s="14" t="n"/>
    </row>
    <row r="65" ht="15" customHeight="1" s="47">
      <c r="A65" s="42" t="n">
        <v>72</v>
      </c>
      <c r="B65" s="42" t="inlineStr">
        <is>
          <t>Month 2</t>
        </is>
      </c>
      <c r="C65" s="42" t="inlineStr">
        <is>
          <t>W5</t>
        </is>
      </c>
      <c r="D65" s="13" t="n">
        <v>46285</v>
      </c>
      <c r="E65" s="42" t="inlineStr">
        <is>
          <t>Content</t>
        </is>
      </c>
      <c r="F65" s="14" t="inlineStr">
        <is>
          <t>Publish one reel every Wednesday</t>
        </is>
      </c>
      <c r="G65" s="42" t="inlineStr">
        <is>
          <t>Cleo</t>
        </is>
      </c>
      <c r="H65" s="42" t="inlineStr">
        <is>
          <t>Weekly</t>
        </is>
      </c>
      <c r="I65" s="42" t="inlineStr">
        <is>
          <t>High</t>
        </is>
      </c>
      <c r="J65" s="42" t="inlineStr">
        <is>
          <t>Not started</t>
        </is>
      </c>
      <c r="K65" s="13" t="n"/>
      <c r="L65" s="14" t="n"/>
    </row>
    <row r="66" ht="15" customHeight="1" s="47">
      <c r="A66" s="42" t="n">
        <v>73</v>
      </c>
      <c r="B66" s="42" t="inlineStr">
        <is>
          <t>Month 2</t>
        </is>
      </c>
      <c r="C66" s="42" t="inlineStr">
        <is>
          <t>W6</t>
        </is>
      </c>
      <c r="D66" s="13" t="n">
        <v>46292</v>
      </c>
      <c r="E66" s="42" t="inlineStr">
        <is>
          <t>Website</t>
        </is>
      </c>
      <c r="F66" s="14" t="inlineStr">
        <is>
          <t>Build the treatment pages: anti-wrinkle injections and skin boosters</t>
        </is>
      </c>
      <c r="G66" s="42" t="inlineStr">
        <is>
          <t>Agency</t>
        </is>
      </c>
      <c r="H66" s="42" t="inlineStr">
        <is>
          <t>One-off</t>
        </is>
      </c>
      <c r="I66" s="42" t="inlineStr">
        <is>
          <t>High</t>
        </is>
      </c>
      <c r="J66" s="42" t="inlineStr">
        <is>
          <t>Not started</t>
        </is>
      </c>
      <c r="K66" s="13" t="n"/>
      <c r="L66" s="14" t="n"/>
    </row>
    <row r="67" ht="15" customHeight="1" s="47">
      <c r="A67" s="42" t="n">
        <v>74</v>
      </c>
      <c r="B67" s="42" t="inlineStr">
        <is>
          <t>Month 2</t>
        </is>
      </c>
      <c r="C67" s="42" t="inlineStr">
        <is>
          <t>W6</t>
        </is>
      </c>
      <c r="D67" s="13" t="n">
        <v>46292</v>
      </c>
      <c r="E67" s="42" t="inlineStr">
        <is>
          <t>Website</t>
        </is>
      </c>
      <c r="F67" s="14" t="inlineStr">
        <is>
          <t>Internal linking pass across every page built so far</t>
        </is>
      </c>
      <c r="G67" s="42" t="inlineStr">
        <is>
          <t>Agency</t>
        </is>
      </c>
      <c r="H67" s="42" t="inlineStr">
        <is>
          <t>One-off</t>
        </is>
      </c>
      <c r="I67" s="42" t="inlineStr">
        <is>
          <t>Medium</t>
        </is>
      </c>
      <c r="J67" s="42" t="inlineStr">
        <is>
          <t>Not started</t>
        </is>
      </c>
      <c r="K67" s="13" t="n"/>
      <c r="L67" s="14" t="n"/>
    </row>
    <row r="68" ht="15" customHeight="1" s="47">
      <c r="A68" s="42" t="n">
        <v>75</v>
      </c>
      <c r="B68" s="42" t="inlineStr">
        <is>
          <t>Month 2</t>
        </is>
      </c>
      <c r="C68" s="42" t="inlineStr">
        <is>
          <t>W6</t>
        </is>
      </c>
      <c r="D68" s="13" t="n">
        <v>46292</v>
      </c>
      <c r="E68" s="42" t="inlineStr">
        <is>
          <t>Website</t>
        </is>
      </c>
      <c r="F68" s="14" t="inlineStr">
        <is>
          <t>Compress every image and write alt text across the site</t>
        </is>
      </c>
      <c r="G68" s="42" t="inlineStr">
        <is>
          <t>Agency</t>
        </is>
      </c>
      <c r="H68" s="42" t="inlineStr">
        <is>
          <t>One-off</t>
        </is>
      </c>
      <c r="I68" s="42" t="inlineStr">
        <is>
          <t>Medium</t>
        </is>
      </c>
      <c r="J68" s="42" t="inlineStr">
        <is>
          <t>Not started</t>
        </is>
      </c>
      <c r="K68" s="13" t="n"/>
      <c r="L68" s="14" t="n"/>
    </row>
    <row r="69" ht="15" customHeight="1" s="47">
      <c r="A69" s="42" t="n">
        <v>76</v>
      </c>
      <c r="B69" s="42" t="inlineStr">
        <is>
          <t>Month 2</t>
        </is>
      </c>
      <c r="C69" s="42" t="inlineStr">
        <is>
          <t>W6</t>
        </is>
      </c>
      <c r="D69" s="13" t="n">
        <v>46292</v>
      </c>
      <c r="E69" s="42" t="inlineStr">
        <is>
          <t>Instagram</t>
        </is>
      </c>
      <c r="F69" s="14" t="inlineStr">
        <is>
          <t>Reorganise Highlights by treatment</t>
        </is>
      </c>
      <c r="G69" s="42" t="inlineStr">
        <is>
          <t>Agency</t>
        </is>
      </c>
      <c r="H69" s="42" t="inlineStr">
        <is>
          <t>One-off</t>
        </is>
      </c>
      <c r="I69" s="42" t="inlineStr">
        <is>
          <t>Medium</t>
        </is>
      </c>
      <c r="J69" s="42" t="inlineStr">
        <is>
          <t>Not started</t>
        </is>
      </c>
      <c r="K69" s="13" t="n"/>
      <c r="L69" s="14" t="n"/>
    </row>
    <row r="70" ht="15" customHeight="1" s="47">
      <c r="A70" s="42" t="n">
        <v>77</v>
      </c>
      <c r="B70" s="42" t="inlineStr">
        <is>
          <t>Month 2</t>
        </is>
      </c>
      <c r="C70" s="42" t="inlineStr">
        <is>
          <t>W6</t>
        </is>
      </c>
      <c r="D70" s="13" t="n">
        <v>46292</v>
      </c>
      <c r="E70" s="42" t="inlineStr">
        <is>
          <t>Ads</t>
        </is>
      </c>
      <c r="F70" s="14" t="inlineStr">
        <is>
          <t>Build the local radius audience, 15km around Oakville</t>
        </is>
      </c>
      <c r="G70" s="42" t="inlineStr">
        <is>
          <t>Agency</t>
        </is>
      </c>
      <c r="H70" s="42" t="inlineStr">
        <is>
          <t>One-off</t>
        </is>
      </c>
      <c r="I70" s="42" t="inlineStr">
        <is>
          <t>High</t>
        </is>
      </c>
      <c r="J70" s="42" t="inlineStr">
        <is>
          <t>Not started</t>
        </is>
      </c>
      <c r="K70" s="13" t="n"/>
      <c r="L70" s="14" t="n"/>
    </row>
    <row r="71" ht="15" customHeight="1" s="47">
      <c r="A71" s="42" t="n">
        <v>78</v>
      </c>
      <c r="B71" s="42" t="inlineStr">
        <is>
          <t>Month 2</t>
        </is>
      </c>
      <c r="C71" s="42" t="inlineStr">
        <is>
          <t>W6</t>
        </is>
      </c>
      <c r="D71" s="13" t="n">
        <v>46292</v>
      </c>
      <c r="E71" s="42" t="inlineStr">
        <is>
          <t>Ads</t>
        </is>
      </c>
      <c r="F71" s="14" t="inlineStr">
        <is>
          <t>Build the 30-day engagement retargeting audience</t>
        </is>
      </c>
      <c r="G71" s="42" t="inlineStr">
        <is>
          <t>Agency</t>
        </is>
      </c>
      <c r="H71" s="42" t="inlineStr">
        <is>
          <t>One-off</t>
        </is>
      </c>
      <c r="I71" s="42" t="inlineStr">
        <is>
          <t>High</t>
        </is>
      </c>
      <c r="J71" s="42" t="inlineStr">
        <is>
          <t>Not started</t>
        </is>
      </c>
      <c r="K71" s="13" t="n"/>
      <c r="L71" s="14" t="n"/>
    </row>
    <row r="72" ht="15" customHeight="1" s="47">
      <c r="A72" s="42" t="n">
        <v>79</v>
      </c>
      <c r="B72" s="42" t="inlineStr">
        <is>
          <t>Month 2</t>
        </is>
      </c>
      <c r="C72" s="42" t="inlineStr">
        <is>
          <t>W6</t>
        </is>
      </c>
      <c r="D72" s="13" t="n">
        <v>46292</v>
      </c>
      <c r="E72" s="42" t="inlineStr">
        <is>
          <t>Reviews</t>
        </is>
      </c>
      <c r="F72" s="14" t="inlineStr">
        <is>
          <t>Check the ask against the review target and adjust it if it is lagging</t>
        </is>
      </c>
      <c r="G72" s="42" t="inlineStr">
        <is>
          <t>Agency</t>
        </is>
      </c>
      <c r="H72" s="42" t="inlineStr">
        <is>
          <t>Monthly</t>
        </is>
      </c>
      <c r="I72" s="42" t="inlineStr">
        <is>
          <t>High</t>
        </is>
      </c>
      <c r="J72" s="42" t="inlineStr">
        <is>
          <t>Not started</t>
        </is>
      </c>
      <c r="K72" s="13" t="n"/>
      <c r="L72" s="14" t="n"/>
    </row>
    <row r="73" ht="15" customHeight="1" s="47">
      <c r="A73" s="42" t="n">
        <v>80</v>
      </c>
      <c r="B73" s="42" t="inlineStr">
        <is>
          <t>Month 2</t>
        </is>
      </c>
      <c r="C73" s="42" t="inlineStr">
        <is>
          <t>W7</t>
        </is>
      </c>
      <c r="D73" s="13" t="n">
        <v>46299</v>
      </c>
      <c r="E73" s="42" t="inlineStr">
        <is>
          <t>Website</t>
        </is>
      </c>
      <c r="F73" s="14" t="inlineStr">
        <is>
          <t>Build the treatment pages: dermaplaning, electrolysis and Belkyra</t>
        </is>
      </c>
      <c r="G73" s="42" t="inlineStr">
        <is>
          <t>Agency</t>
        </is>
      </c>
      <c r="H73" s="42" t="inlineStr">
        <is>
          <t>One-off</t>
        </is>
      </c>
      <c r="I73" s="42" t="inlineStr">
        <is>
          <t>High</t>
        </is>
      </c>
      <c r="J73" s="42" t="inlineStr">
        <is>
          <t>Not started</t>
        </is>
      </c>
      <c r="K73" s="13" t="n"/>
      <c r="L73" s="14" t="n"/>
    </row>
    <row r="74" ht="15" customHeight="1" s="47">
      <c r="A74" s="42" t="n">
        <v>81</v>
      </c>
      <c r="B74" s="42" t="inlineStr">
        <is>
          <t>Month 2</t>
        </is>
      </c>
      <c r="C74" s="42" t="inlineStr">
        <is>
          <t>W7</t>
        </is>
      </c>
      <c r="D74" s="13" t="n">
        <v>46299</v>
      </c>
      <c r="E74" s="42" t="inlineStr">
        <is>
          <t>Website</t>
        </is>
      </c>
      <c r="F74" s="14" t="inlineStr">
        <is>
          <t>Build the Oakville and surrounding-area page</t>
        </is>
      </c>
      <c r="G74" s="42" t="inlineStr">
        <is>
          <t>Agency</t>
        </is>
      </c>
      <c r="H74" s="42" t="inlineStr">
        <is>
          <t>One-off</t>
        </is>
      </c>
      <c r="I74" s="42" t="inlineStr">
        <is>
          <t>Medium</t>
        </is>
      </c>
      <c r="J74" s="42" t="inlineStr">
        <is>
          <t>Not started</t>
        </is>
      </c>
      <c r="K74" s="13" t="n"/>
      <c r="L74" s="14" t="n"/>
    </row>
    <row r="75" ht="15" customHeight="1" s="47">
      <c r="A75" s="42" t="n">
        <v>82</v>
      </c>
      <c r="B75" s="42" t="inlineStr">
        <is>
          <t>Month 2</t>
        </is>
      </c>
      <c r="C75" s="42" t="inlineStr">
        <is>
          <t>W7</t>
        </is>
      </c>
      <c r="D75" s="13" t="n">
        <v>46299</v>
      </c>
      <c r="E75" s="42" t="inlineStr">
        <is>
          <t>Website</t>
        </is>
      </c>
      <c r="F75" s="14" t="inlineStr">
        <is>
          <t>Mobile speed pass</t>
        </is>
      </c>
      <c r="G75" s="42" t="inlineStr">
        <is>
          <t>Agency</t>
        </is>
      </c>
      <c r="H75" s="42" t="inlineStr">
        <is>
          <t>One-off</t>
        </is>
      </c>
      <c r="I75" s="42" t="inlineStr">
        <is>
          <t>Medium</t>
        </is>
      </c>
      <c r="J75" s="42" t="inlineStr">
        <is>
          <t>Not started</t>
        </is>
      </c>
      <c r="K75" s="13" t="n"/>
      <c r="L75" s="14" t="n"/>
    </row>
    <row r="76" ht="15" customHeight="1" s="47">
      <c r="A76" s="42" t="n">
        <v>83</v>
      </c>
      <c r="B76" s="42" t="inlineStr">
        <is>
          <t>Month 2</t>
        </is>
      </c>
      <c r="C76" s="42" t="inlineStr">
        <is>
          <t>W7</t>
        </is>
      </c>
      <c r="D76" s="13" t="n">
        <v>46299</v>
      </c>
      <c r="E76" s="42" t="inlineStr">
        <is>
          <t>Ads</t>
        </is>
      </c>
      <c r="F76" s="14" t="inlineStr">
        <is>
          <t>Export the patient list from the booking system for the lookalike audience</t>
        </is>
      </c>
      <c r="G76" s="42" t="inlineStr">
        <is>
          <t>Cleo</t>
        </is>
      </c>
      <c r="H76" s="42" t="inlineStr">
        <is>
          <t>One-off</t>
        </is>
      </c>
      <c r="I76" s="42" t="inlineStr">
        <is>
          <t>Medium</t>
        </is>
      </c>
      <c r="J76" s="42" t="inlineStr">
        <is>
          <t>Not started</t>
        </is>
      </c>
      <c r="K76" s="13" t="n"/>
      <c r="L76" s="14" t="n"/>
    </row>
    <row r="77" ht="15" customHeight="1" s="47">
      <c r="A77" s="42" t="n">
        <v>84</v>
      </c>
      <c r="B77" s="42" t="inlineStr">
        <is>
          <t>Month 2</t>
        </is>
      </c>
      <c r="C77" s="42" t="inlineStr">
        <is>
          <t>W7</t>
        </is>
      </c>
      <c r="D77" s="13" t="n">
        <v>46299</v>
      </c>
      <c r="E77" s="42" t="inlineStr">
        <is>
          <t>Ads</t>
        </is>
      </c>
      <c r="F77" s="14" t="inlineStr">
        <is>
          <t>Build the lookalike audience</t>
        </is>
      </c>
      <c r="G77" s="42" t="inlineStr">
        <is>
          <t>Agency</t>
        </is>
      </c>
      <c r="H77" s="42" t="inlineStr">
        <is>
          <t>One-off</t>
        </is>
      </c>
      <c r="I77" s="42" t="inlineStr">
        <is>
          <t>Medium</t>
        </is>
      </c>
      <c r="J77" s="42" t="inlineStr">
        <is>
          <t>Not started</t>
        </is>
      </c>
      <c r="K77" s="13" t="n"/>
      <c r="L77" s="14" t="n"/>
    </row>
    <row r="78" ht="15" customHeight="1" s="47">
      <c r="A78" s="42" t="n">
        <v>85</v>
      </c>
      <c r="B78" s="42" t="inlineStr">
        <is>
          <t>Month 2</t>
        </is>
      </c>
      <c r="C78" s="42" t="inlineStr">
        <is>
          <t>W7</t>
        </is>
      </c>
      <c r="D78" s="13" t="n">
        <v>46299</v>
      </c>
      <c r="E78" s="42" t="inlineStr">
        <is>
          <t>Ads</t>
        </is>
      </c>
      <c r="F78" s="14" t="inlineStr">
        <is>
          <t>Launch three or four ad creatives pulled from existing carousels</t>
        </is>
      </c>
      <c r="G78" s="42" t="inlineStr">
        <is>
          <t>Agency</t>
        </is>
      </c>
      <c r="H78" s="42" t="inlineStr">
        <is>
          <t>One-off</t>
        </is>
      </c>
      <c r="I78" s="42" t="inlineStr">
        <is>
          <t>High</t>
        </is>
      </c>
      <c r="J78" s="42" t="inlineStr">
        <is>
          <t>Not started</t>
        </is>
      </c>
      <c r="K78" s="13" t="n"/>
      <c r="L78" s="14" t="n"/>
    </row>
    <row r="79" ht="15" customHeight="1" s="47">
      <c r="A79" s="42" t="n">
        <v>86</v>
      </c>
      <c r="B79" s="42" t="inlineStr">
        <is>
          <t>Month 2</t>
        </is>
      </c>
      <c r="C79" s="42" t="inlineStr">
        <is>
          <t>W8</t>
        </is>
      </c>
      <c r="D79" s="13" t="n">
        <v>46306</v>
      </c>
      <c r="E79" s="42" t="inlineStr">
        <is>
          <t>Website</t>
        </is>
      </c>
      <c r="F79" s="14" t="inlineStr">
        <is>
          <t>Final content and compliance review of every page before launch</t>
        </is>
      </c>
      <c r="G79" s="42" t="inlineStr">
        <is>
          <t>Both</t>
        </is>
      </c>
      <c r="H79" s="42" t="inlineStr">
        <is>
          <t>One-off</t>
        </is>
      </c>
      <c r="I79" s="42" t="inlineStr">
        <is>
          <t>High</t>
        </is>
      </c>
      <c r="J79" s="42" t="inlineStr">
        <is>
          <t>Not started</t>
        </is>
      </c>
      <c r="K79" s="13" t="n"/>
      <c r="L79" s="14" t="n"/>
    </row>
    <row r="80" ht="15" customHeight="1" s="47">
      <c r="A80" s="42" t="n">
        <v>87</v>
      </c>
      <c r="B80" s="42" t="inlineStr">
        <is>
          <t>Month 2</t>
        </is>
      </c>
      <c r="C80" s="42" t="inlineStr">
        <is>
          <t>W8</t>
        </is>
      </c>
      <c r="D80" s="13" t="n">
        <v>46306</v>
      </c>
      <c r="E80" s="42" t="inlineStr">
        <is>
          <t>Website</t>
        </is>
      </c>
      <c r="F80" s="14" t="inlineStr">
        <is>
          <t>LAUNCH: site live, Search Console verified, sitemap submitted, analytics running</t>
        </is>
      </c>
      <c r="G80" s="42" t="inlineStr">
        <is>
          <t>Agency</t>
        </is>
      </c>
      <c r="H80" s="42" t="inlineStr">
        <is>
          <t>One-off</t>
        </is>
      </c>
      <c r="I80" s="42" t="inlineStr">
        <is>
          <t>High</t>
        </is>
      </c>
      <c r="J80" s="42" t="inlineStr">
        <is>
          <t>Not started</t>
        </is>
      </c>
      <c r="K80" s="13" t="n"/>
      <c r="L80" s="14" t="n"/>
    </row>
    <row r="81" ht="15" customHeight="1" s="47">
      <c r="A81" s="42" t="n">
        <v>88</v>
      </c>
      <c r="B81" s="42" t="inlineStr">
        <is>
          <t>Month 2</t>
        </is>
      </c>
      <c r="C81" s="42" t="inlineStr">
        <is>
          <t>W8</t>
        </is>
      </c>
      <c r="D81" s="13" t="n">
        <v>46306</v>
      </c>
      <c r="E81" s="42" t="inlineStr">
        <is>
          <t>Website</t>
        </is>
      </c>
      <c r="F81" s="14" t="inlineStr">
        <is>
          <t>Repoint the GBP website field at the live site</t>
        </is>
      </c>
      <c r="G81" s="42" t="inlineStr">
        <is>
          <t>Agency</t>
        </is>
      </c>
      <c r="H81" s="42" t="inlineStr">
        <is>
          <t>One-off</t>
        </is>
      </c>
      <c r="I81" s="42" t="inlineStr">
        <is>
          <t>High</t>
        </is>
      </c>
      <c r="J81" s="42" t="inlineStr">
        <is>
          <t>Not started</t>
        </is>
      </c>
      <c r="K81" s="13" t="n"/>
      <c r="L81" s="14" t="n"/>
    </row>
    <row r="82" ht="15" customHeight="1" s="47">
      <c r="A82" s="42" t="n">
        <v>89</v>
      </c>
      <c r="B82" s="42" t="inlineStr">
        <is>
          <t>Month 2</t>
        </is>
      </c>
      <c r="C82" s="42" t="inlineStr">
        <is>
          <t>W8</t>
        </is>
      </c>
      <c r="D82" s="13" t="n">
        <v>46306</v>
      </c>
      <c r="E82" s="42" t="inlineStr">
        <is>
          <t>Citations</t>
        </is>
      </c>
      <c r="F82" s="14" t="inlineStr">
        <is>
          <t>Update every directory listing to the new website URL</t>
        </is>
      </c>
      <c r="G82" s="42" t="inlineStr">
        <is>
          <t>Agency</t>
        </is>
      </c>
      <c r="H82" s="42" t="inlineStr">
        <is>
          <t>One-off</t>
        </is>
      </c>
      <c r="I82" s="42" t="inlineStr">
        <is>
          <t>Medium</t>
        </is>
      </c>
      <c r="J82" s="42" t="inlineStr">
        <is>
          <t>Not started</t>
        </is>
      </c>
      <c r="K82" s="13" t="n"/>
      <c r="L82" s="14" t="n"/>
    </row>
    <row r="83" ht="15" customHeight="1" s="47">
      <c r="A83" s="42" t="n">
        <v>90</v>
      </c>
      <c r="B83" s="42" t="inlineStr">
        <is>
          <t>Month 2</t>
        </is>
      </c>
      <c r="C83" s="42" t="inlineStr">
        <is>
          <t>W8</t>
        </is>
      </c>
      <c r="D83" s="13" t="n">
        <v>46306</v>
      </c>
      <c r="E83" s="42" t="inlineStr">
        <is>
          <t>Citations</t>
        </is>
      </c>
      <c r="F83" s="14" t="inlineStr">
        <is>
          <t>Update every citation built before launch from the booking link to the live site URL</t>
        </is>
      </c>
      <c r="G83" s="42" t="inlineStr">
        <is>
          <t>Agency</t>
        </is>
      </c>
      <c r="H83" s="42" t="inlineStr">
        <is>
          <t>One-off</t>
        </is>
      </c>
      <c r="I83" s="42" t="inlineStr">
        <is>
          <t>High</t>
        </is>
      </c>
      <c r="J83" s="42" t="inlineStr">
        <is>
          <t>Not started</t>
        </is>
      </c>
      <c r="K83" s="13" t="n"/>
      <c r="L83" s="14" t="n"/>
    </row>
    <row r="84" ht="15" customHeight="1" s="47">
      <c r="A84" s="42" t="n">
        <v>91</v>
      </c>
      <c r="B84" s="42" t="inlineStr">
        <is>
          <t>Month 2</t>
        </is>
      </c>
      <c r="C84" s="42" t="inlineStr">
        <is>
          <t>W8</t>
        </is>
      </c>
      <c r="D84" s="13" t="n">
        <v>46306</v>
      </c>
      <c r="E84" s="42" t="inlineStr">
        <is>
          <t>Instagram</t>
        </is>
      </c>
      <c r="F84" s="14" t="inlineStr">
        <is>
          <t>Update the link in bio to the live site</t>
        </is>
      </c>
      <c r="G84" s="42" t="inlineStr">
        <is>
          <t>Agency</t>
        </is>
      </c>
      <c r="H84" s="42" t="inlineStr">
        <is>
          <t>One-off</t>
        </is>
      </c>
      <c r="I84" s="42" t="inlineStr">
        <is>
          <t>High</t>
        </is>
      </c>
      <c r="J84" s="42" t="inlineStr">
        <is>
          <t>Not started</t>
        </is>
      </c>
      <c r="K84" s="13" t="n"/>
      <c r="L84" s="14" t="n"/>
    </row>
    <row r="85" ht="15" customHeight="1" s="47">
      <c r="A85" s="42" t="n">
        <v>92</v>
      </c>
      <c r="B85" s="42" t="inlineStr">
        <is>
          <t>Month 2</t>
        </is>
      </c>
      <c r="C85" s="42" t="inlineStr">
        <is>
          <t>W8</t>
        </is>
      </c>
      <c r="D85" s="13" t="n">
        <v>46306</v>
      </c>
      <c r="E85" s="42" t="inlineStr">
        <is>
          <t>Measurement</t>
        </is>
      </c>
      <c r="F85" s="14" t="inlineStr">
        <is>
          <t>Confirm Search Console and analytics are both recording on the live domain</t>
        </is>
      </c>
      <c r="G85" s="42" t="inlineStr">
        <is>
          <t>Agency</t>
        </is>
      </c>
      <c r="H85" s="42" t="inlineStr">
        <is>
          <t>One-off</t>
        </is>
      </c>
      <c r="I85" s="42" t="inlineStr">
        <is>
          <t>High</t>
        </is>
      </c>
      <c r="J85" s="42" t="inlineStr">
        <is>
          <t>Not started</t>
        </is>
      </c>
      <c r="K85" s="13" t="n"/>
      <c r="L85" s="14" t="n"/>
    </row>
    <row r="86" ht="15" customHeight="1" s="47">
      <c r="A86" s="42" t="n">
        <v>93</v>
      </c>
      <c r="B86" s="42" t="inlineStr">
        <is>
          <t>Month 2</t>
        </is>
      </c>
      <c r="C86" s="42" t="inlineStr">
        <is>
          <t>W8</t>
        </is>
      </c>
      <c r="D86" s="13" t="n">
        <v>46306</v>
      </c>
      <c r="E86" s="42" t="inlineStr">
        <is>
          <t>Ads</t>
        </is>
      </c>
      <c r="F86" s="14" t="inlineStr">
        <is>
          <t>Fortnightly ad review: kill anything below average cost per DM, reallocate</t>
        </is>
      </c>
      <c r="G86" s="42" t="inlineStr">
        <is>
          <t>Agency</t>
        </is>
      </c>
      <c r="H86" s="42" t="inlineStr">
        <is>
          <t>Fortnightly</t>
        </is>
      </c>
      <c r="I86" s="42" t="inlineStr">
        <is>
          <t>High</t>
        </is>
      </c>
      <c r="J86" s="42" t="inlineStr">
        <is>
          <t>Not started</t>
        </is>
      </c>
      <c r="K86" s="13" t="n"/>
      <c r="L86" s="14" t="n"/>
    </row>
    <row r="87" ht="15" customHeight="1" s="47">
      <c r="A87" s="42" t="n">
        <v>94</v>
      </c>
      <c r="B87" s="42" t="inlineStr">
        <is>
          <t>Month 3</t>
        </is>
      </c>
      <c r="C87" s="42" t="inlineStr">
        <is>
          <t>W9</t>
        </is>
      </c>
      <c r="D87" s="13" t="n">
        <v>46313</v>
      </c>
      <c r="E87" s="42" t="inlineStr">
        <is>
          <t>Website</t>
        </is>
      </c>
      <c r="F87" s="14" t="inlineStr">
        <is>
          <t>Confirm every page is indexed in Search Console and fix what is not</t>
        </is>
      </c>
      <c r="G87" s="42" t="inlineStr">
        <is>
          <t>Agency</t>
        </is>
      </c>
      <c r="H87" s="42" t="inlineStr">
        <is>
          <t>One-off</t>
        </is>
      </c>
      <c r="I87" s="42" t="inlineStr">
        <is>
          <t>High</t>
        </is>
      </c>
      <c r="J87" s="42" t="inlineStr">
        <is>
          <t>Not started</t>
        </is>
      </c>
      <c r="K87" s="13" t="n"/>
      <c r="L87" s="14" t="n"/>
    </row>
    <row r="88" ht="15" customHeight="1" s="47">
      <c r="A88" s="42" t="n">
        <v>95</v>
      </c>
      <c r="B88" s="42" t="inlineStr">
        <is>
          <t>Month 3</t>
        </is>
      </c>
      <c r="C88" s="42" t="inlineStr">
        <is>
          <t>W9</t>
        </is>
      </c>
      <c r="D88" s="13" t="n">
        <v>46313</v>
      </c>
      <c r="E88" s="42" t="inlineStr">
        <is>
          <t>Website</t>
        </is>
      </c>
      <c r="F88" s="14" t="inlineStr">
        <is>
          <t>On-page pass on the home page: title, H1, opening copy, internal links</t>
        </is>
      </c>
      <c r="G88" s="42" t="inlineStr">
        <is>
          <t>Agency</t>
        </is>
      </c>
      <c r="H88" s="42" t="inlineStr">
        <is>
          <t>One-off</t>
        </is>
      </c>
      <c r="I88" s="42" t="inlineStr">
        <is>
          <t>High</t>
        </is>
      </c>
      <c r="J88" s="42" t="inlineStr">
        <is>
          <t>Not started</t>
        </is>
      </c>
      <c r="K88" s="13" t="n"/>
      <c r="L88" s="14" t="n"/>
    </row>
    <row r="89" ht="15" customHeight="1" s="47">
      <c r="A89" s="42" t="n">
        <v>96</v>
      </c>
      <c r="B89" s="42" t="inlineStr">
        <is>
          <t>Month 3</t>
        </is>
      </c>
      <c r="C89" s="42" t="inlineStr">
        <is>
          <t>W9</t>
        </is>
      </c>
      <c r="D89" s="13" t="n">
        <v>46313</v>
      </c>
      <c r="E89" s="42" t="inlineStr">
        <is>
          <t>Local links</t>
        </is>
      </c>
      <c r="F89" s="14" t="inlineStr">
        <is>
          <t>Submit to the Oakville business directories</t>
        </is>
      </c>
      <c r="G89" s="42" t="inlineStr">
        <is>
          <t>Agency</t>
        </is>
      </c>
      <c r="H89" s="42" t="inlineStr">
        <is>
          <t>One-off</t>
        </is>
      </c>
      <c r="I89" s="42" t="inlineStr">
        <is>
          <t>Medium</t>
        </is>
      </c>
      <c r="J89" s="42" t="inlineStr">
        <is>
          <t>Not started</t>
        </is>
      </c>
      <c r="K89" s="13" t="n"/>
      <c r="L89" s="14" t="n"/>
    </row>
    <row r="90" ht="15" customHeight="1" s="47">
      <c r="A90" s="42" t="n">
        <v>97</v>
      </c>
      <c r="B90" s="42" t="inlineStr">
        <is>
          <t>Month 3</t>
        </is>
      </c>
      <c r="C90" s="42" t="inlineStr">
        <is>
          <t>W9</t>
        </is>
      </c>
      <c r="D90" s="13" t="n">
        <v>46313</v>
      </c>
      <c r="E90" s="42" t="inlineStr">
        <is>
          <t>Local links</t>
        </is>
      </c>
      <c r="F90" s="14" t="inlineStr">
        <is>
          <t>Ask Allure about a cross-link between the two businesses</t>
        </is>
      </c>
      <c r="G90" s="42" t="inlineStr">
        <is>
          <t>Cleo</t>
        </is>
      </c>
      <c r="H90" s="42" t="inlineStr">
        <is>
          <t>One-off</t>
        </is>
      </c>
      <c r="I90" s="42" t="inlineStr">
        <is>
          <t>Low</t>
        </is>
      </c>
      <c r="J90" s="42" t="inlineStr">
        <is>
          <t>Not started</t>
        </is>
      </c>
      <c r="K90" s="13" t="n"/>
      <c r="L90" s="14" t="n"/>
    </row>
    <row r="91" ht="15" customHeight="1" s="47">
      <c r="A91" s="42" t="n">
        <v>98</v>
      </c>
      <c r="B91" s="42" t="inlineStr">
        <is>
          <t>Month 3</t>
        </is>
      </c>
      <c r="C91" s="42" t="inlineStr">
        <is>
          <t>W9</t>
        </is>
      </c>
      <c r="D91" s="13" t="n">
        <v>46313</v>
      </c>
      <c r="E91" s="42" t="inlineStr">
        <is>
          <t>Measurement</t>
        </is>
      </c>
      <c r="F91" s="14" t="inlineStr">
        <is>
          <t>First post-launch read on Search Console impressions and queries</t>
        </is>
      </c>
      <c r="G91" s="42" t="inlineStr">
        <is>
          <t>Agency</t>
        </is>
      </c>
      <c r="H91" s="42" t="inlineStr">
        <is>
          <t>One-off</t>
        </is>
      </c>
      <c r="I91" s="42" t="inlineStr">
        <is>
          <t>Medium</t>
        </is>
      </c>
      <c r="J91" s="42" t="inlineStr">
        <is>
          <t>Not started</t>
        </is>
      </c>
      <c r="K91" s="13" t="n"/>
      <c r="L91" s="14" t="n"/>
    </row>
    <row r="92" ht="15" customHeight="1" s="47">
      <c r="A92" s="42" t="n">
        <v>99</v>
      </c>
      <c r="B92" s="42" t="inlineStr">
        <is>
          <t>Month 3</t>
        </is>
      </c>
      <c r="C92" s="42" t="inlineStr">
        <is>
          <t>W10</t>
        </is>
      </c>
      <c r="D92" s="13" t="n">
        <v>46320</v>
      </c>
      <c r="E92" s="42" t="inlineStr">
        <is>
          <t>Website</t>
        </is>
      </c>
      <c r="F92" s="14" t="inlineStr">
        <is>
          <t>On-page pass on the four highest-intent treatment pages</t>
        </is>
      </c>
      <c r="G92" s="42" t="inlineStr">
        <is>
          <t>Agency</t>
        </is>
      </c>
      <c r="H92" s="42" t="inlineStr">
        <is>
          <t>One-off</t>
        </is>
      </c>
      <c r="I92" s="42" t="inlineStr">
        <is>
          <t>High</t>
        </is>
      </c>
      <c r="J92" s="42" t="inlineStr">
        <is>
          <t>Not started</t>
        </is>
      </c>
      <c r="K92" s="13" t="n"/>
      <c r="L92" s="14" t="n"/>
    </row>
    <row r="93" ht="15" customHeight="1" s="47">
      <c r="A93" s="42" t="n">
        <v>100</v>
      </c>
      <c r="B93" s="42" t="inlineStr">
        <is>
          <t>Month 3</t>
        </is>
      </c>
      <c r="C93" s="42" t="inlineStr">
        <is>
          <t>W10</t>
        </is>
      </c>
      <c r="D93" s="13" t="n">
        <v>46320</v>
      </c>
      <c r="E93" s="42" t="inlineStr">
        <is>
          <t>Website</t>
        </is>
      </c>
      <c r="F93" s="14" t="inlineStr">
        <is>
          <t>Add FAQ blocks with FAQ schema to every treatment page</t>
        </is>
      </c>
      <c r="G93" s="42" t="inlineStr">
        <is>
          <t>Agency</t>
        </is>
      </c>
      <c r="H93" s="42" t="inlineStr">
        <is>
          <t>One-off</t>
        </is>
      </c>
      <c r="I93" s="42" t="inlineStr">
        <is>
          <t>Medium</t>
        </is>
      </c>
      <c r="J93" s="42" t="inlineStr">
        <is>
          <t>Not started</t>
        </is>
      </c>
      <c r="K93" s="13" t="n"/>
      <c r="L93" s="14" t="n"/>
    </row>
    <row r="94" ht="15" customHeight="1" s="47">
      <c r="A94" s="42" t="n">
        <v>101</v>
      </c>
      <c r="B94" s="42" t="inlineStr">
        <is>
          <t>Month 3</t>
        </is>
      </c>
      <c r="C94" s="42" t="inlineStr">
        <is>
          <t>W10</t>
        </is>
      </c>
      <c r="D94" s="13" t="n">
        <v>46320</v>
      </c>
      <c r="E94" s="42" t="inlineStr">
        <is>
          <t>Content</t>
        </is>
      </c>
      <c r="F94" s="14" t="inlineStr">
        <is>
          <t>Write the first question-intent article and link it to its treatment page</t>
        </is>
      </c>
      <c r="G94" s="42" t="inlineStr">
        <is>
          <t>Agency</t>
        </is>
      </c>
      <c r="H94" s="42" t="inlineStr">
        <is>
          <t>One-off</t>
        </is>
      </c>
      <c r="I94" s="42" t="inlineStr">
        <is>
          <t>Medium</t>
        </is>
      </c>
      <c r="J94" s="42" t="inlineStr">
        <is>
          <t>Not started</t>
        </is>
      </c>
      <c r="K94" s="13" t="n"/>
      <c r="L94" s="14" t="n"/>
    </row>
    <row r="95" ht="15" customHeight="1" s="47">
      <c r="A95" s="42" t="n">
        <v>102</v>
      </c>
      <c r="B95" s="42" t="inlineStr">
        <is>
          <t>Month 3</t>
        </is>
      </c>
      <c r="C95" s="42" t="inlineStr">
        <is>
          <t>W10</t>
        </is>
      </c>
      <c r="D95" s="13" t="n">
        <v>46320</v>
      </c>
      <c r="E95" s="42" t="inlineStr">
        <is>
          <t>Local links</t>
        </is>
      </c>
      <c r="F95" s="14" t="inlineStr">
        <is>
          <t>Approach Halton-area partners for mentions and links</t>
        </is>
      </c>
      <c r="G95" s="42" t="inlineStr">
        <is>
          <t>Agency</t>
        </is>
      </c>
      <c r="H95" s="42" t="inlineStr">
        <is>
          <t>One-off</t>
        </is>
      </c>
      <c r="I95" s="42" t="inlineStr">
        <is>
          <t>Medium</t>
        </is>
      </c>
      <c r="J95" s="42" t="inlineStr">
        <is>
          <t>Not started</t>
        </is>
      </c>
      <c r="K95" s="13" t="n"/>
      <c r="L95" s="14" t="n"/>
    </row>
    <row r="96" ht="15" customHeight="1" s="47">
      <c r="A96" s="42" t="n">
        <v>103</v>
      </c>
      <c r="B96" s="42" t="inlineStr">
        <is>
          <t>Month 3</t>
        </is>
      </c>
      <c r="C96" s="42" t="inlineStr">
        <is>
          <t>W10</t>
        </is>
      </c>
      <c r="D96" s="13" t="n">
        <v>46320</v>
      </c>
      <c r="E96" s="42" t="inlineStr">
        <is>
          <t>Google profile</t>
        </is>
      </c>
      <c r="F96" s="14" t="inlineStr">
        <is>
          <t>Add the weight-loss service entry to GBP ahead of the launch</t>
        </is>
      </c>
      <c r="G96" s="42" t="inlineStr">
        <is>
          <t>Agency</t>
        </is>
      </c>
      <c r="H96" s="42" t="inlineStr">
        <is>
          <t>One-off</t>
        </is>
      </c>
      <c r="I96" s="42" t="inlineStr">
        <is>
          <t>Medium</t>
        </is>
      </c>
      <c r="J96" s="42" t="inlineStr">
        <is>
          <t>Not started</t>
        </is>
      </c>
      <c r="K96" s="13" t="n"/>
      <c r="L96" s="14" t="n"/>
    </row>
    <row r="97" ht="15" customHeight="1" s="47">
      <c r="A97" s="42" t="n">
        <v>104</v>
      </c>
      <c r="B97" s="42" t="inlineStr">
        <is>
          <t>Month 3</t>
        </is>
      </c>
      <c r="C97" s="42" t="inlineStr">
        <is>
          <t>W11</t>
        </is>
      </c>
      <c r="D97" s="13" t="n">
        <v>46327</v>
      </c>
      <c r="E97" s="42" t="inlineStr">
        <is>
          <t>Website</t>
        </is>
      </c>
      <c r="F97" s="14" t="inlineStr">
        <is>
          <t>Fix whatever Search Console flags: coverage, mobile usability, core web vitals</t>
        </is>
      </c>
      <c r="G97" s="42" t="inlineStr">
        <is>
          <t>Agency</t>
        </is>
      </c>
      <c r="H97" s="42" t="inlineStr">
        <is>
          <t>One-off</t>
        </is>
      </c>
      <c r="I97" s="42" t="inlineStr">
        <is>
          <t>High</t>
        </is>
      </c>
      <c r="J97" s="42" t="inlineStr">
        <is>
          <t>Not started</t>
        </is>
      </c>
      <c r="K97" s="13" t="n"/>
      <c r="L97" s="14" t="n"/>
    </row>
    <row r="98" ht="15" customHeight="1" s="47">
      <c r="A98" s="42" t="n">
        <v>105</v>
      </c>
      <c r="B98" s="42" t="inlineStr">
        <is>
          <t>Month 3</t>
        </is>
      </c>
      <c r="C98" s="42" t="inlineStr">
        <is>
          <t>W11</t>
        </is>
      </c>
      <c r="D98" s="13" t="n">
        <v>46327</v>
      </c>
      <c r="E98" s="42" t="inlineStr">
        <is>
          <t>Content</t>
        </is>
      </c>
      <c r="F98" s="14" t="inlineStr">
        <is>
          <t>Write the second question-intent article</t>
        </is>
      </c>
      <c r="G98" s="42" t="inlineStr">
        <is>
          <t>Agency</t>
        </is>
      </c>
      <c r="H98" s="42" t="inlineStr">
        <is>
          <t>One-off</t>
        </is>
      </c>
      <c r="I98" s="42" t="inlineStr">
        <is>
          <t>Medium</t>
        </is>
      </c>
      <c r="J98" s="42" t="inlineStr">
        <is>
          <t>Not started</t>
        </is>
      </c>
      <c r="K98" s="13" t="n"/>
      <c r="L98" s="14" t="n"/>
    </row>
    <row r="99" ht="15" customHeight="1" s="47">
      <c r="A99" s="42" t="n">
        <v>106</v>
      </c>
      <c r="B99" s="42" t="inlineStr">
        <is>
          <t>Month 3</t>
        </is>
      </c>
      <c r="C99" s="42" t="inlineStr">
        <is>
          <t>W11</t>
        </is>
      </c>
      <c r="D99" s="13" t="n">
        <v>46327</v>
      </c>
      <c r="E99" s="42" t="inlineStr">
        <is>
          <t>Ads</t>
        </is>
      </c>
      <c r="F99" s="14" t="inlineStr">
        <is>
          <t>Fortnightly ad review: kill anything below average cost per DM, reallocate</t>
        </is>
      </c>
      <c r="G99" s="42" t="inlineStr">
        <is>
          <t>Agency</t>
        </is>
      </c>
      <c r="H99" s="42" t="inlineStr">
        <is>
          <t>Fortnightly</t>
        </is>
      </c>
      <c r="I99" s="42" t="inlineStr">
        <is>
          <t>High</t>
        </is>
      </c>
      <c r="J99" s="42" t="inlineStr">
        <is>
          <t>Not started</t>
        </is>
      </c>
      <c r="K99" s="13" t="n"/>
      <c r="L99" s="14" t="n"/>
    </row>
    <row r="100" ht="15" customHeight="1" s="47">
      <c r="A100" s="42" t="n">
        <v>107</v>
      </c>
      <c r="B100" s="42" t="inlineStr">
        <is>
          <t>Month 3</t>
        </is>
      </c>
      <c r="C100" s="42" t="inlineStr">
        <is>
          <t>W11</t>
        </is>
      </c>
      <c r="D100" s="13" t="n">
        <v>46327</v>
      </c>
      <c r="E100" s="42" t="inlineStr">
        <is>
          <t>Reviews</t>
        </is>
      </c>
      <c r="F100" s="14" t="inlineStr">
        <is>
          <t>Check the ask conversion rate and rewrite the message if it is under 30 per cent</t>
        </is>
      </c>
      <c r="G100" s="42" t="inlineStr">
        <is>
          <t>Agency</t>
        </is>
      </c>
      <c r="H100" s="42" t="inlineStr">
        <is>
          <t>One-off</t>
        </is>
      </c>
      <c r="I100" s="42" t="inlineStr">
        <is>
          <t>High</t>
        </is>
      </c>
      <c r="J100" s="42" t="inlineStr">
        <is>
          <t>Not started</t>
        </is>
      </c>
      <c r="K100" s="13" t="n"/>
      <c r="L100" s="14" t="n"/>
    </row>
    <row r="101" ht="15" customHeight="1" s="47">
      <c r="A101" s="42" t="n">
        <v>108</v>
      </c>
      <c r="B101" s="42" t="inlineStr">
        <is>
          <t>Month 3</t>
        </is>
      </c>
      <c r="C101" s="42" t="inlineStr">
        <is>
          <t>W12</t>
        </is>
      </c>
      <c r="D101" s="13" t="n">
        <v>46334</v>
      </c>
      <c r="E101" s="42" t="inlineStr">
        <is>
          <t>Measurement</t>
        </is>
      </c>
      <c r="F101" s="14" t="inlineStr">
        <is>
          <t>Month three review: every number against the week-one baseline</t>
        </is>
      </c>
      <c r="G101" s="42" t="inlineStr">
        <is>
          <t>Agency</t>
        </is>
      </c>
      <c r="H101" s="42" t="inlineStr">
        <is>
          <t>Monthly</t>
        </is>
      </c>
      <c r="I101" s="42" t="inlineStr">
        <is>
          <t>High</t>
        </is>
      </c>
      <c r="J101" s="42" t="inlineStr">
        <is>
          <t>Not started</t>
        </is>
      </c>
      <c r="K101" s="13" t="n"/>
      <c r="L101" s="14" t="n"/>
    </row>
    <row r="102" ht="15" customHeight="1" s="47">
      <c r="A102" s="42" t="n">
        <v>109</v>
      </c>
      <c r="B102" s="42" t="inlineStr">
        <is>
          <t>Month 3</t>
        </is>
      </c>
      <c r="C102" s="42" t="inlineStr">
        <is>
          <t>W12</t>
        </is>
      </c>
      <c r="D102" s="13" t="n">
        <v>46334</v>
      </c>
      <c r="E102" s="42" t="inlineStr">
        <is>
          <t>Measurement</t>
        </is>
      </c>
      <c r="F102" s="14" t="inlineStr">
        <is>
          <t>Rank check on the map pack terms and the page terms</t>
        </is>
      </c>
      <c r="G102" s="42" t="inlineStr">
        <is>
          <t>Agency</t>
        </is>
      </c>
      <c r="H102" s="42" t="inlineStr">
        <is>
          <t>Monthly</t>
        </is>
      </c>
      <c r="I102" s="42" t="inlineStr">
        <is>
          <t>High</t>
        </is>
      </c>
      <c r="J102" s="42" t="inlineStr">
        <is>
          <t>Not started</t>
        </is>
      </c>
      <c r="K102" s="13" t="n"/>
      <c r="L102" s="14" t="n"/>
    </row>
    <row r="103" ht="15" customHeight="1" s="47">
      <c r="A103" s="42" t="n">
        <v>110</v>
      </c>
      <c r="B103" s="42" t="inlineStr">
        <is>
          <t>Month 3</t>
        </is>
      </c>
      <c r="C103" s="42" t="inlineStr">
        <is>
          <t>W12</t>
        </is>
      </c>
      <c r="D103" s="13" t="n">
        <v>46334</v>
      </c>
      <c r="E103" s="42" t="inlineStr">
        <is>
          <t>Content</t>
        </is>
      </c>
      <c r="F103" s="14" t="inlineStr">
        <is>
          <t>Write the third question-intent article</t>
        </is>
      </c>
      <c r="G103" s="42" t="inlineStr">
        <is>
          <t>Agency</t>
        </is>
      </c>
      <c r="H103" s="42" t="inlineStr">
        <is>
          <t>One-off</t>
        </is>
      </c>
      <c r="I103" s="42" t="inlineStr">
        <is>
          <t>Medium</t>
        </is>
      </c>
      <c r="J103" s="42" t="inlineStr">
        <is>
          <t>Not started</t>
        </is>
      </c>
      <c r="K103" s="13" t="n"/>
      <c r="L103" s="14" t="n"/>
    </row>
    <row r="104" ht="15" customHeight="1" s="47">
      <c r="A104" s="42" t="n">
        <v>111</v>
      </c>
      <c r="B104" s="42" t="inlineStr">
        <is>
          <t>Month 3</t>
        </is>
      </c>
      <c r="C104" s="42" t="inlineStr">
        <is>
          <t>W12</t>
        </is>
      </c>
      <c r="D104" s="13" t="n">
        <v>46334</v>
      </c>
      <c r="E104" s="42" t="inlineStr">
        <is>
          <t>Local links</t>
        </is>
      </c>
      <c r="F104" s="14" t="inlineStr">
        <is>
          <t>Chase every unanswered link approach</t>
        </is>
      </c>
      <c r="G104" s="42" t="inlineStr">
        <is>
          <t>Agency</t>
        </is>
      </c>
      <c r="H104" s="42" t="inlineStr">
        <is>
          <t>One-off</t>
        </is>
      </c>
      <c r="I104" s="42" t="inlineStr">
        <is>
          <t>Low</t>
        </is>
      </c>
      <c r="J104" s="42" t="inlineStr">
        <is>
          <t>Not started</t>
        </is>
      </c>
      <c r="K104" s="13" t="n"/>
      <c r="L104" s="14" t="n"/>
    </row>
    <row r="105" ht="15" customHeight="1" s="47">
      <c r="A105" s="42" t="n">
        <v>112</v>
      </c>
      <c r="B105" s="42" t="inlineStr">
        <is>
          <t>Month 4</t>
        </is>
      </c>
      <c r="C105" s="42" t="inlineStr">
        <is>
          <t>W13</t>
        </is>
      </c>
      <c r="D105" s="13" t="n">
        <v>46341</v>
      </c>
      <c r="E105" s="42" t="inlineStr">
        <is>
          <t>Website</t>
        </is>
      </c>
      <c r="F105" s="14" t="inlineStr">
        <is>
          <t>Build the weight-loss pre-launch page</t>
        </is>
      </c>
      <c r="G105" s="42" t="inlineStr">
        <is>
          <t>Agency</t>
        </is>
      </c>
      <c r="H105" s="42" t="inlineStr">
        <is>
          <t>One-off</t>
        </is>
      </c>
      <c r="I105" s="42" t="inlineStr">
        <is>
          <t>Medium</t>
        </is>
      </c>
      <c r="J105" s="42" t="inlineStr">
        <is>
          <t>Not started</t>
        </is>
      </c>
      <c r="K105" s="13" t="n"/>
      <c r="L105" s="14" t="n"/>
    </row>
    <row r="106" ht="15" customHeight="1" s="47">
      <c r="A106" s="42" t="n">
        <v>113</v>
      </c>
      <c r="B106" s="42" t="inlineStr">
        <is>
          <t>Month 4</t>
        </is>
      </c>
      <c r="C106" s="42" t="inlineStr">
        <is>
          <t>W13</t>
        </is>
      </c>
      <c r="D106" s="13" t="n">
        <v>46341</v>
      </c>
      <c r="E106" s="42" t="inlineStr">
        <is>
          <t>Content</t>
        </is>
      </c>
      <c r="F106" s="14" t="inlineStr">
        <is>
          <t>Write the fourth article from the questions you get asked in consults</t>
        </is>
      </c>
      <c r="G106" s="42" t="inlineStr">
        <is>
          <t>Agency</t>
        </is>
      </c>
      <c r="H106" s="42" t="inlineStr">
        <is>
          <t>One-off</t>
        </is>
      </c>
      <c r="I106" s="42" t="inlineStr">
        <is>
          <t>Medium</t>
        </is>
      </c>
      <c r="J106" s="42" t="inlineStr">
        <is>
          <t>Not started</t>
        </is>
      </c>
      <c r="K106" s="13" t="n"/>
      <c r="L106" s="14" t="n"/>
    </row>
    <row r="107" ht="15" customHeight="1" s="47">
      <c r="A107" s="42" t="n">
        <v>114</v>
      </c>
      <c r="B107" s="42" t="inlineStr">
        <is>
          <t>Month 4</t>
        </is>
      </c>
      <c r="C107" s="42" t="inlineStr">
        <is>
          <t>W13</t>
        </is>
      </c>
      <c r="D107" s="13" t="n">
        <v>46341</v>
      </c>
      <c r="E107" s="42" t="inlineStr">
        <is>
          <t>Instagram</t>
        </is>
      </c>
      <c r="F107" s="14" t="inlineStr">
        <is>
          <t>Review which posts drove profile visits and rebalance the calendar</t>
        </is>
      </c>
      <c r="G107" s="42" t="inlineStr">
        <is>
          <t>Agency</t>
        </is>
      </c>
      <c r="H107" s="42" t="inlineStr">
        <is>
          <t>Monthly</t>
        </is>
      </c>
      <c r="I107" s="42" t="inlineStr">
        <is>
          <t>Medium</t>
        </is>
      </c>
      <c r="J107" s="42" t="inlineStr">
        <is>
          <t>Not started</t>
        </is>
      </c>
      <c r="K107" s="13" t="n"/>
      <c r="L107" s="14" t="n"/>
    </row>
    <row r="108" ht="15" customHeight="1" s="47">
      <c r="A108" s="42" t="n">
        <v>115</v>
      </c>
      <c r="B108" s="42" t="inlineStr">
        <is>
          <t>Month 4</t>
        </is>
      </c>
      <c r="C108" s="42" t="inlineStr">
        <is>
          <t>W13</t>
        </is>
      </c>
      <c r="D108" s="13" t="n">
        <v>46341</v>
      </c>
      <c r="E108" s="42" t="inlineStr">
        <is>
          <t>Google profile</t>
        </is>
      </c>
      <c r="F108" s="14" t="inlineStr">
        <is>
          <t>Refresh the GBP photo set with new room and result photos</t>
        </is>
      </c>
      <c r="G108" s="42" t="inlineStr">
        <is>
          <t>Both</t>
        </is>
      </c>
      <c r="H108" s="42" t="inlineStr">
        <is>
          <t>One-off</t>
        </is>
      </c>
      <c r="I108" s="42" t="inlineStr">
        <is>
          <t>Medium</t>
        </is>
      </c>
      <c r="J108" s="42" t="inlineStr">
        <is>
          <t>Not started</t>
        </is>
      </c>
      <c r="K108" s="13" t="n"/>
      <c r="L108" s="14" t="n"/>
    </row>
    <row r="109" ht="15" customHeight="1" s="47">
      <c r="A109" s="42" t="n">
        <v>116</v>
      </c>
      <c r="B109" s="42" t="inlineStr">
        <is>
          <t>Month 4</t>
        </is>
      </c>
      <c r="C109" s="42" t="inlineStr">
        <is>
          <t>W14</t>
        </is>
      </c>
      <c r="D109" s="13" t="n">
        <v>46348</v>
      </c>
      <c r="E109" s="42" t="inlineStr">
        <is>
          <t>Website</t>
        </is>
      </c>
      <c r="F109" s="14" t="inlineStr">
        <is>
          <t>Expand the thin treatment pages: pricing ranges, aftercare, who it is not for</t>
        </is>
      </c>
      <c r="G109" s="42" t="inlineStr">
        <is>
          <t>Agency</t>
        </is>
      </c>
      <c r="H109" s="42" t="inlineStr">
        <is>
          <t>One-off</t>
        </is>
      </c>
      <c r="I109" s="42" t="inlineStr">
        <is>
          <t>High</t>
        </is>
      </c>
      <c r="J109" s="42" t="inlineStr">
        <is>
          <t>Not started</t>
        </is>
      </c>
      <c r="K109" s="13" t="n"/>
      <c r="L109" s="14" t="n"/>
    </row>
    <row r="110" ht="15" customHeight="1" s="47">
      <c r="A110" s="42" t="n">
        <v>117</v>
      </c>
      <c r="B110" s="42" t="inlineStr">
        <is>
          <t>Month 4</t>
        </is>
      </c>
      <c r="C110" s="42" t="inlineStr">
        <is>
          <t>W14</t>
        </is>
      </c>
      <c r="D110" s="13" t="n">
        <v>46348</v>
      </c>
      <c r="E110" s="42" t="inlineStr">
        <is>
          <t>Local links</t>
        </is>
      </c>
      <c r="F110" s="14" t="inlineStr">
        <is>
          <t>Sponsor or join one Oakville community listing or event</t>
        </is>
      </c>
      <c r="G110" s="42" t="inlineStr">
        <is>
          <t>Cleo</t>
        </is>
      </c>
      <c r="H110" s="42" t="inlineStr">
        <is>
          <t>One-off</t>
        </is>
      </c>
      <c r="I110" s="42" t="inlineStr">
        <is>
          <t>Medium</t>
        </is>
      </c>
      <c r="J110" s="42" t="inlineStr">
        <is>
          <t>Not started</t>
        </is>
      </c>
      <c r="K110" s="13" t="n"/>
      <c r="L110" s="14" t="n"/>
    </row>
    <row r="111" ht="15" customHeight="1" s="47">
      <c r="A111" s="42" t="n">
        <v>118</v>
      </c>
      <c r="B111" s="42" t="inlineStr">
        <is>
          <t>Month 4</t>
        </is>
      </c>
      <c r="C111" s="42" t="inlineStr">
        <is>
          <t>W14</t>
        </is>
      </c>
      <c r="D111" s="13" t="n">
        <v>46348</v>
      </c>
      <c r="E111" s="42" t="inlineStr">
        <is>
          <t>Ads</t>
        </is>
      </c>
      <c r="F111" s="14" t="inlineStr">
        <is>
          <t>Fortnightly ad review: kill anything below average cost per DM, reallocate</t>
        </is>
      </c>
      <c r="G111" s="42" t="inlineStr">
        <is>
          <t>Agency</t>
        </is>
      </c>
      <c r="H111" s="42" t="inlineStr">
        <is>
          <t>Fortnightly</t>
        </is>
      </c>
      <c r="I111" s="42" t="inlineStr">
        <is>
          <t>High</t>
        </is>
      </c>
      <c r="J111" s="42" t="inlineStr">
        <is>
          <t>Not started</t>
        </is>
      </c>
      <c r="K111" s="13" t="n"/>
      <c r="L111" s="14" t="n"/>
    </row>
    <row r="112" ht="15" customHeight="1" s="47">
      <c r="A112" s="42" t="n">
        <v>119</v>
      </c>
      <c r="B112" s="42" t="inlineStr">
        <is>
          <t>Month 4</t>
        </is>
      </c>
      <c r="C112" s="42" t="inlineStr">
        <is>
          <t>W14</t>
        </is>
      </c>
      <c r="D112" s="13" t="n">
        <v>46348</v>
      </c>
      <c r="E112" s="42" t="inlineStr">
        <is>
          <t>Content</t>
        </is>
      </c>
      <c r="F112" s="14" t="inlineStr">
        <is>
          <t>Write the fifth article</t>
        </is>
      </c>
      <c r="G112" s="42" t="inlineStr">
        <is>
          <t>Agency</t>
        </is>
      </c>
      <c r="H112" s="42" t="inlineStr">
        <is>
          <t>One-off</t>
        </is>
      </c>
      <c r="I112" s="42" t="inlineStr">
        <is>
          <t>Medium</t>
        </is>
      </c>
      <c r="J112" s="42" t="inlineStr">
        <is>
          <t>Not started</t>
        </is>
      </c>
      <c r="K112" s="13" t="n"/>
      <c r="L112" s="14" t="n"/>
    </row>
    <row r="113" ht="15" customHeight="1" s="47">
      <c r="A113" s="42" t="n">
        <v>120</v>
      </c>
      <c r="B113" s="42" t="inlineStr">
        <is>
          <t>Month 4</t>
        </is>
      </c>
      <c r="C113" s="42" t="inlineStr">
        <is>
          <t>W15</t>
        </is>
      </c>
      <c r="D113" s="13" t="n">
        <v>46355</v>
      </c>
      <c r="E113" s="42" t="inlineStr">
        <is>
          <t>Website</t>
        </is>
      </c>
      <c r="F113" s="14" t="inlineStr">
        <is>
          <t>Add a before-and-after gallery page using consent-cleared photos only</t>
        </is>
      </c>
      <c r="G113" s="42" t="inlineStr">
        <is>
          <t>Agency</t>
        </is>
      </c>
      <c r="H113" s="42" t="inlineStr">
        <is>
          <t>One-off</t>
        </is>
      </c>
      <c r="I113" s="42" t="inlineStr">
        <is>
          <t>Medium</t>
        </is>
      </c>
      <c r="J113" s="42" t="inlineStr">
        <is>
          <t>Not started</t>
        </is>
      </c>
      <c r="K113" s="13" t="n"/>
      <c r="L113" s="14" t="n"/>
    </row>
    <row r="114" ht="15" customHeight="1" s="47">
      <c r="A114" s="42" t="n">
        <v>121</v>
      </c>
      <c r="B114" s="42" t="inlineStr">
        <is>
          <t>Month 4</t>
        </is>
      </c>
      <c r="C114" s="42" t="inlineStr">
        <is>
          <t>W15</t>
        </is>
      </c>
      <c r="D114" s="13" t="n">
        <v>46355</v>
      </c>
      <c r="E114" s="42" t="inlineStr">
        <is>
          <t>Compliance</t>
        </is>
      </c>
      <c r="F114" s="14" t="inlineStr">
        <is>
          <t>Compliance pass on the gallery page before it goes live</t>
        </is>
      </c>
      <c r="G114" s="42" t="inlineStr">
        <is>
          <t>Agency</t>
        </is>
      </c>
      <c r="H114" s="42" t="inlineStr">
        <is>
          <t>One-off</t>
        </is>
      </c>
      <c r="I114" s="42" t="inlineStr">
        <is>
          <t>High</t>
        </is>
      </c>
      <c r="J114" s="42" t="inlineStr">
        <is>
          <t>Not started</t>
        </is>
      </c>
      <c r="K114" s="13" t="n"/>
      <c r="L114" s="14" t="n"/>
    </row>
    <row r="115" ht="15" customHeight="1" s="47">
      <c r="A115" s="42" t="n">
        <v>122</v>
      </c>
      <c r="B115" s="42" t="inlineStr">
        <is>
          <t>Month 4</t>
        </is>
      </c>
      <c r="C115" s="42" t="inlineStr">
        <is>
          <t>W15</t>
        </is>
      </c>
      <c r="D115" s="13" t="n">
        <v>46355</v>
      </c>
      <c r="E115" s="42" t="inlineStr">
        <is>
          <t>Google profile</t>
        </is>
      </c>
      <c r="F115" s="14" t="inlineStr">
        <is>
          <t>Post the December holiday hours to GBP</t>
        </is>
      </c>
      <c r="G115" s="42" t="inlineStr">
        <is>
          <t>Agency</t>
        </is>
      </c>
      <c r="H115" s="42" t="inlineStr">
        <is>
          <t>One-off</t>
        </is>
      </c>
      <c r="I115" s="42" t="inlineStr">
        <is>
          <t>Medium</t>
        </is>
      </c>
      <c r="J115" s="42" t="inlineStr">
        <is>
          <t>Not started</t>
        </is>
      </c>
      <c r="K115" s="13" t="n"/>
      <c r="L115" s="14" t="n"/>
    </row>
    <row r="116" ht="15" customHeight="1" s="47">
      <c r="A116" s="42" t="n">
        <v>123</v>
      </c>
      <c r="B116" s="42" t="inlineStr">
        <is>
          <t>Month 4</t>
        </is>
      </c>
      <c r="C116" s="42" t="inlineStr">
        <is>
          <t>W15</t>
        </is>
      </c>
      <c r="D116" s="13" t="n">
        <v>46355</v>
      </c>
      <c r="E116" s="42" t="inlineStr">
        <is>
          <t>Reviews</t>
        </is>
      </c>
      <c r="F116" s="14" t="inlineStr">
        <is>
          <t>Holiday review push: ask every patient seen in November</t>
        </is>
      </c>
      <c r="G116" s="42" t="inlineStr">
        <is>
          <t>Cleo</t>
        </is>
      </c>
      <c r="H116" s="42" t="inlineStr">
        <is>
          <t>One-off</t>
        </is>
      </c>
      <c r="I116" s="42" t="inlineStr">
        <is>
          <t>High</t>
        </is>
      </c>
      <c r="J116" s="42" t="inlineStr">
        <is>
          <t>Not started</t>
        </is>
      </c>
      <c r="K116" s="13" t="n"/>
      <c r="L116" s="14" t="n"/>
    </row>
    <row r="117" ht="15" customHeight="1" s="47">
      <c r="A117" s="42" t="n">
        <v>124</v>
      </c>
      <c r="B117" s="42" t="inlineStr">
        <is>
          <t>Month 4</t>
        </is>
      </c>
      <c r="C117" s="42" t="inlineStr">
        <is>
          <t>W16</t>
        </is>
      </c>
      <c r="D117" s="13" t="n">
        <v>46362</v>
      </c>
      <c r="E117" s="42" t="inlineStr">
        <is>
          <t>Measurement</t>
        </is>
      </c>
      <c r="F117" s="14" t="inlineStr">
        <is>
          <t>Month four review: compare Search Console queries month on month</t>
        </is>
      </c>
      <c r="G117" s="42" t="inlineStr">
        <is>
          <t>Agency</t>
        </is>
      </c>
      <c r="H117" s="42" t="inlineStr">
        <is>
          <t>Monthly</t>
        </is>
      </c>
      <c r="I117" s="42" t="inlineStr">
        <is>
          <t>High</t>
        </is>
      </c>
      <c r="J117" s="42" t="inlineStr">
        <is>
          <t>Not started</t>
        </is>
      </c>
      <c r="K117" s="13" t="n"/>
      <c r="L117" s="14" t="n"/>
    </row>
    <row r="118" ht="15" customHeight="1" s="47">
      <c r="A118" s="42" t="n">
        <v>125</v>
      </c>
      <c r="B118" s="42" t="inlineStr">
        <is>
          <t>Month 4</t>
        </is>
      </c>
      <c r="C118" s="42" t="inlineStr">
        <is>
          <t>W16</t>
        </is>
      </c>
      <c r="D118" s="13" t="n">
        <v>46362</v>
      </c>
      <c r="E118" s="42" t="inlineStr">
        <is>
          <t>Website</t>
        </is>
      </c>
      <c r="F118" s="14" t="inlineStr">
        <is>
          <t>Internal linking pass now that the articles exist</t>
        </is>
      </c>
      <c r="G118" s="42" t="inlineStr">
        <is>
          <t>Agency</t>
        </is>
      </c>
      <c r="H118" s="42" t="inlineStr">
        <is>
          <t>One-off</t>
        </is>
      </c>
      <c r="I118" s="42" t="inlineStr">
        <is>
          <t>Medium</t>
        </is>
      </c>
      <c r="J118" s="42" t="inlineStr">
        <is>
          <t>Not started</t>
        </is>
      </c>
      <c r="K118" s="13" t="n"/>
      <c r="L118" s="14" t="n"/>
    </row>
    <row r="119" ht="15" customHeight="1" s="47">
      <c r="A119" s="42" t="n">
        <v>126</v>
      </c>
      <c r="B119" s="42" t="inlineStr">
        <is>
          <t>Month 4</t>
        </is>
      </c>
      <c r="C119" s="42" t="inlineStr">
        <is>
          <t>W16</t>
        </is>
      </c>
      <c r="D119" s="13" t="n">
        <v>46362</v>
      </c>
      <c r="E119" s="42" t="inlineStr">
        <is>
          <t>Content</t>
        </is>
      </c>
      <c r="F119" s="14" t="inlineStr">
        <is>
          <t>Write the sixth article</t>
        </is>
      </c>
      <c r="G119" s="42" t="inlineStr">
        <is>
          <t>Agency</t>
        </is>
      </c>
      <c r="H119" s="42" t="inlineStr">
        <is>
          <t>One-off</t>
        </is>
      </c>
      <c r="I119" s="42" t="inlineStr">
        <is>
          <t>Medium</t>
        </is>
      </c>
      <c r="J119" s="42" t="inlineStr">
        <is>
          <t>Not started</t>
        </is>
      </c>
      <c r="K119" s="13" t="n"/>
      <c r="L119" s="14" t="n"/>
    </row>
    <row r="120" ht="15" customHeight="1" s="47">
      <c r="A120" s="42" t="n">
        <v>127</v>
      </c>
      <c r="B120" s="42" t="inlineStr">
        <is>
          <t>Month 5</t>
        </is>
      </c>
      <c r="C120" s="42" t="inlineStr">
        <is>
          <t>W17</t>
        </is>
      </c>
      <c r="D120" s="13" t="n">
        <v>46369</v>
      </c>
      <c r="E120" s="42" t="inlineStr">
        <is>
          <t>Google profile</t>
        </is>
      </c>
      <c r="F120" s="14" t="inlineStr">
        <is>
          <t>Set the holiday opening hours on GBP for December and January</t>
        </is>
      </c>
      <c r="G120" s="42" t="inlineStr">
        <is>
          <t>Agency</t>
        </is>
      </c>
      <c r="H120" s="42" t="inlineStr">
        <is>
          <t>One-off</t>
        </is>
      </c>
      <c r="I120" s="42" t="inlineStr">
        <is>
          <t>High</t>
        </is>
      </c>
      <c r="J120" s="42" t="inlineStr">
        <is>
          <t>Not started</t>
        </is>
      </c>
      <c r="K120" s="13" t="n"/>
      <c r="L120" s="14" t="n"/>
    </row>
    <row r="121" ht="15" customHeight="1" s="47">
      <c r="A121" s="42" t="n">
        <v>128</v>
      </c>
      <c r="B121" s="42" t="inlineStr">
        <is>
          <t>Month 5</t>
        </is>
      </c>
      <c r="C121" s="42" t="inlineStr">
        <is>
          <t>W17</t>
        </is>
      </c>
      <c r="D121" s="13" t="n">
        <v>46369</v>
      </c>
      <c r="E121" s="42" t="inlineStr">
        <is>
          <t>Instagram</t>
        </is>
      </c>
      <c r="F121" s="14" t="inlineStr">
        <is>
          <t>Plan the December gift-card and holiday content</t>
        </is>
      </c>
      <c r="G121" s="42" t="inlineStr">
        <is>
          <t>Agency</t>
        </is>
      </c>
      <c r="H121" s="42" t="inlineStr">
        <is>
          <t>One-off</t>
        </is>
      </c>
      <c r="I121" s="42" t="inlineStr">
        <is>
          <t>Medium</t>
        </is>
      </c>
      <c r="J121" s="42" t="inlineStr">
        <is>
          <t>Not started</t>
        </is>
      </c>
      <c r="K121" s="13" t="n"/>
      <c r="L121" s="14" t="n"/>
    </row>
    <row r="122" ht="15" customHeight="1" s="47">
      <c r="A122" s="42" t="n">
        <v>129</v>
      </c>
      <c r="B122" s="42" t="inlineStr">
        <is>
          <t>Month 5</t>
        </is>
      </c>
      <c r="C122" s="42" t="inlineStr">
        <is>
          <t>W17</t>
        </is>
      </c>
      <c r="D122" s="13" t="n">
        <v>46369</v>
      </c>
      <c r="E122" s="42" t="inlineStr">
        <is>
          <t>Website</t>
        </is>
      </c>
      <c r="F122" s="14" t="inlineStr">
        <is>
          <t>Add a gift-card or holiday offer block to the home page</t>
        </is>
      </c>
      <c r="G122" s="42" t="inlineStr">
        <is>
          <t>Agency</t>
        </is>
      </c>
      <c r="H122" s="42" t="inlineStr">
        <is>
          <t>One-off</t>
        </is>
      </c>
      <c r="I122" s="42" t="inlineStr">
        <is>
          <t>Medium</t>
        </is>
      </c>
      <c r="J122" s="42" t="inlineStr">
        <is>
          <t>Not started</t>
        </is>
      </c>
      <c r="K122" s="13" t="n"/>
      <c r="L122" s="14" t="n"/>
    </row>
    <row r="123" ht="15" customHeight="1" s="47">
      <c r="A123" s="42" t="n">
        <v>130</v>
      </c>
      <c r="B123" s="42" t="inlineStr">
        <is>
          <t>Month 5</t>
        </is>
      </c>
      <c r="C123" s="42" t="inlineStr">
        <is>
          <t>W18</t>
        </is>
      </c>
      <c r="D123" s="13" t="n">
        <v>46376</v>
      </c>
      <c r="E123" s="42" t="inlineStr">
        <is>
          <t>Ads</t>
        </is>
      </c>
      <c r="F123" s="14" t="inlineStr">
        <is>
          <t>Holiday campaign: reallocate budget to the gift-card creative</t>
        </is>
      </c>
      <c r="G123" s="42" t="inlineStr">
        <is>
          <t>Agency</t>
        </is>
      </c>
      <c r="H123" s="42" t="inlineStr">
        <is>
          <t>Fortnightly</t>
        </is>
      </c>
      <c r="I123" s="42" t="inlineStr">
        <is>
          <t>High</t>
        </is>
      </c>
      <c r="J123" s="42" t="inlineStr">
        <is>
          <t>Not started</t>
        </is>
      </c>
      <c r="K123" s="13" t="n"/>
      <c r="L123" s="14" t="n"/>
    </row>
    <row r="124" ht="15" customHeight="1" s="47">
      <c r="A124" s="42" t="n">
        <v>131</v>
      </c>
      <c r="B124" s="42" t="inlineStr">
        <is>
          <t>Month 5</t>
        </is>
      </c>
      <c r="C124" s="42" t="inlineStr">
        <is>
          <t>W18</t>
        </is>
      </c>
      <c r="D124" s="13" t="n">
        <v>46376</v>
      </c>
      <c r="E124" s="42" t="inlineStr">
        <is>
          <t>Content</t>
        </is>
      </c>
      <c r="F124" s="14" t="inlineStr">
        <is>
          <t>Write the seventh article</t>
        </is>
      </c>
      <c r="G124" s="42" t="inlineStr">
        <is>
          <t>Agency</t>
        </is>
      </c>
      <c r="H124" s="42" t="inlineStr">
        <is>
          <t>One-off</t>
        </is>
      </c>
      <c r="I124" s="42" t="inlineStr">
        <is>
          <t>Medium</t>
        </is>
      </c>
      <c r="J124" s="42" t="inlineStr">
        <is>
          <t>Not started</t>
        </is>
      </c>
      <c r="K124" s="13" t="n"/>
      <c r="L124" s="14" t="n"/>
    </row>
    <row r="125" ht="15" customHeight="1" s="47">
      <c r="A125" s="42" t="n">
        <v>132</v>
      </c>
      <c r="B125" s="42" t="inlineStr">
        <is>
          <t>Month 5</t>
        </is>
      </c>
      <c r="C125" s="42" t="inlineStr">
        <is>
          <t>W18</t>
        </is>
      </c>
      <c r="D125" s="13" t="n">
        <v>46376</v>
      </c>
      <c r="E125" s="42" t="inlineStr">
        <is>
          <t>Citations</t>
        </is>
      </c>
      <c r="F125" s="14" t="inlineStr">
        <is>
          <t>Quarterly citation audit across both the Citations and Local Citations tabs</t>
        </is>
      </c>
      <c r="G125" s="42" t="inlineStr">
        <is>
          <t>Agency</t>
        </is>
      </c>
      <c r="H125" s="42" t="inlineStr">
        <is>
          <t>One-off</t>
        </is>
      </c>
      <c r="I125" s="42" t="inlineStr">
        <is>
          <t>Medium</t>
        </is>
      </c>
      <c r="J125" s="42" t="inlineStr">
        <is>
          <t>Not started</t>
        </is>
      </c>
      <c r="K125" s="13" t="n"/>
      <c r="L125" s="14" t="n"/>
    </row>
    <row r="126" ht="15" customHeight="1" s="47">
      <c r="A126" s="42" t="n">
        <v>133</v>
      </c>
      <c r="B126" s="42" t="inlineStr">
        <is>
          <t>Month 5</t>
        </is>
      </c>
      <c r="C126" s="42" t="inlineStr">
        <is>
          <t>W19</t>
        </is>
      </c>
      <c r="D126" s="13" t="n">
        <v>46383</v>
      </c>
      <c r="E126" s="42" t="inlineStr">
        <is>
          <t>Instagram</t>
        </is>
      </c>
      <c r="F126" s="14" t="inlineStr">
        <is>
          <t>Reduced holiday cadence: stories only, one reel, but keep GBP posting daily</t>
        </is>
      </c>
      <c r="G126" s="42" t="inlineStr">
        <is>
          <t>Cleo</t>
        </is>
      </c>
      <c r="H126" s="42" t="inlineStr">
        <is>
          <t>One-off</t>
        </is>
      </c>
      <c r="I126" s="42" t="inlineStr">
        <is>
          <t>Medium</t>
        </is>
      </c>
      <c r="J126" s="42" t="inlineStr">
        <is>
          <t>Not started</t>
        </is>
      </c>
      <c r="K126" s="13" t="n"/>
      <c r="L126" s="14" t="n"/>
    </row>
    <row r="127" ht="15" customHeight="1" s="47">
      <c r="A127" s="42" t="n">
        <v>134</v>
      </c>
      <c r="B127" s="42" t="inlineStr">
        <is>
          <t>Month 5</t>
        </is>
      </c>
      <c r="C127" s="42" t="inlineStr">
        <is>
          <t>W19</t>
        </is>
      </c>
      <c r="D127" s="13" t="n">
        <v>46383</v>
      </c>
      <c r="E127" s="42" t="inlineStr">
        <is>
          <t>Google profile</t>
        </is>
      </c>
      <c r="F127" s="14" t="inlineStr">
        <is>
          <t>Confirm the holiday hours showing on Google are actually correct</t>
        </is>
      </c>
      <c r="G127" s="42" t="inlineStr">
        <is>
          <t>Agency</t>
        </is>
      </c>
      <c r="H127" s="42" t="inlineStr">
        <is>
          <t>One-off</t>
        </is>
      </c>
      <c r="I127" s="42" t="inlineStr">
        <is>
          <t>High</t>
        </is>
      </c>
      <c r="J127" s="42" t="inlineStr">
        <is>
          <t>Not started</t>
        </is>
      </c>
      <c r="K127" s="13" t="n"/>
      <c r="L127" s="14" t="n"/>
    </row>
    <row r="128" ht="15" customHeight="1" s="47">
      <c r="A128" s="42" t="n">
        <v>135</v>
      </c>
      <c r="B128" s="42" t="inlineStr">
        <is>
          <t>Month 5</t>
        </is>
      </c>
      <c r="C128" s="42" t="inlineStr">
        <is>
          <t>W20</t>
        </is>
      </c>
      <c r="D128" s="13" t="n">
        <v>46390</v>
      </c>
      <c r="E128" s="42" t="inlineStr">
        <is>
          <t>Measurement</t>
        </is>
      </c>
      <c r="F128" s="14" t="inlineStr">
        <is>
          <t>Year-end read: reviews, map pack positions, sessions and bookings</t>
        </is>
      </c>
      <c r="G128" s="42" t="inlineStr">
        <is>
          <t>Agency</t>
        </is>
      </c>
      <c r="H128" s="42" t="inlineStr">
        <is>
          <t>Monthly</t>
        </is>
      </c>
      <c r="I128" s="42" t="inlineStr">
        <is>
          <t>High</t>
        </is>
      </c>
      <c r="J128" s="42" t="inlineStr">
        <is>
          <t>Not started</t>
        </is>
      </c>
      <c r="K128" s="13" t="n"/>
      <c r="L128" s="14" t="n"/>
    </row>
    <row r="129" ht="15" customHeight="1" s="47">
      <c r="A129" s="42" t="n">
        <v>136</v>
      </c>
      <c r="B129" s="42" t="inlineStr">
        <is>
          <t>Month 5</t>
        </is>
      </c>
      <c r="C129" s="42" t="inlineStr">
        <is>
          <t>W20</t>
        </is>
      </c>
      <c r="D129" s="13" t="n">
        <v>46390</v>
      </c>
      <c r="E129" s="42" t="inlineStr">
        <is>
          <t>Content</t>
        </is>
      </c>
      <c r="F129" s="14" t="inlineStr">
        <is>
          <t>Plan the January content calendar</t>
        </is>
      </c>
      <c r="G129" s="42" t="inlineStr">
        <is>
          <t>Agency</t>
        </is>
      </c>
      <c r="H129" s="42" t="inlineStr">
        <is>
          <t>One-off</t>
        </is>
      </c>
      <c r="I129" s="42" t="inlineStr">
        <is>
          <t>Medium</t>
        </is>
      </c>
      <c r="J129" s="42" t="inlineStr">
        <is>
          <t>Not started</t>
        </is>
      </c>
      <c r="K129" s="13" t="n"/>
      <c r="L129" s="14" t="n"/>
    </row>
    <row r="130" ht="15" customHeight="1" s="47">
      <c r="A130" s="42" t="n">
        <v>137</v>
      </c>
      <c r="B130" s="42" t="inlineStr">
        <is>
          <t>Month 5</t>
        </is>
      </c>
      <c r="C130" s="42" t="inlineStr">
        <is>
          <t>W21</t>
        </is>
      </c>
      <c r="D130" s="13" t="n">
        <v>46397</v>
      </c>
      <c r="E130" s="42" t="inlineStr">
        <is>
          <t>Website</t>
        </is>
      </c>
      <c r="F130" s="14" t="inlineStr">
        <is>
          <t>January on-page sprint: refresh every title tag and meta description</t>
        </is>
      </c>
      <c r="G130" s="42" t="inlineStr">
        <is>
          <t>Agency</t>
        </is>
      </c>
      <c r="H130" s="42" t="inlineStr">
        <is>
          <t>One-off</t>
        </is>
      </c>
      <c r="I130" s="42" t="inlineStr">
        <is>
          <t>High</t>
        </is>
      </c>
      <c r="J130" s="42" t="inlineStr">
        <is>
          <t>Not started</t>
        </is>
      </c>
      <c r="K130" s="13" t="n"/>
      <c r="L130" s="14" t="n"/>
    </row>
    <row r="131" ht="15" customHeight="1" s="47">
      <c r="A131" s="42" t="n">
        <v>138</v>
      </c>
      <c r="B131" s="42" t="inlineStr">
        <is>
          <t>Month 5</t>
        </is>
      </c>
      <c r="C131" s="42" t="inlineStr">
        <is>
          <t>W21</t>
        </is>
      </c>
      <c r="D131" s="13" t="n">
        <v>46397</v>
      </c>
      <c r="E131" s="42" t="inlineStr">
        <is>
          <t>Instagram</t>
        </is>
      </c>
      <c r="F131" s="14" t="inlineStr">
        <is>
          <t>Back to full cadence with new-year treatment content</t>
        </is>
      </c>
      <c r="G131" s="42" t="inlineStr">
        <is>
          <t>Cleo</t>
        </is>
      </c>
      <c r="H131" s="42" t="inlineStr">
        <is>
          <t>One-off</t>
        </is>
      </c>
      <c r="I131" s="42" t="inlineStr">
        <is>
          <t>High</t>
        </is>
      </c>
      <c r="J131" s="42" t="inlineStr">
        <is>
          <t>Not started</t>
        </is>
      </c>
      <c r="K131" s="13" t="n"/>
      <c r="L131" s="14" t="n"/>
    </row>
    <row r="132" ht="15" customHeight="1" s="47">
      <c r="A132" s="42" t="n">
        <v>139</v>
      </c>
      <c r="B132" s="42" t="inlineStr">
        <is>
          <t>Month 5</t>
        </is>
      </c>
      <c r="C132" s="42" t="inlineStr">
        <is>
          <t>W21</t>
        </is>
      </c>
      <c r="D132" s="13" t="n">
        <v>46397</v>
      </c>
      <c r="E132" s="42" t="inlineStr">
        <is>
          <t>Reviews</t>
        </is>
      </c>
      <c r="F132" s="14" t="inlineStr">
        <is>
          <t>New-year review push</t>
        </is>
      </c>
      <c r="G132" s="42" t="inlineStr">
        <is>
          <t>Cleo</t>
        </is>
      </c>
      <c r="H132" s="42" t="inlineStr">
        <is>
          <t>One-off</t>
        </is>
      </c>
      <c r="I132" s="42" t="inlineStr">
        <is>
          <t>High</t>
        </is>
      </c>
      <c r="J132" s="42" t="inlineStr">
        <is>
          <t>Not started</t>
        </is>
      </c>
      <c r="K132" s="13" t="n"/>
      <c r="L132" s="14" t="n"/>
    </row>
    <row r="133" ht="15" customHeight="1" s="47">
      <c r="A133" s="42" t="n">
        <v>140</v>
      </c>
      <c r="B133" s="42" t="inlineStr">
        <is>
          <t>Month 5</t>
        </is>
      </c>
      <c r="C133" s="42" t="inlineStr">
        <is>
          <t>W21</t>
        </is>
      </c>
      <c r="D133" s="13" t="n">
        <v>46397</v>
      </c>
      <c r="E133" s="42" t="inlineStr">
        <is>
          <t>Ads</t>
        </is>
      </c>
      <c r="F133" s="14" t="inlineStr">
        <is>
          <t>Relaunch the standard campaign set after the holiday creative</t>
        </is>
      </c>
      <c r="G133" s="42" t="inlineStr">
        <is>
          <t>Agency</t>
        </is>
      </c>
      <c r="H133" s="42" t="inlineStr">
        <is>
          <t>Fortnightly</t>
        </is>
      </c>
      <c r="I133" s="42" t="inlineStr">
        <is>
          <t>High</t>
        </is>
      </c>
      <c r="J133" s="42" t="inlineStr">
        <is>
          <t>Not started</t>
        </is>
      </c>
      <c r="K133" s="13" t="n"/>
      <c r="L133" s="14" t="n"/>
    </row>
    <row r="134" ht="15" customHeight="1" s="47">
      <c r="A134" s="42" t="n">
        <v>141</v>
      </c>
      <c r="B134" s="42" t="inlineStr">
        <is>
          <t>Month 6</t>
        </is>
      </c>
      <c r="C134" s="42" t="inlineStr">
        <is>
          <t>W22</t>
        </is>
      </c>
      <c r="D134" s="13" t="n">
        <v>46404</v>
      </c>
      <c r="E134" s="42" t="inlineStr">
        <is>
          <t>Website</t>
        </is>
      </c>
      <c r="F134" s="14" t="inlineStr">
        <is>
          <t>Build the full weight-loss treatment page now the service is live</t>
        </is>
      </c>
      <c r="G134" s="42" t="inlineStr">
        <is>
          <t>Agency</t>
        </is>
      </c>
      <c r="H134" s="42" t="inlineStr">
        <is>
          <t>One-off</t>
        </is>
      </c>
      <c r="I134" s="42" t="inlineStr">
        <is>
          <t>High</t>
        </is>
      </c>
      <c r="J134" s="42" t="inlineStr">
        <is>
          <t>Not started</t>
        </is>
      </c>
      <c r="K134" s="13" t="n"/>
      <c r="L134" s="14" t="n"/>
    </row>
    <row r="135" ht="15" customHeight="1" s="47">
      <c r="A135" s="42" t="n">
        <v>142</v>
      </c>
      <c r="B135" s="42" t="inlineStr">
        <is>
          <t>Month 6</t>
        </is>
      </c>
      <c r="C135" s="42" t="inlineStr">
        <is>
          <t>W22</t>
        </is>
      </c>
      <c r="D135" s="13" t="n">
        <v>46404</v>
      </c>
      <c r="E135" s="42" t="inlineStr">
        <is>
          <t>Content</t>
        </is>
      </c>
      <c r="F135" s="14" t="inlineStr">
        <is>
          <t>Write the eighth article</t>
        </is>
      </c>
      <c r="G135" s="42" t="inlineStr">
        <is>
          <t>Agency</t>
        </is>
      </c>
      <c r="H135" s="42" t="inlineStr">
        <is>
          <t>One-off</t>
        </is>
      </c>
      <c r="I135" s="42" t="inlineStr">
        <is>
          <t>Medium</t>
        </is>
      </c>
      <c r="J135" s="42" t="inlineStr">
        <is>
          <t>Not started</t>
        </is>
      </c>
      <c r="K135" s="13" t="n"/>
      <c r="L135" s="14" t="n"/>
    </row>
    <row r="136" ht="15" customHeight="1" s="47">
      <c r="A136" s="42" t="n">
        <v>143</v>
      </c>
      <c r="B136" s="42" t="inlineStr">
        <is>
          <t>Month 6</t>
        </is>
      </c>
      <c r="C136" s="42" t="inlineStr">
        <is>
          <t>W22</t>
        </is>
      </c>
      <c r="D136" s="13" t="n">
        <v>46404</v>
      </c>
      <c r="E136" s="42" t="inlineStr">
        <is>
          <t>Local links</t>
        </is>
      </c>
      <c r="F136" s="14" t="inlineStr">
        <is>
          <t>Second round of local link approaches</t>
        </is>
      </c>
      <c r="G136" s="42" t="inlineStr">
        <is>
          <t>Agency</t>
        </is>
      </c>
      <c r="H136" s="42" t="inlineStr">
        <is>
          <t>One-off</t>
        </is>
      </c>
      <c r="I136" s="42" t="inlineStr">
        <is>
          <t>Medium</t>
        </is>
      </c>
      <c r="J136" s="42" t="inlineStr">
        <is>
          <t>Not started</t>
        </is>
      </c>
      <c r="K136" s="13" t="n"/>
      <c r="L136" s="14" t="n"/>
    </row>
    <row r="137" ht="15" customHeight="1" s="47">
      <c r="A137" s="42" t="n">
        <v>144</v>
      </c>
      <c r="B137" s="42" t="inlineStr">
        <is>
          <t>Month 6</t>
        </is>
      </c>
      <c r="C137" s="42" t="inlineStr">
        <is>
          <t>W23</t>
        </is>
      </c>
      <c r="D137" s="13" t="n">
        <v>46411</v>
      </c>
      <c r="E137" s="42" t="inlineStr">
        <is>
          <t>Measurement</t>
        </is>
      </c>
      <c r="F137" s="14" t="inlineStr">
        <is>
          <t>Full query review: find every term you rank between 5 and 15 for</t>
        </is>
      </c>
      <c r="G137" s="42" t="inlineStr">
        <is>
          <t>Agency</t>
        </is>
      </c>
      <c r="H137" s="42" t="inlineStr">
        <is>
          <t>One-off</t>
        </is>
      </c>
      <c r="I137" s="42" t="inlineStr">
        <is>
          <t>High</t>
        </is>
      </c>
      <c r="J137" s="42" t="inlineStr">
        <is>
          <t>Not started</t>
        </is>
      </c>
      <c r="K137" s="13" t="n"/>
      <c r="L137" s="14" t="n"/>
    </row>
    <row r="138" ht="15" customHeight="1" s="47">
      <c r="A138" s="42" t="n">
        <v>145</v>
      </c>
      <c r="B138" s="42" t="inlineStr">
        <is>
          <t>Month 6</t>
        </is>
      </c>
      <c r="C138" s="42" t="inlineStr">
        <is>
          <t>W23</t>
        </is>
      </c>
      <c r="D138" s="13" t="n">
        <v>46411</v>
      </c>
      <c r="E138" s="42" t="inlineStr">
        <is>
          <t>Website</t>
        </is>
      </c>
      <c r="F138" s="14" t="inlineStr">
        <is>
          <t>Optimise the pages behind those near-miss terms</t>
        </is>
      </c>
      <c r="G138" s="42" t="inlineStr">
        <is>
          <t>Agency</t>
        </is>
      </c>
      <c r="H138" s="42" t="inlineStr">
        <is>
          <t>One-off</t>
        </is>
      </c>
      <c r="I138" s="42" t="inlineStr">
        <is>
          <t>High</t>
        </is>
      </c>
      <c r="J138" s="42" t="inlineStr">
        <is>
          <t>Not started</t>
        </is>
      </c>
      <c r="K138" s="13" t="n"/>
      <c r="L138" s="14" t="n"/>
    </row>
    <row r="139" ht="15" customHeight="1" s="47">
      <c r="A139" s="42" t="n">
        <v>146</v>
      </c>
      <c r="B139" s="42" t="inlineStr">
        <is>
          <t>Month 6</t>
        </is>
      </c>
      <c r="C139" s="42" t="inlineStr">
        <is>
          <t>W23</t>
        </is>
      </c>
      <c r="D139" s="13" t="n">
        <v>46411</v>
      </c>
      <c r="E139" s="42" t="inlineStr">
        <is>
          <t>Website</t>
        </is>
      </c>
      <c r="F139" s="14" t="inlineStr">
        <is>
          <t>Content refresh on the three lowest-performing pages</t>
        </is>
      </c>
      <c r="G139" s="42" t="inlineStr">
        <is>
          <t>Agency</t>
        </is>
      </c>
      <c r="H139" s="42" t="inlineStr">
        <is>
          <t>One-off</t>
        </is>
      </c>
      <c r="I139" s="42" t="inlineStr">
        <is>
          <t>Medium</t>
        </is>
      </c>
      <c r="J139" s="42" t="inlineStr">
        <is>
          <t>Not started</t>
        </is>
      </c>
      <c r="K139" s="13" t="n"/>
      <c r="L139" s="14" t="n"/>
    </row>
    <row r="140" ht="15" customHeight="1" s="47">
      <c r="A140" s="42" t="n">
        <v>147</v>
      </c>
      <c r="B140" s="42" t="inlineStr">
        <is>
          <t>Month 6</t>
        </is>
      </c>
      <c r="C140" s="42" t="inlineStr">
        <is>
          <t>W24</t>
        </is>
      </c>
      <c r="D140" s="13" t="n">
        <v>46418</v>
      </c>
      <c r="E140" s="42" t="inlineStr">
        <is>
          <t>Ads</t>
        </is>
      </c>
      <c r="F140" s="14" t="inlineStr">
        <is>
          <t>Fortnightly ad review: kill anything below average cost per DM, reallocate</t>
        </is>
      </c>
      <c r="G140" s="42" t="inlineStr">
        <is>
          <t>Agency</t>
        </is>
      </c>
      <c r="H140" s="42" t="inlineStr">
        <is>
          <t>Fortnightly</t>
        </is>
      </c>
      <c r="I140" s="42" t="inlineStr">
        <is>
          <t>High</t>
        </is>
      </c>
      <c r="J140" s="42" t="inlineStr">
        <is>
          <t>Not started</t>
        </is>
      </c>
      <c r="K140" s="13" t="n"/>
      <c r="L140" s="14" t="n"/>
    </row>
    <row r="141" ht="15" customHeight="1" s="47">
      <c r="A141" s="42" t="n">
        <v>148</v>
      </c>
      <c r="B141" s="42" t="inlineStr">
        <is>
          <t>Month 6</t>
        </is>
      </c>
      <c r="C141" s="42" t="inlineStr">
        <is>
          <t>W24</t>
        </is>
      </c>
      <c r="D141" s="13" t="n">
        <v>46418</v>
      </c>
      <c r="E141" s="42" t="inlineStr">
        <is>
          <t>Reviews</t>
        </is>
      </c>
      <c r="F141" s="14" t="inlineStr">
        <is>
          <t>Check the review count against the six-month target</t>
        </is>
      </c>
      <c r="G141" s="42" t="inlineStr">
        <is>
          <t>Agency</t>
        </is>
      </c>
      <c r="H141" s="42" t="inlineStr">
        <is>
          <t>Monthly</t>
        </is>
      </c>
      <c r="I141" s="42" t="inlineStr">
        <is>
          <t>High</t>
        </is>
      </c>
      <c r="J141" s="42" t="inlineStr">
        <is>
          <t>Not started</t>
        </is>
      </c>
      <c r="K141" s="13" t="n"/>
      <c r="L141" s="14" t="n"/>
    </row>
    <row r="142" ht="15" customHeight="1" s="47">
      <c r="A142" s="42" t="n">
        <v>149</v>
      </c>
      <c r="B142" s="42" t="inlineStr">
        <is>
          <t>Month 6</t>
        </is>
      </c>
      <c r="C142" s="42" t="inlineStr">
        <is>
          <t>W24</t>
        </is>
      </c>
      <c r="D142" s="13" t="n">
        <v>46418</v>
      </c>
      <c r="E142" s="42" t="inlineStr">
        <is>
          <t>Google profile</t>
        </is>
      </c>
      <c r="F142" s="14" t="inlineStr">
        <is>
          <t>Refresh the GBP services list and the questions section</t>
        </is>
      </c>
      <c r="G142" s="42" t="inlineStr">
        <is>
          <t>Agency</t>
        </is>
      </c>
      <c r="H142" s="42" t="inlineStr">
        <is>
          <t>One-off</t>
        </is>
      </c>
      <c r="I142" s="42" t="inlineStr">
        <is>
          <t>Medium</t>
        </is>
      </c>
      <c r="J142" s="42" t="inlineStr">
        <is>
          <t>Not started</t>
        </is>
      </c>
      <c r="K142" s="13" t="n"/>
      <c r="L142" s="14" t="n"/>
    </row>
    <row r="143" ht="15" customHeight="1" s="47">
      <c r="A143" s="42" t="n">
        <v>150</v>
      </c>
      <c r="B143" s="42" t="inlineStr">
        <is>
          <t>Month 6</t>
        </is>
      </c>
      <c r="C143" s="42" t="inlineStr">
        <is>
          <t>W25</t>
        </is>
      </c>
      <c r="D143" s="13" t="n">
        <v>46425</v>
      </c>
      <c r="E143" s="42" t="inlineStr">
        <is>
          <t>Measurement</t>
        </is>
      </c>
      <c r="F143" s="14" t="inlineStr">
        <is>
          <t>Full review of every number against the week-one baseline</t>
        </is>
      </c>
      <c r="G143" s="42" t="inlineStr">
        <is>
          <t>Agency</t>
        </is>
      </c>
      <c r="H143" s="42" t="inlineStr">
        <is>
          <t>One-off</t>
        </is>
      </c>
      <c r="I143" s="42" t="inlineStr">
        <is>
          <t>High</t>
        </is>
      </c>
      <c r="J143" s="42" t="inlineStr">
        <is>
          <t>Not started</t>
        </is>
      </c>
      <c r="K143" s="13" t="n"/>
      <c r="L143" s="14" t="n"/>
    </row>
    <row r="144" ht="15" customHeight="1" s="47">
      <c r="A144" s="42" t="n">
        <v>151</v>
      </c>
      <c r="B144" s="42" t="inlineStr">
        <is>
          <t>Month 6</t>
        </is>
      </c>
      <c r="C144" s="42" t="inlineStr">
        <is>
          <t>W25</t>
        </is>
      </c>
      <c r="D144" s="13" t="n">
        <v>46425</v>
      </c>
      <c r="E144" s="42" t="inlineStr">
        <is>
          <t>Website</t>
        </is>
      </c>
      <c r="F144" s="14" t="inlineStr">
        <is>
          <t>Technical audit: speed, schema, broken links, redirects</t>
        </is>
      </c>
      <c r="G144" s="42" t="inlineStr">
        <is>
          <t>Agency</t>
        </is>
      </c>
      <c r="H144" s="42" t="inlineStr">
        <is>
          <t>One-off</t>
        </is>
      </c>
      <c r="I144" s="42" t="inlineStr">
        <is>
          <t>High</t>
        </is>
      </c>
      <c r="J144" s="42" t="inlineStr">
        <is>
          <t>Not started</t>
        </is>
      </c>
      <c r="K144" s="13" t="n"/>
      <c r="L144" s="14" t="n"/>
    </row>
    <row r="145" ht="15" customHeight="1" s="47">
      <c r="A145" s="42" t="n">
        <v>152</v>
      </c>
      <c r="B145" s="42" t="inlineStr">
        <is>
          <t>Month 6</t>
        </is>
      </c>
      <c r="C145" s="42" t="inlineStr">
        <is>
          <t>W25</t>
        </is>
      </c>
      <c r="D145" s="13" t="n">
        <v>46425</v>
      </c>
      <c r="E145" s="42" t="inlineStr">
        <is>
          <t>Citations</t>
        </is>
      </c>
      <c r="F145" s="14" t="inlineStr">
        <is>
          <t>Final citation audit for the engagement</t>
        </is>
      </c>
      <c r="G145" s="42" t="inlineStr">
        <is>
          <t>Agency</t>
        </is>
      </c>
      <c r="H145" s="42" t="inlineStr">
        <is>
          <t>One-off</t>
        </is>
      </c>
      <c r="I145" s="42" t="inlineStr">
        <is>
          <t>Medium</t>
        </is>
      </c>
      <c r="J145" s="42" t="inlineStr">
        <is>
          <t>Not started</t>
        </is>
      </c>
      <c r="K145" s="13" t="n"/>
      <c r="L145" s="14" t="n"/>
    </row>
    <row r="146" ht="15" customHeight="1" s="47">
      <c r="A146" s="42" t="n">
        <v>153</v>
      </c>
      <c r="B146" s="42" t="inlineStr">
        <is>
          <t>Month 6</t>
        </is>
      </c>
      <c r="C146" s="42" t="inlineStr">
        <is>
          <t>W26</t>
        </is>
      </c>
      <c r="D146" s="13" t="n">
        <v>46432</v>
      </c>
      <c r="E146" s="42" t="inlineStr">
        <is>
          <t>Measurement</t>
        </is>
      </c>
      <c r="F146" s="14" t="inlineStr">
        <is>
          <t>Write the six-month report</t>
        </is>
      </c>
      <c r="G146" s="42" t="inlineStr">
        <is>
          <t>Agency</t>
        </is>
      </c>
      <c r="H146" s="42" t="inlineStr">
        <is>
          <t>One-off</t>
        </is>
      </c>
      <c r="I146" s="42" t="inlineStr">
        <is>
          <t>High</t>
        </is>
      </c>
      <c r="J146" s="42" t="inlineStr">
        <is>
          <t>Not started</t>
        </is>
      </c>
      <c r="K146" s="13" t="n"/>
      <c r="L146" s="14" t="n"/>
    </row>
    <row r="147" ht="15" customHeight="1" s="47">
      <c r="A147" s="42" t="n">
        <v>154</v>
      </c>
      <c r="B147" s="42" t="inlineStr">
        <is>
          <t>Month 6</t>
        </is>
      </c>
      <c r="C147" s="42" t="inlineStr">
        <is>
          <t>W26</t>
        </is>
      </c>
      <c r="D147" s="13" t="n">
        <v>46432</v>
      </c>
      <c r="E147" s="42" t="inlineStr">
        <is>
          <t>Measurement</t>
        </is>
      </c>
      <c r="F147" s="14" t="inlineStr">
        <is>
          <t>Write the recommendation for the next six months</t>
        </is>
      </c>
      <c r="G147" s="42" t="inlineStr">
        <is>
          <t>Agency</t>
        </is>
      </c>
      <c r="H147" s="42" t="inlineStr">
        <is>
          <t>One-off</t>
        </is>
      </c>
      <c r="I147" s="42" t="inlineStr">
        <is>
          <t>High</t>
        </is>
      </c>
      <c r="J147" s="42" t="inlineStr">
        <is>
          <t>Not started</t>
        </is>
      </c>
      <c r="K147" s="13" t="n"/>
      <c r="L147" s="14" t="n"/>
    </row>
    <row r="148" ht="15" customHeight="1" s="47">
      <c r="A148" s="42" t="n">
        <v>155</v>
      </c>
      <c r="B148" s="42" t="inlineStr">
        <is>
          <t>Month 6</t>
        </is>
      </c>
      <c r="C148" s="42" t="inlineStr">
        <is>
          <t>W26</t>
        </is>
      </c>
      <c r="D148" s="13" t="n">
        <v>46432</v>
      </c>
      <c r="E148" s="42" t="inlineStr">
        <is>
          <t>Website</t>
        </is>
      </c>
      <c r="F148" s="14" t="inlineStr">
        <is>
          <t>Hand over the site documentation and every login</t>
        </is>
      </c>
      <c r="G148" s="42" t="inlineStr">
        <is>
          <t>Agency</t>
        </is>
      </c>
      <c r="H148" s="42" t="inlineStr">
        <is>
          <t>One-off</t>
        </is>
      </c>
      <c r="I148" s="42" t="inlineStr">
        <is>
          <t>High</t>
        </is>
      </c>
      <c r="J148" s="42" t="inlineStr">
        <is>
          <t>Not started</t>
        </is>
      </c>
      <c r="K148" s="13" t="n"/>
      <c r="L148" s="14" t="n"/>
    </row>
    <row r="149" ht="15.75" customHeight="1" s="47">
      <c r="A149" s="49" t="n">
        <v>156</v>
      </c>
      <c r="B149" s="49" t="inlineStr">
        <is>
          <t>Month 1</t>
        </is>
      </c>
      <c r="C149" s="49" t="inlineStr">
        <is>
          <t>W1</t>
        </is>
      </c>
      <c r="D149" s="50" t="n">
        <v>46257</v>
      </c>
      <c r="E149" s="49" t="inlineStr">
        <is>
          <t>Citations</t>
        </is>
      </c>
      <c r="F149" s="51" t="inlineStr">
        <is>
          <t>Verify the postal code L6M 4L9 against a Canada Post address lookup and the lease, then lock THE RECORD</t>
        </is>
      </c>
      <c r="G149" s="49" t="inlineStr">
        <is>
          <t>Cleo</t>
        </is>
      </c>
      <c r="H149" s="49" t="inlineStr">
        <is>
          <t>One-off</t>
        </is>
      </c>
      <c r="I149" s="49" t="inlineStr">
        <is>
          <t>High</t>
        </is>
      </c>
      <c r="J149" s="49" t="inlineStr">
        <is>
          <t>Not started</t>
        </is>
      </c>
      <c r="K149" s="49" t="n"/>
      <c r="L149" s="51" t="inlineStr">
        <is>
          <t>This reverses the correction instruction on 17 listings. Confirm once, in writing, before anything is submitted</t>
        </is>
      </c>
    </row>
    <row r="150" ht="15.75" customHeight="1" s="47">
      <c r="A150" s="49" t="n">
        <v>157</v>
      </c>
      <c r="B150" s="49" t="inlineStr">
        <is>
          <t>Month 2</t>
        </is>
      </c>
      <c r="C150" s="49" t="inlineStr">
        <is>
          <t>W6</t>
        </is>
      </c>
      <c r="D150" s="50" t="n">
        <v>46285</v>
      </c>
      <c r="E150" s="49" t="inlineStr">
        <is>
          <t>Website</t>
        </is>
      </c>
      <c r="F150" s="51" t="inlineStr">
        <is>
          <t>Decide whether to add laser hair removal as a service - 480 searches a month at KD 9, and it is not offered today</t>
        </is>
      </c>
      <c r="G150" s="49" t="inlineStr">
        <is>
          <t>Cleo</t>
        </is>
      </c>
      <c r="H150" s="49" t="inlineStr">
        <is>
          <t>One-off</t>
        </is>
      </c>
      <c r="I150" s="49" t="inlineStr">
        <is>
          <t>Medium</t>
        </is>
      </c>
      <c r="J150" s="49" t="inlineStr">
        <is>
          <t>Not started</t>
        </is>
      </c>
      <c r="K150" s="49" t="n"/>
      <c r="L150" s="51" t="inlineStr">
        <is>
          <t>The single biggest untapped term in the Target Keywords tab. A service decision, not an SEO one</t>
        </is>
      </c>
    </row>
    <row r="151" ht="15.75" customHeight="1" s="47">
      <c r="A151" s="49" t="n">
        <v>158</v>
      </c>
      <c r="B151" s="49" t="inlineStr">
        <is>
          <t>Month 2</t>
        </is>
      </c>
      <c r="C151" s="49" t="inlineStr">
        <is>
          <t>W3</t>
        </is>
      </c>
      <c r="D151" s="50" t="n">
        <v>46271</v>
      </c>
      <c r="E151" s="49" t="inlineStr">
        <is>
          <t>Website</t>
        </is>
      </c>
      <c r="F151" s="51" t="inlineStr">
        <is>
          <t>Sign off the keyword-to-page map on the Site Structure tab before the build starts</t>
        </is>
      </c>
      <c r="G151" s="49" t="inlineStr">
        <is>
          <t>Both</t>
        </is>
      </c>
      <c r="H151" s="49" t="inlineStr">
        <is>
          <t>One-off</t>
        </is>
      </c>
      <c r="I151" s="49" t="inlineStr">
        <is>
          <t>High</t>
        </is>
      </c>
      <c r="J151" s="49" t="inlineStr">
        <is>
          <t>Not started</t>
        </is>
      </c>
      <c r="K151" s="49" t="n"/>
      <c r="L151" s="51" t="inlineStr">
        <is>
          <t>One page per keyword. Merging lip filler and dermal filler would cannibalise both</t>
        </is>
      </c>
    </row>
    <row r="152" ht="15.75" customHeight="1" s="47">
      <c r="A152" s="49" t="n">
        <v>159</v>
      </c>
      <c r="B152" s="49" t="inlineStr">
        <is>
          <t>Month 2</t>
        </is>
      </c>
      <c r="C152" s="49" t="inlineStr">
        <is>
          <t>W7</t>
        </is>
      </c>
      <c r="D152" s="50" t="n">
        <v>46292</v>
      </c>
      <c r="E152" s="49" t="inlineStr">
        <is>
          <t>Measurement</t>
        </is>
      </c>
      <c r="F152" s="51" t="inlineStr">
        <is>
          <t>Create the Semrush project for luxurybeautybycleo.ca</t>
        </is>
      </c>
      <c r="G152" s="49" t="inlineStr">
        <is>
          <t>Agency</t>
        </is>
      </c>
      <c r="H152" s="49" t="inlineStr">
        <is>
          <t>One-off</t>
        </is>
      </c>
      <c r="I152" s="49" t="inlineStr">
        <is>
          <t>High</t>
        </is>
      </c>
      <c r="J152" s="49" t="inlineStr">
        <is>
          <t>Not started</t>
        </is>
      </c>
      <c r="K152" s="49" t="n"/>
      <c r="L152" s="51" t="inlineStr">
        <is>
          <t>No Semrush project exists today. Position Tracking and Site Audit both require one before either can run</t>
        </is>
      </c>
    </row>
    <row r="153" ht="15.75" customHeight="1" s="47">
      <c r="A153" s="49" t="n">
        <v>160</v>
      </c>
      <c r="B153" s="49" t="inlineStr">
        <is>
          <t>Month 2</t>
        </is>
      </c>
      <c r="C153" s="49" t="inlineStr">
        <is>
          <t>W7</t>
        </is>
      </c>
      <c r="D153" s="50" t="n">
        <v>46292</v>
      </c>
      <c r="E153" s="49" t="inlineStr">
        <is>
          <t>Measurement</t>
        </is>
      </c>
      <c r="F153" s="51" t="inlineStr">
        <is>
          <t>Configure Semrush Position Tracking: keywords from the Target Keywords tab, geo-targeted to Oakville ON, mobile and desktop</t>
        </is>
      </c>
      <c r="G153" s="49" t="inlineStr">
        <is>
          <t>Agency</t>
        </is>
      </c>
      <c r="H153" s="49" t="inlineStr">
        <is>
          <t>One-off</t>
        </is>
      </c>
      <c r="I153" s="49" t="inlineStr">
        <is>
          <t>High</t>
        </is>
      </c>
      <c r="J153" s="49" t="inlineStr">
        <is>
          <t>Not started</t>
        </is>
      </c>
      <c r="K153" s="49" t="n"/>
      <c r="L153" s="51" t="inlineStr">
        <is>
          <t>Track Tier 1 and Tier 2 only. Tier 4 has no measurable volume and would just add noise</t>
        </is>
      </c>
    </row>
    <row r="154" ht="15.75" customHeight="1" s="47">
      <c r="A154" s="49" t="n">
        <v>161</v>
      </c>
      <c r="B154" s="49" t="inlineStr">
        <is>
          <t>Month 2</t>
        </is>
      </c>
      <c r="C154" s="49" t="inlineStr">
        <is>
          <t>W7</t>
        </is>
      </c>
      <c r="D154" s="50" t="n">
        <v>46292</v>
      </c>
      <c r="E154" s="49" t="inlineStr">
        <is>
          <t>Website</t>
        </is>
      </c>
      <c r="F154" s="51" t="inlineStr">
        <is>
          <t>Install the Microsoft Clarity tag sitewide and verify it is recording, before launch</t>
        </is>
      </c>
      <c r="G154" s="49" t="inlineStr">
        <is>
          <t>Agency</t>
        </is>
      </c>
      <c r="H154" s="49" t="inlineStr">
        <is>
          <t>One-off</t>
        </is>
      </c>
      <c r="I154" s="49" t="inlineStr">
        <is>
          <t>High</t>
        </is>
      </c>
      <c r="J154" s="49" t="inlineStr">
        <is>
          <t>Not started</t>
        </is>
      </c>
      <c r="K154" s="49" t="n"/>
      <c r="L154" s="51" t="inlineStr">
        <is>
          <t>Must be live on launch day or the first weeks of visitor behaviour are lost and cannot be recovered</t>
        </is>
      </c>
    </row>
    <row r="155" ht="15.75" customHeight="1" s="47">
      <c r="A155" s="49" t="n">
        <v>162</v>
      </c>
      <c r="B155" s="49" t="inlineStr">
        <is>
          <t>Month 3</t>
        </is>
      </c>
      <c r="C155" s="49" t="inlineStr">
        <is>
          <t>W8</t>
        </is>
      </c>
      <c r="D155" s="50" t="n">
        <v>46299</v>
      </c>
      <c r="E155" s="49" t="inlineStr">
        <is>
          <t>Website</t>
        </is>
      </c>
      <c r="F155" s="51" t="inlineStr">
        <is>
          <t>Link Microsoft Clarity to Google Analytics and set the booking-link click as a tracked event</t>
        </is>
      </c>
      <c r="G155" s="49" t="inlineStr">
        <is>
          <t>Agency</t>
        </is>
      </c>
      <c r="H155" s="49" t="inlineStr">
        <is>
          <t>One-off</t>
        </is>
      </c>
      <c r="I155" s="49" t="inlineStr">
        <is>
          <t>High</t>
        </is>
      </c>
      <c r="J155" s="49" t="inlineStr">
        <is>
          <t>Not started</t>
        </is>
      </c>
      <c r="K155" s="49" t="n"/>
      <c r="L155" s="51" t="inlineStr">
        <is>
          <t>Without the event, heatmaps show where people click but not whether they booked</t>
        </is>
      </c>
    </row>
    <row r="156" ht="15.75" customHeight="1" s="47">
      <c r="A156" s="49" t="n">
        <v>163</v>
      </c>
      <c r="B156" s="49" t="inlineStr">
        <is>
          <t>Month 3</t>
        </is>
      </c>
      <c r="C156" s="49" t="inlineStr">
        <is>
          <t>W9</t>
        </is>
      </c>
      <c r="D156" s="50" t="n">
        <v>46306</v>
      </c>
      <c r="E156" s="49" t="inlineStr">
        <is>
          <t>Measurement</t>
        </is>
      </c>
      <c r="F156" s="51" t="inlineStr">
        <is>
          <t>Enable Semrush Site Audit, run the first crawl at launch and record the health score as the baseline</t>
        </is>
      </c>
      <c r="G156" s="49" t="inlineStr">
        <is>
          <t>Agency</t>
        </is>
      </c>
      <c r="H156" s="49" t="inlineStr">
        <is>
          <t>One-off</t>
        </is>
      </c>
      <c r="I156" s="49" t="inlineStr">
        <is>
          <t>High</t>
        </is>
      </c>
      <c r="J156" s="49" t="inlineStr">
        <is>
          <t>Not started</t>
        </is>
      </c>
      <c r="K156" s="49" t="n"/>
      <c r="L156" s="51" t="inlineStr">
        <is>
          <t>Needs a resolving site - cannot run before launch</t>
        </is>
      </c>
    </row>
    <row r="157" ht="15.75" customHeight="1" s="47">
      <c r="A157" s="49" t="n">
        <v>164</v>
      </c>
      <c r="B157" s="49" t="inlineStr">
        <is>
          <t>Month 3</t>
        </is>
      </c>
      <c r="C157" s="49" t="inlineStr">
        <is>
          <t>W9</t>
        </is>
      </c>
      <c r="D157" s="50" t="n">
        <v>46306</v>
      </c>
      <c r="E157" s="49" t="inlineStr">
        <is>
          <t>Measurement</t>
        </is>
      </c>
      <c r="F157" s="51" t="inlineStr">
        <is>
          <t>Log Semrush visibility and position changes to the Metrics tab</t>
        </is>
      </c>
      <c r="G157" s="49" t="inlineStr">
        <is>
          <t>Agency</t>
        </is>
      </c>
      <c r="H157" s="49" t="inlineStr">
        <is>
          <t>Weekly</t>
        </is>
      </c>
      <c r="I157" s="49" t="inlineStr">
        <is>
          <t>Medium</t>
        </is>
      </c>
      <c r="J157" s="49" t="inlineStr">
        <is>
          <t>Not started</t>
        </is>
      </c>
      <c r="K157" s="49" t="n"/>
      <c r="L157" s="51" t="inlineStr">
        <is>
          <t>Slots into the existing Monday insights block on the Daily Routine tab</t>
        </is>
      </c>
    </row>
    <row r="158" ht="15.75" customHeight="1" s="47">
      <c r="A158" s="49" t="n">
        <v>165</v>
      </c>
      <c r="B158" s="49" t="inlineStr">
        <is>
          <t>Month 3</t>
        </is>
      </c>
      <c r="C158" s="49" t="inlineStr">
        <is>
          <t>W9</t>
        </is>
      </c>
      <c r="D158" s="50" t="n">
        <v>46306</v>
      </c>
      <c r="E158" s="49" t="inlineStr">
        <is>
          <t>Measurement</t>
        </is>
      </c>
      <c r="F158" s="51" t="inlineStr">
        <is>
          <t>Review Clarity heatmaps and session recordings for the week, and log what you found on the Heatmap Tracking tab</t>
        </is>
      </c>
      <c r="G158" s="49" t="inlineStr">
        <is>
          <t>Agency</t>
        </is>
      </c>
      <c r="H158" s="49" t="inlineStr">
        <is>
          <t>Weekly</t>
        </is>
      </c>
      <c r="I158" s="49" t="inlineStr">
        <is>
          <t>Medium</t>
        </is>
      </c>
      <c r="J158" s="49" t="inlineStr">
        <is>
          <t>Not started</t>
        </is>
      </c>
      <c r="K158" s="49" t="n"/>
      <c r="L158" s="51" t="inlineStr">
        <is>
          <t>Weekly for the first month after launch, then monthly. A finding with no logged change is not a finding</t>
        </is>
      </c>
    </row>
    <row r="159" ht="15.75" customHeight="1" s="47">
      <c r="A159" s="49" t="n">
        <v>166</v>
      </c>
      <c r="B159" s="49" t="inlineStr">
        <is>
          <t>Month 3</t>
        </is>
      </c>
      <c r="C159" s="49" t="inlineStr">
        <is>
          <t>W10</t>
        </is>
      </c>
      <c r="D159" s="50" t="n">
        <v>46313</v>
      </c>
      <c r="E159" s="49" t="inlineStr">
        <is>
          <t>Measurement</t>
        </is>
      </c>
      <c r="F159" s="51" t="inlineStr">
        <is>
          <t>Log the Site Audit health score and new issue count to the Metrics tab</t>
        </is>
      </c>
      <c r="G159" s="49" t="inlineStr">
        <is>
          <t>Agency</t>
        </is>
      </c>
      <c r="H159" s="49" t="inlineStr">
        <is>
          <t>Monthly</t>
        </is>
      </c>
      <c r="I159" s="49" t="inlineStr">
        <is>
          <t>Medium</t>
        </is>
      </c>
      <c r="J159" s="49" t="inlineStr">
        <is>
          <t>Not started</t>
        </is>
      </c>
      <c r="K159" s="49" t="n"/>
      <c r="L159" s="51" t="inlineStr"/>
    </row>
    <row r="160" ht="15.75" customHeight="1" s="47">
      <c r="A160" s="49" t="n">
        <v>167</v>
      </c>
      <c r="B160" s="49" t="inlineStr">
        <is>
          <t>Month 3</t>
        </is>
      </c>
      <c r="C160" s="49" t="inlineStr">
        <is>
          <t>W10</t>
        </is>
      </c>
      <c r="D160" s="50" t="n">
        <v>46313</v>
      </c>
      <c r="E160" s="49" t="inlineStr">
        <is>
          <t>Content</t>
        </is>
      </c>
      <c r="F160" s="51" t="inlineStr">
        <is>
          <t>Confirm the blog pillar order on the Blog Pillars tab - Cost &amp; Value ships first</t>
        </is>
      </c>
      <c r="G160" s="49" t="inlineStr">
        <is>
          <t>Both</t>
        </is>
      </c>
      <c r="H160" s="49" t="inlineStr">
        <is>
          <t>One-off</t>
        </is>
      </c>
      <c r="I160" s="49" t="inlineStr">
        <is>
          <t>Medium</t>
        </is>
      </c>
      <c r="J160" s="49" t="inlineStr">
        <is>
          <t>Not started</t>
        </is>
      </c>
      <c r="K160" s="49" t="n"/>
      <c r="L160" s="51" t="inlineStr">
        <is>
          <t>Lowest difficulty and highest commercial intent of the four pillars</t>
        </is>
      </c>
    </row>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sheetData>
  <autoFilter ref="A1:L160"/>
  <conditionalFormatting sqref="A2:L148">
    <cfRule type="expression" priority="1" dxfId="0">
      <formula>$J2="Done"</formula>
    </cfRule>
    <cfRule type="expression" priority="2" dxfId="1">
      <formula>$J2="Blocked"</formula>
    </cfRule>
    <cfRule type="expression" priority="3" dxfId="2">
      <formula>$J2="In progress"</formula>
    </cfRule>
    <cfRule type="expression" priority="4" dxfId="3">
      <formula>AND($D2&lt;TODAY(),$J2&lt;&gt;"Done",$J2&lt;&gt;"Not applicable")</formula>
    </cfRule>
  </conditionalFormatting>
  <conditionalFormatting sqref="A2:L160">
    <cfRule type="expression" priority="1" dxfId="0">
      <formula>$J2="Done"</formula>
    </cfRule>
    <cfRule type="expression" priority="2" dxfId="1">
      <formula>$J2="Blocked"</formula>
    </cfRule>
    <cfRule type="expression" priority="3" dxfId="2">
      <formula>$J2="In progress"</formula>
    </cfRule>
    <cfRule type="expression" priority="4" dxfId="3">
      <formula>AND($D2&lt;TODAY(),$J2&lt;&gt;"Done",$J2&lt;&gt;"Not applicable")</formula>
    </cfRule>
  </conditionalFormatting>
  <dataValidations count="4">
    <dataValidation sqref="H2:H160" showDropDown="0" showInputMessage="0" showErrorMessage="0" allowBlank="1" type="list">
      <formula1>"One-off,Daily,Weekly,Fortnightly,Monthly,Ongoing"</formula1>
    </dataValidation>
    <dataValidation sqref="G2:G160" showDropDown="0" showInputMessage="0" showErrorMessage="0" allowBlank="1" type="list">
      <formula1>"Agency,Cleo,Both"</formula1>
    </dataValidation>
    <dataValidation sqref="I2:I160" showDropDown="0" showInputMessage="0" showErrorMessage="0" allowBlank="1" type="list">
      <formula1>"High,Medium,Low"</formula1>
    </dataValidation>
    <dataValidation sqref="J2:J160" showDropDown="0" showInputMessage="0" showErrorMessage="0" allowBlank="1" type="list">
      <formula1>"Not started,In progress,Blocked,Done,Not applicable"</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B6" sqref="B6"/>
    </sheetView>
  </sheetViews>
  <sheetFormatPr baseColWidth="8" defaultColWidth="14.43" defaultRowHeight="15" customHeight="1"/>
  <cols>
    <col width="19" customWidth="1" style="47" min="1" max="1"/>
    <col width="62" customWidth="1" style="47" min="2" max="2"/>
    <col width="44" customWidth="1" style="47" min="3" max="3"/>
    <col width="14" customWidth="1" style="47" min="4" max="4"/>
    <col width="11" customWidth="1" style="47" min="5" max="5"/>
    <col width="30" customWidth="1" style="47" min="6" max="6"/>
    <col width="8.710000000000001" customWidth="1" style="47" min="7" max="26"/>
  </cols>
  <sheetData>
    <row r="1" ht="21.75" customHeight="1" s="47">
      <c r="A1" s="1" t="inlineStr">
        <is>
          <t>Website build timeline</t>
        </is>
      </c>
    </row>
    <row r="2">
      <c r="A2" s="3" t="inlineStr">
        <is>
          <t>Approved, full build. Real dates, not weeks-from-approval. Everything after 31 August slips one-for-one if the design sign-off slips.</t>
        </is>
      </c>
    </row>
    <row r="3"/>
    <row r="4" ht="27.75" customHeight="1" s="47">
      <c r="A4" s="5" t="inlineStr">
        <is>
          <t>When</t>
        </is>
      </c>
      <c r="B4" s="5" t="inlineStr">
        <is>
          <t>What we do</t>
        </is>
      </c>
      <c r="C4" s="5" t="inlineStr">
        <is>
          <t>What we need from Cleo</t>
        </is>
      </c>
      <c r="D4" s="5" t="inlineStr">
        <is>
          <t>Status</t>
        </is>
      </c>
      <c r="E4" s="5" t="inlineStr">
        <is>
          <t>Date done</t>
        </is>
      </c>
      <c r="F4" s="5" t="inlineStr">
        <is>
          <t>Notes</t>
        </is>
      </c>
    </row>
    <row r="5" ht="42" customHeight="1" s="47">
      <c r="A5" s="11" t="inlineStr">
        <is>
          <t>Aug 24 - 28</t>
        </is>
      </c>
      <c r="B5" s="14" t="inlineStr">
        <is>
          <t>Planning and design: sitemap, page inventory, wireframes for home, contact and the treatment template, keyword-to-page map, brand kit pulled from design/brand</t>
        </is>
      </c>
      <c r="C5" s="14" t="inlineStr">
        <is>
          <t>Registrar login, treatment list with current pricing, photos of the room, a headshot, logo files</t>
        </is>
      </c>
      <c r="D5" s="14" t="inlineStr">
        <is>
          <t>Not started</t>
        </is>
      </c>
      <c r="E5" s="41" t="n"/>
      <c r="F5" s="14" t="n"/>
    </row>
    <row r="6" ht="42" customHeight="1" s="47">
      <c r="A6" s="11" t="inlineStr">
        <is>
          <t>Aug 31</t>
        </is>
      </c>
      <c r="B6" s="14" t="inlineStr">
        <is>
          <t>Design sign-off. This is the gate — nothing is built before it clears</t>
        </is>
      </c>
      <c r="C6" s="14" t="inlineStr">
        <is>
          <t>Sign off the wireframes and the look, in writing</t>
        </is>
      </c>
      <c r="D6" s="14" t="inlineStr">
        <is>
          <t>Not started</t>
        </is>
      </c>
      <c r="E6" s="41" t="n"/>
      <c r="F6" s="14" t="n"/>
    </row>
    <row r="7" ht="42" customHeight="1" s="47">
      <c r="A7" s="11" t="inlineStr">
        <is>
          <t>Sep 1 - 6</t>
        </is>
      </c>
      <c r="B7" s="14" t="inlineStr">
        <is>
          <t>BUILD STARTS. Hosting sorted, DNS pointed at the new site, platform set up, page structure scaffolded</t>
        </is>
      </c>
      <c r="C7" s="14" t="inlineStr">
        <is>
          <t>Nothing. This week is ours</t>
        </is>
      </c>
      <c r="D7" s="14" t="inlineStr">
        <is>
          <t>Not started</t>
        </is>
      </c>
      <c r="E7" s="41" t="n"/>
      <c r="F7" s="14" t="n"/>
    </row>
    <row r="8" ht="42" customHeight="1" s="47">
      <c r="A8" s="11" t="inlineStr">
        <is>
          <t>Sep 7 - 13</t>
        </is>
      </c>
      <c r="B8" s="14" t="inlineStr">
        <is>
          <t>Home and contact complete in staging: corrected address at L6M 4L9, real hours, booking link, LocalBusiness and Service schema, title tags and meta descriptions</t>
        </is>
      </c>
      <c r="C8" s="14" t="inlineStr">
        <is>
          <t>Read the home page copy and approve it</t>
        </is>
      </c>
      <c r="D8" s="14" t="inlineStr">
        <is>
          <t>Not started</t>
        </is>
      </c>
      <c r="E8" s="41" t="n"/>
      <c r="F8" s="14" t="n"/>
    </row>
    <row r="9" ht="42" customHeight="1" s="47">
      <c r="A9" s="11" t="inlineStr">
        <is>
          <t>Sep 14 - 27</t>
        </is>
      </c>
      <c r="B9" s="14" t="inlineStr">
        <is>
          <t>Treatment pages: lip filler, dermal filler and facial balancing, anti-wrinkle injections, skin boosters. Internal linking, image compression, alt text</t>
        </is>
      </c>
      <c r="C9" s="14" t="inlineStr">
        <is>
          <t>Read the copy and confirm every claim is one you can stand behind</t>
        </is>
      </c>
      <c r="D9" s="14" t="inlineStr">
        <is>
          <t>Not started</t>
        </is>
      </c>
      <c r="E9" s="41" t="n"/>
      <c r="F9" s="14" t="n"/>
    </row>
    <row r="10" ht="42" customHeight="1" s="47">
      <c r="A10" s="11" t="inlineStr">
        <is>
          <t>Sep 28 - Oct 4</t>
        </is>
      </c>
      <c r="B10" s="14" t="inlineStr">
        <is>
          <t>Remaining treatment pages: dermaplaning, electrolysis, Belkyra. The Oakville and surrounding-area page. Mobile speed pass</t>
        </is>
      </c>
      <c r="C10" s="14" t="inlineStr">
        <is>
          <t>Nothing. This week is ours</t>
        </is>
      </c>
      <c r="D10" s="14" t="inlineStr">
        <is>
          <t>Not started</t>
        </is>
      </c>
      <c r="E10" s="41" t="n"/>
      <c r="F10" s="14" t="n"/>
    </row>
    <row r="11" ht="42" customHeight="1" s="47">
      <c r="A11" s="11" t="inlineStr">
        <is>
          <t>Oct 5 - 11</t>
        </is>
      </c>
      <c r="B11" s="14" t="inlineStr">
        <is>
          <t>LAUNCH. Search Console verified, sitemap submitted, analytics running, GBP website field repointed, every citation updated to the new URL</t>
        </is>
      </c>
      <c r="C11" s="14" t="inlineStr">
        <is>
          <t>Final sign-off before it goes live</t>
        </is>
      </c>
      <c r="D11" s="14" t="inlineStr">
        <is>
          <t>Not started</t>
        </is>
      </c>
      <c r="E11" s="41" t="n"/>
      <c r="F11" s="14" t="n"/>
    </row>
    <row r="12" ht="42" customHeight="1" s="47">
      <c r="A12" s="11" t="inlineStr">
        <is>
          <t>Oct 12 - Nov 8</t>
        </is>
      </c>
      <c r="B12" s="14" t="inlineStr">
        <is>
          <t>Indexing and on-page. Fix whatever Search Console flags, FAQ schema on the treatment pages, the first three question-intent articles</t>
        </is>
      </c>
      <c r="C12" s="14" t="inlineStr">
        <is>
          <t>The questions you get asked most in consults</t>
        </is>
      </c>
      <c r="D12" s="14" t="inlineStr">
        <is>
          <t>Not started</t>
        </is>
      </c>
      <c r="E12" s="41" t="n"/>
      <c r="F12" s="14" t="n"/>
    </row>
    <row r="13" ht="42" customHeight="1" s="47">
      <c r="A13" s="11" t="inlineStr">
        <is>
          <t>Nov 9 - Feb 14</t>
        </is>
      </c>
      <c r="B13" s="14" t="inlineStr">
        <is>
          <t>Depth. Weight-loss page, before-and-after gallery, five more articles, near-miss query optimisation, technical audit, handover</t>
        </is>
      </c>
      <c r="C13" s="14" t="inlineStr">
        <is>
          <t>Consent-cleared photos as they come, and the consult questions</t>
        </is>
      </c>
      <c r="D13" s="14" t="inlineStr">
        <is>
          <t>Not started</t>
        </is>
      </c>
      <c r="E13" s="41" t="n"/>
      <c r="F13" s="14" t="n"/>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conditionalFormatting sqref="A5:F13">
    <cfRule type="expression" priority="1" dxfId="0">
      <formula>$D5="Done"</formula>
    </cfRule>
    <cfRule type="expression" priority="2" dxfId="1">
      <formula>$D5="Blocked"</formula>
    </cfRule>
    <cfRule type="expression" priority="3" dxfId="2">
      <formula>$D5="In progress"</formula>
    </cfRule>
  </conditionalFormatting>
  <dataValidations count="1">
    <dataValidation sqref="D5:D13" showDropDown="0" showInputMessage="0" showErrorMessage="0" allowBlank="1" type="list">
      <formula1>"Not started,In progress,Blocked,Done,Not applicable"</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J101"/>
  <sheetViews>
    <sheetView workbookViewId="0">
      <pane ySplit="11" topLeftCell="A12" activePane="bottomLeft" state="frozen"/>
      <selection pane="bottomLeft" activeCell="A1" sqref="A1"/>
    </sheetView>
  </sheetViews>
  <sheetFormatPr baseColWidth="8" defaultRowHeight="15"/>
  <cols>
    <col width="42" customWidth="1" style="47" min="1" max="1"/>
    <col width="11" customWidth="1" style="47" min="2" max="2"/>
    <col width="7" customWidth="1" style="47" min="3" max="3"/>
    <col width="9" customWidth="1" style="47" min="4" max="4"/>
    <col width="14" customWidth="1" style="47" min="5" max="5"/>
    <col width="34" customWidth="1" style="47" min="6" max="6"/>
    <col width="19" customWidth="1" style="47" min="7" max="7"/>
    <col width="12" customWidth="1" style="47" min="8" max="8"/>
    <col width="12" customWidth="1" style="47" min="9" max="9"/>
    <col width="62" customWidth="1" style="47" min="10" max="10"/>
  </cols>
  <sheetData>
    <row r="1">
      <c r="A1" s="1" t="inlineStr">
        <is>
          <t>Target keywords</t>
        </is>
      </c>
    </row>
    <row r="2">
      <c r="A2" s="3" t="inlineStr">
        <is>
          <t>All volume, difficulty and CPC figures below are live Semrush data, Canada database, pulled 21 August 2026. Nothing here is estimated. Re-pull each quarter.</t>
        </is>
      </c>
    </row>
    <row r="4">
      <c r="A4" s="8" t="inlineStr">
        <is>
          <t>HOW TO READ THIS</t>
        </is>
      </c>
    </row>
    <row r="5">
      <c r="A5" s="52" t="inlineStr">
        <is>
          <t>Volume is monthly Canadian searches. KD is Semrush keyword difficulty, 0 to 100 - under 15 is reachable for a new site, over 40 needs authority you will not have this year.</t>
        </is>
      </c>
    </row>
    <row r="6">
      <c r="A6" s="52" t="inlineStr">
        <is>
          <t>Tier 1 is what the treatment pages are built to win. Tier 2 is adjacent and area terms. Tier 3 feeds the blog. Tier 4 is worth owning but will never show up in a traffic report.</t>
        </is>
      </c>
    </row>
    <row r="7">
      <c r="A7" s="52" t="inlineStr">
        <is>
          <t>One keyword, one page. Two pages chasing the same term split the signal and neither ranks.</t>
        </is>
      </c>
    </row>
    <row r="9">
      <c r="A9" s="53" t="inlineStr">
        <is>
          <t>TIER 1 - MONEY TERMS. These are what the treatment pages are built to win.</t>
        </is>
      </c>
      <c r="B9" s="54" t="n"/>
      <c r="C9" s="54" t="n"/>
      <c r="D9" s="54" t="n"/>
      <c r="E9" s="54" t="n"/>
      <c r="F9" s="54" t="n"/>
      <c r="G9" s="54" t="n"/>
      <c r="H9" s="54" t="n"/>
      <c r="I9" s="54" t="n"/>
      <c r="J9" s="54" t="n"/>
    </row>
    <row r="10">
      <c r="A10" s="52" t="inlineStr">
        <is>
          <t>Nine of the eleven sit at KD 25 or below. This is a soft local SERP - Reddit outranks most clinics for botox oakville.</t>
        </is>
      </c>
    </row>
    <row r="11">
      <c r="A11" s="55" t="inlineStr">
        <is>
          <t>Keyword</t>
        </is>
      </c>
      <c r="B11" s="55" t="inlineStr">
        <is>
          <t>Volume /mo</t>
        </is>
      </c>
      <c r="C11" s="55" t="inlineStr">
        <is>
          <t>KD</t>
        </is>
      </c>
      <c r="D11" s="55" t="inlineStr">
        <is>
          <t>CPC (CAD)</t>
        </is>
      </c>
      <c r="E11" s="55" t="inlineStr">
        <is>
          <t>Intent</t>
        </is>
      </c>
      <c r="F11" s="55" t="inlineStr">
        <is>
          <t>Target page</t>
        </is>
      </c>
      <c r="G11" s="55" t="inlineStr">
        <is>
          <t>Channel</t>
        </is>
      </c>
      <c r="H11" s="55" t="inlineStr">
        <is>
          <t>Current rank</t>
        </is>
      </c>
      <c r="I11" s="55" t="inlineStr">
        <is>
          <t>Last checked</t>
        </is>
      </c>
      <c r="J11" s="55" t="inlineStr">
        <is>
          <t>Notes</t>
        </is>
      </c>
    </row>
    <row r="12">
      <c r="A12" s="49" t="inlineStr">
        <is>
          <t>botox oakville</t>
        </is>
      </c>
      <c r="B12" s="56" t="n">
        <v>480</v>
      </c>
      <c r="C12" s="56" t="n">
        <v>25</v>
      </c>
      <c r="D12" s="57" t="n">
        <v>0</v>
      </c>
      <c r="E12" s="49" t="inlineStr">
        <is>
          <t>Commercial</t>
        </is>
      </c>
      <c r="F12" s="51" t="inlineStr">
        <is>
          <t>/anti-wrinkle-injections/</t>
        </is>
      </c>
      <c r="G12" s="49" t="inlineStr">
        <is>
          <t>Map pack + organic</t>
        </is>
      </c>
      <c r="H12" s="49" t="n"/>
      <c r="I12" s="49" t="n"/>
      <c r="J12" s="51" t="inlineStr">
        <is>
          <t>The biggest local prize. Reddit ranks #2 for this today and oakvillederm #1 - the SERP is soft.</t>
        </is>
      </c>
    </row>
    <row r="13">
      <c r="A13" s="49" t="inlineStr">
        <is>
          <t>lip filler oakville</t>
        </is>
      </c>
      <c r="B13" s="56" t="n">
        <v>170</v>
      </c>
      <c r="C13" s="56" t="n">
        <v>7</v>
      </c>
      <c r="D13" s="57" t="n">
        <v>2.45</v>
      </c>
      <c r="E13" s="49" t="inlineStr">
        <is>
          <t>Commercial</t>
        </is>
      </c>
      <c r="F13" s="51" t="inlineStr">
        <is>
          <t>/lip-filler/</t>
        </is>
      </c>
      <c r="G13" s="49" t="inlineStr">
        <is>
          <t>Organic</t>
        </is>
      </c>
      <c r="H13" s="49" t="n"/>
      <c r="I13" s="49" t="n"/>
      <c r="J13" s="51" t="inlineStr">
        <is>
          <t>KD 7. The roadmap called this 'competitive, first page not guaranteed'. The data says otherwise - take it.</t>
        </is>
      </c>
    </row>
    <row r="14">
      <c r="A14" s="49" t="inlineStr">
        <is>
          <t>med spa oakville</t>
        </is>
      </c>
      <c r="B14" s="56" t="n">
        <v>140</v>
      </c>
      <c r="C14" s="56" t="n">
        <v>29</v>
      </c>
      <c r="D14" s="57" t="n">
        <v>1.35</v>
      </c>
      <c r="E14" s="49" t="inlineStr">
        <is>
          <t>Commercial</t>
        </is>
      </c>
      <c r="F14" s="51" t="inlineStr">
        <is>
          <t>/</t>
        </is>
      </c>
      <c r="G14" s="49" t="inlineStr">
        <is>
          <t>Map pack + organic</t>
        </is>
      </c>
      <c r="H14" s="49" t="n"/>
      <c r="I14" s="49" t="n"/>
      <c r="J14" s="51" t="inlineStr">
        <is>
          <t>Hardest of the tier. Home page term, won on reviews and profile strength as much as copy.</t>
        </is>
      </c>
    </row>
    <row r="15">
      <c r="A15" s="49" t="inlineStr">
        <is>
          <t>electrolysis oakville</t>
        </is>
      </c>
      <c r="B15" s="56" t="n">
        <v>140</v>
      </c>
      <c r="C15" s="56" t="n">
        <v>11</v>
      </c>
      <c r="D15" s="57" t="n">
        <v>0.8100000000000001</v>
      </c>
      <c r="E15" s="49" t="inlineStr">
        <is>
          <t>Commercial</t>
        </is>
      </c>
      <c r="F15" s="51" t="inlineStr">
        <is>
          <t>/electrolysis/</t>
        </is>
      </c>
      <c r="G15" s="49" t="inlineStr">
        <is>
          <t>Organic</t>
        </is>
      </c>
      <c r="H15" s="49" t="n"/>
      <c r="I15" s="49" t="n"/>
      <c r="J15" s="51" t="inlineStr">
        <is>
          <t>Confirmed low competition, as the roadmap assumed. Real volume behind it.</t>
        </is>
      </c>
    </row>
    <row r="16">
      <c r="A16" s="49" t="inlineStr">
        <is>
          <t>lip injections oakville</t>
        </is>
      </c>
      <c r="B16" s="56" t="n">
        <v>110</v>
      </c>
      <c r="C16" s="56" t="n">
        <v>5</v>
      </c>
      <c r="D16" s="57" t="n">
        <v>2.03</v>
      </c>
      <c r="E16" s="49" t="inlineStr">
        <is>
          <t>Transactional</t>
        </is>
      </c>
      <c r="F16" s="51" t="inlineStr">
        <is>
          <t>/lip-filler/</t>
        </is>
      </c>
      <c r="G16" s="49" t="inlineStr">
        <is>
          <t>Organic</t>
        </is>
      </c>
      <c r="H16" s="49" t="n"/>
      <c r="I16" s="49" t="n"/>
      <c r="J16" s="51" t="inlineStr">
        <is>
          <t>Transactional intent. Secondary H2 on the lip filler page - NOT its own page, it would cannibalise.</t>
        </is>
      </c>
    </row>
    <row r="17">
      <c r="A17" s="49" t="inlineStr">
        <is>
          <t>dermal filler oakville</t>
        </is>
      </c>
      <c r="B17" s="56" t="n">
        <v>90</v>
      </c>
      <c r="C17" s="56" t="n">
        <v>5</v>
      </c>
      <c r="D17" s="57" t="n">
        <v>4.8</v>
      </c>
      <c r="E17" s="49" t="inlineStr">
        <is>
          <t>Commercial</t>
        </is>
      </c>
      <c r="F17" s="51" t="inlineStr">
        <is>
          <t>/dermal-filler-facial-balancing/</t>
        </is>
      </c>
      <c r="G17" s="49" t="inlineStr">
        <is>
          <t>Organic</t>
        </is>
      </c>
      <c r="H17" s="49" t="n"/>
      <c r="I17" s="49" t="n"/>
      <c r="J17" s="51" t="inlineStr">
        <is>
          <t>Lowest difficulty with real volume, and the highest CPC in the local set - the most commercially valuable term here.</t>
        </is>
      </c>
    </row>
    <row r="18">
      <c r="A18" s="49" t="inlineStr">
        <is>
          <t>best botox oakville</t>
        </is>
      </c>
      <c r="B18" s="56" t="n">
        <v>70</v>
      </c>
      <c r="C18" s="56" t="n">
        <v>16</v>
      </c>
      <c r="D18" s="57" t="n">
        <v>1.84</v>
      </c>
      <c r="E18" s="49" t="inlineStr">
        <is>
          <t>Commercial</t>
        </is>
      </c>
      <c r="F18" s="51" t="inlineStr">
        <is>
          <t>/anti-wrinkle-injections/</t>
        </is>
      </c>
      <c r="G18" s="49" t="inlineStr">
        <is>
          <t>Organic</t>
        </is>
      </c>
      <c r="H18" s="49" t="n"/>
      <c r="I18" s="49" t="n"/>
      <c r="J18" s="51" t="inlineStr">
        <is>
          <t>Review-driven. Will not move until the review count climbs; revisit month 3.</t>
        </is>
      </c>
    </row>
    <row r="19">
      <c r="A19" s="49" t="inlineStr">
        <is>
          <t>botox oakville ontario</t>
        </is>
      </c>
      <c r="B19" s="56" t="n">
        <v>50</v>
      </c>
      <c r="C19" s="56" t="n">
        <v>0</v>
      </c>
      <c r="D19" s="57" t="n">
        <v>0</v>
      </c>
      <c r="E19" s="49" t="inlineStr">
        <is>
          <t>Commercial</t>
        </is>
      </c>
      <c r="F19" s="51" t="inlineStr">
        <is>
          <t>/anti-wrinkle-injections/</t>
        </is>
      </c>
      <c r="G19" s="49" t="inlineStr">
        <is>
          <t>Organic</t>
        </is>
      </c>
      <c r="H19" s="49" t="n"/>
      <c r="I19" s="49" t="n"/>
      <c r="J19" s="51" t="inlineStr">
        <is>
          <t>KD 0. Free win - one H2 and a mention in the meta description.</t>
        </is>
      </c>
    </row>
    <row r="20">
      <c r="A20" s="49" t="inlineStr">
        <is>
          <t>dermaplaning oakville</t>
        </is>
      </c>
      <c r="B20" s="56" t="n">
        <v>40</v>
      </c>
      <c r="C20" s="56" t="n">
        <v>0</v>
      </c>
      <c r="D20" s="57" t="n">
        <v>1.16</v>
      </c>
      <c r="E20" s="49" t="inlineStr">
        <is>
          <t>Commercial</t>
        </is>
      </c>
      <c r="F20" s="51" t="inlineStr">
        <is>
          <t>/dermaplaning/</t>
        </is>
      </c>
      <c r="G20" s="49" t="inlineStr">
        <is>
          <t>Organic</t>
        </is>
      </c>
      <c r="H20" s="49" t="n"/>
      <c r="I20" s="49" t="n"/>
      <c r="J20" s="51" t="inlineStr">
        <is>
          <t>KD 0. Should rank within weeks of launch.</t>
        </is>
      </c>
    </row>
    <row r="21">
      <c r="A21" s="49" t="inlineStr">
        <is>
          <t>medspa oakville</t>
        </is>
      </c>
      <c r="B21" s="56" t="n">
        <v>30</v>
      </c>
      <c r="C21" s="56" t="n">
        <v>0</v>
      </c>
      <c r="D21" s="57" t="n">
        <v>1.36</v>
      </c>
      <c r="E21" s="49" t="inlineStr">
        <is>
          <t>Commercial</t>
        </is>
      </c>
      <c r="F21" s="51" t="inlineStr">
        <is>
          <t>/</t>
        </is>
      </c>
      <c r="G21" s="49" t="inlineStr">
        <is>
          <t>Organic</t>
        </is>
      </c>
      <c r="H21" s="49" t="n"/>
      <c r="I21" s="49" t="n"/>
      <c r="J21" s="51" t="inlineStr">
        <is>
          <t>Spelling variant of med spa oakville. Same page, no separate treatment.</t>
        </is>
      </c>
    </row>
    <row r="22">
      <c r="A22" s="49" t="inlineStr">
        <is>
          <t>belkyra oakville</t>
        </is>
      </c>
      <c r="B22" s="56" t="n">
        <v>10</v>
      </c>
      <c r="C22" s="56" t="n">
        <v>0</v>
      </c>
      <c r="D22" s="57" t="n">
        <v>0</v>
      </c>
      <c r="E22" s="49" t="inlineStr">
        <is>
          <t>Commercial</t>
        </is>
      </c>
      <c r="F22" s="51" t="inlineStr">
        <is>
          <t>/belkyra/</t>
        </is>
      </c>
      <c r="G22" s="49" t="inlineStr">
        <is>
          <t>Organic</t>
        </is>
      </c>
      <c r="H22" s="49" t="n"/>
      <c r="I22" s="49" t="n"/>
      <c r="J22" s="51" t="inlineStr">
        <is>
          <t>Tiny, but uncontested. Worth a page because nobody else has one.</t>
        </is>
      </c>
    </row>
    <row r="24">
      <c r="A24" s="53" t="inlineStr">
        <is>
          <t>TIER 2 - ADJACENT SERVICES AND SURROUNDING AREA</t>
        </is>
      </c>
      <c r="B24" s="54" t="n"/>
      <c r="C24" s="54" t="n"/>
      <c r="D24" s="54" t="n"/>
      <c r="E24" s="54" t="n"/>
      <c r="F24" s="54" t="n"/>
      <c r="G24" s="54" t="n"/>
      <c r="H24" s="54" t="n"/>
      <c r="I24" s="54" t="n"/>
      <c r="J24" s="54" t="n"/>
    </row>
    <row r="25">
      <c r="A25" s="52" t="inlineStr">
        <is>
          <t>Near-me terms are won by the Google profile, never by a page. Burlington and Mississauga wait until Oakville is won.</t>
        </is>
      </c>
    </row>
    <row r="26">
      <c r="A26" s="55" t="inlineStr">
        <is>
          <t>Keyword</t>
        </is>
      </c>
      <c r="B26" s="55" t="inlineStr">
        <is>
          <t>Volume /mo</t>
        </is>
      </c>
      <c r="C26" s="55" t="inlineStr">
        <is>
          <t>KD</t>
        </is>
      </c>
      <c r="D26" s="55" t="inlineStr">
        <is>
          <t>CPC (CAD)</t>
        </is>
      </c>
      <c r="E26" s="55" t="inlineStr">
        <is>
          <t>Intent</t>
        </is>
      </c>
      <c r="F26" s="55" t="inlineStr">
        <is>
          <t>Target page</t>
        </is>
      </c>
      <c r="G26" s="55" t="inlineStr">
        <is>
          <t>Channel</t>
        </is>
      </c>
      <c r="H26" s="55" t="inlineStr">
        <is>
          <t>Current rank</t>
        </is>
      </c>
      <c r="I26" s="55" t="inlineStr">
        <is>
          <t>Last checked</t>
        </is>
      </c>
      <c r="J26" s="55" t="inlineStr">
        <is>
          <t>Notes</t>
        </is>
      </c>
    </row>
    <row r="27">
      <c r="A27" s="49" t="inlineStr">
        <is>
          <t>laser hair removal oakville</t>
        </is>
      </c>
      <c r="B27" s="56" t="n">
        <v>480</v>
      </c>
      <c r="C27" s="56" t="n">
        <v>9</v>
      </c>
      <c r="D27" s="57" t="n">
        <v>1.76</v>
      </c>
      <c r="E27" s="49" t="inlineStr">
        <is>
          <t>Commercial</t>
        </is>
      </c>
      <c r="F27" s="51" t="inlineStr">
        <is>
          <t>-- not a service today --</t>
        </is>
      </c>
      <c r="G27" s="49" t="inlineStr">
        <is>
          <t>Decision needed</t>
        </is>
      </c>
      <c r="H27" s="49" t="n"/>
      <c r="I27" s="49" t="n"/>
      <c r="J27" s="51" t="inlineStr">
        <is>
          <t>THE BIGGEST UNTAPPED TERM IN THIS SHEET. 480/mo at KD 9 and Cleo does not offer it. Decide whether to add the service.</t>
        </is>
      </c>
    </row>
    <row r="28">
      <c r="A28" s="49" t="inlineStr">
        <is>
          <t>facial oakville</t>
        </is>
      </c>
      <c r="B28" s="56" t="n">
        <v>320</v>
      </c>
      <c r="C28" s="56" t="n">
        <v>9</v>
      </c>
      <c r="D28" s="57" t="n">
        <v>1.13</v>
      </c>
      <c r="E28" s="49" t="inlineStr">
        <is>
          <t>Commercial</t>
        </is>
      </c>
      <c r="F28" s="51" t="inlineStr">
        <is>
          <t>/dermaplaning/</t>
        </is>
      </c>
      <c r="G28" s="49" t="inlineStr">
        <is>
          <t>Organic</t>
        </is>
      </c>
      <c r="H28" s="49" t="n"/>
      <c r="I28" s="49" t="n"/>
      <c r="J28" s="51" t="inlineStr">
        <is>
          <t>Dermaplaning is a facial. Worth an H2 and an internal link - 8x the volume of dermaplaning oakville.</t>
        </is>
      </c>
    </row>
    <row r="29">
      <c r="A29" s="49" t="inlineStr">
        <is>
          <t>skin clinic oakville</t>
        </is>
      </c>
      <c r="B29" s="56" t="n">
        <v>140</v>
      </c>
      <c r="C29" s="56" t="n">
        <v>32</v>
      </c>
      <c r="D29" s="57" t="n">
        <v>1.26</v>
      </c>
      <c r="E29" s="49" t="inlineStr">
        <is>
          <t>Commercial</t>
        </is>
      </c>
      <c r="F29" s="51" t="inlineStr">
        <is>
          <t>/</t>
        </is>
      </c>
      <c r="G29" s="49" t="inlineStr">
        <is>
          <t>Organic</t>
        </is>
      </c>
      <c r="H29" s="49" t="n"/>
      <c r="I29" s="49" t="n"/>
      <c r="J29" s="51" t="inlineStr">
        <is>
          <t>Home page secondary term.</t>
        </is>
      </c>
    </row>
    <row r="30">
      <c r="A30" s="49" t="inlineStr">
        <is>
          <t>weight loss clinic oakville</t>
        </is>
      </c>
      <c r="B30" s="56" t="n">
        <v>70</v>
      </c>
      <c r="C30" s="56" t="n">
        <v>38</v>
      </c>
      <c r="D30" s="57" t="n">
        <v>4.81</v>
      </c>
      <c r="E30" s="49" t="inlineStr">
        <is>
          <t>Commercial</t>
        </is>
      </c>
      <c r="F30" s="51" t="inlineStr">
        <is>
          <t>/weight-loss/</t>
        </is>
      </c>
      <c r="G30" s="49" t="inlineStr">
        <is>
          <t>Organic</t>
        </is>
      </c>
      <c r="H30" s="49" t="n"/>
      <c r="I30" s="49" t="n"/>
      <c r="J30" s="51" t="inlineStr">
        <is>
          <t>Highest CPC in the whole set at $4.81, and the hardest KD. Month 4 pre-launch page, month 6 full page.</t>
        </is>
      </c>
    </row>
    <row r="31">
      <c r="A31" s="49" t="inlineStr">
        <is>
          <t>nurse injector toronto</t>
        </is>
      </c>
      <c r="B31" s="56" t="n">
        <v>50</v>
      </c>
      <c r="C31" s="56" t="n">
        <v>0</v>
      </c>
      <c r="D31" s="57" t="n">
        <v>0</v>
      </c>
      <c r="E31" s="49" t="inlineStr">
        <is>
          <t>Commercial</t>
        </is>
      </c>
      <c r="F31" s="51" t="inlineStr">
        <is>
          <t>/about-np-cleo/</t>
        </is>
      </c>
      <c r="G31" s="49" t="inlineStr">
        <is>
          <t>Organic</t>
        </is>
      </c>
      <c r="H31" s="49" t="n"/>
      <c r="I31" s="49" t="n"/>
      <c r="J31" s="51" t="inlineStr">
        <is>
          <t>KD 0. 'nurse injector' has volume in Toronto but none in Oakville - see Tier 4.</t>
        </is>
      </c>
    </row>
    <row r="32">
      <c r="A32" s="49" t="inlineStr">
        <is>
          <t>aesthetic clinic oakville</t>
        </is>
      </c>
      <c r="B32" s="56" t="n">
        <v>40</v>
      </c>
      <c r="C32" s="56" t="n">
        <v>0</v>
      </c>
      <c r="D32" s="57" t="n">
        <v>0</v>
      </c>
      <c r="E32" s="49" t="inlineStr">
        <is>
          <t>Commercial</t>
        </is>
      </c>
      <c r="F32" s="51" t="inlineStr">
        <is>
          <t>/</t>
        </is>
      </c>
      <c r="G32" s="49" t="inlineStr">
        <is>
          <t>Organic</t>
        </is>
      </c>
      <c r="H32" s="49" t="n"/>
      <c r="I32" s="49" t="n"/>
      <c r="J32" s="51" t="inlineStr">
        <is>
          <t>KD 0.</t>
        </is>
      </c>
    </row>
    <row r="33">
      <c r="A33" s="49" t="inlineStr">
        <is>
          <t>nurse injector near me</t>
        </is>
      </c>
      <c r="B33" s="56" t="n">
        <v>30</v>
      </c>
      <c r="C33" s="56" t="n">
        <v>0</v>
      </c>
      <c r="D33" s="57" t="n">
        <v>1.68</v>
      </c>
      <c r="E33" s="49" t="inlineStr">
        <is>
          <t>Commercial</t>
        </is>
      </c>
      <c r="F33" s="51" t="inlineStr">
        <is>
          <t>GBP</t>
        </is>
      </c>
      <c r="G33" s="49" t="inlineStr">
        <is>
          <t>Map pack only</t>
        </is>
      </c>
      <c r="H33" s="49" t="n"/>
      <c r="I33" s="49" t="n"/>
      <c r="J33" s="51" t="inlineStr">
        <is>
          <t>Won by the Google profile, not the site.</t>
        </is>
      </c>
    </row>
    <row r="34">
      <c r="A34" s="49" t="inlineStr">
        <is>
          <t>cosmetic clinic oakville</t>
        </is>
      </c>
      <c r="B34" s="56" t="n">
        <v>30</v>
      </c>
      <c r="C34" s="56" t="n">
        <v>0</v>
      </c>
      <c r="D34" s="57" t="n">
        <v>1.39</v>
      </c>
      <c r="E34" s="49" t="inlineStr">
        <is>
          <t>Commercial</t>
        </is>
      </c>
      <c r="F34" s="51" t="inlineStr">
        <is>
          <t>/</t>
        </is>
      </c>
      <c r="G34" s="49" t="inlineStr">
        <is>
          <t>Organic</t>
        </is>
      </c>
      <c r="H34" s="49" t="n"/>
      <c r="I34" s="49" t="n"/>
      <c r="J34" s="51" t="inlineStr">
        <is>
          <t>KD 0.</t>
        </is>
      </c>
    </row>
    <row r="35">
      <c r="A35" s="49" t="inlineStr">
        <is>
          <t>filler oakville</t>
        </is>
      </c>
      <c r="B35" s="56" t="n">
        <v>20</v>
      </c>
      <c r="C35" s="56" t="n">
        <v>0</v>
      </c>
      <c r="D35" s="57" t="n">
        <v>0</v>
      </c>
      <c r="E35" s="49" t="inlineStr">
        <is>
          <t>Commercial</t>
        </is>
      </c>
      <c r="F35" s="51" t="inlineStr">
        <is>
          <t>/dermal-filler-facial-balancing/</t>
        </is>
      </c>
      <c r="G35" s="49" t="inlineStr">
        <is>
          <t>Organic</t>
        </is>
      </c>
      <c r="H35" s="49" t="n"/>
      <c r="I35" s="49" t="n"/>
      <c r="J35" s="51" t="inlineStr">
        <is>
          <t>Head-term variant.</t>
        </is>
      </c>
    </row>
    <row r="36">
      <c r="A36" s="49" t="inlineStr">
        <is>
          <t>injectables oakville</t>
        </is>
      </c>
      <c r="B36" s="56" t="n">
        <v>10</v>
      </c>
      <c r="C36" s="56" t="n">
        <v>0</v>
      </c>
      <c r="D36" s="57" t="n">
        <v>0</v>
      </c>
      <c r="E36" s="49" t="inlineStr">
        <is>
          <t>Commercial</t>
        </is>
      </c>
      <c r="F36" s="51" t="inlineStr">
        <is>
          <t>/</t>
        </is>
      </c>
      <c r="G36" s="49" t="inlineStr">
        <is>
          <t>Organic</t>
        </is>
      </c>
      <c r="H36" s="49" t="n"/>
      <c r="I36" s="49" t="n"/>
      <c r="J36" s="51" t="inlineStr">
        <is>
          <t>Small, but KD 0.</t>
        </is>
      </c>
    </row>
    <row r="37">
      <c r="A37" s="49" t="inlineStr">
        <is>
          <t>botox near me</t>
        </is>
      </c>
      <c r="B37" s="56" t="n">
        <v>6600</v>
      </c>
      <c r="C37" s="56" t="n">
        <v>24</v>
      </c>
      <c r="D37" s="57" t="n">
        <v>2.25</v>
      </c>
      <c r="E37" s="49" t="inlineStr">
        <is>
          <t>Commercial</t>
        </is>
      </c>
      <c r="F37" s="51" t="inlineStr">
        <is>
          <t>GBP</t>
        </is>
      </c>
      <c r="G37" s="49" t="inlineStr">
        <is>
          <t>Map pack only</t>
        </is>
      </c>
      <c r="H37" s="49" t="n"/>
      <c r="I37" s="49" t="n"/>
      <c r="J37" s="51" t="inlineStr">
        <is>
          <t>Huge, but national and won only by the Google profile. Never a page target.</t>
        </is>
      </c>
    </row>
    <row r="38">
      <c r="A38" s="49" t="inlineStr">
        <is>
          <t>med spa near me</t>
        </is>
      </c>
      <c r="B38" s="56" t="n">
        <v>880</v>
      </c>
      <c r="C38" s="56" t="n">
        <v>24</v>
      </c>
      <c r="D38" s="57" t="n">
        <v>1.45</v>
      </c>
      <c r="E38" s="49" t="inlineStr">
        <is>
          <t>Commercial</t>
        </is>
      </c>
      <c r="F38" s="51" t="inlineStr">
        <is>
          <t>GBP</t>
        </is>
      </c>
      <c r="G38" s="49" t="inlineStr">
        <is>
          <t>Map pack only</t>
        </is>
      </c>
      <c r="H38" s="49" t="n"/>
      <c r="I38" s="49" t="n"/>
      <c r="J38" s="51" t="inlineStr">
        <is>
          <t>Depends entirely on resolving the Allure same-address filtering.</t>
        </is>
      </c>
    </row>
    <row r="39">
      <c r="A39" s="49" t="inlineStr">
        <is>
          <t>lip filler near me</t>
        </is>
      </c>
      <c r="B39" s="56" t="n">
        <v>880</v>
      </c>
      <c r="C39" s="56" t="n">
        <v>11</v>
      </c>
      <c r="D39" s="57" t="n">
        <v>1.61</v>
      </c>
      <c r="E39" s="49" t="inlineStr">
        <is>
          <t>Commercial</t>
        </is>
      </c>
      <c r="F39" s="51" t="inlineStr">
        <is>
          <t>GBP</t>
        </is>
      </c>
      <c r="G39" s="49" t="inlineStr">
        <is>
          <t>Map pack only</t>
        </is>
      </c>
      <c r="H39" s="49" t="n"/>
      <c r="I39" s="49" t="n"/>
      <c r="J39" s="51" t="inlineStr">
        <is>
          <t>Profile term, not a page term.</t>
        </is>
      </c>
    </row>
    <row r="40">
      <c r="A40" s="49" t="inlineStr">
        <is>
          <t>botox burlington</t>
        </is>
      </c>
      <c r="B40" s="56" t="n">
        <v>390</v>
      </c>
      <c r="C40" s="56" t="n">
        <v>37</v>
      </c>
      <c r="D40" s="57" t="n">
        <v>2.62</v>
      </c>
      <c r="E40" s="49" t="inlineStr">
        <is>
          <t>Commercial</t>
        </is>
      </c>
      <c r="F40" s="51" t="inlineStr">
        <is>
          <t>/oakville-and-area/</t>
        </is>
      </c>
      <c r="G40" s="49" t="inlineStr">
        <is>
          <t>Month 5+</t>
        </is>
      </c>
      <c r="H40" s="49" t="n"/>
      <c r="I40" s="49" t="n"/>
      <c r="J40" s="51" t="inlineStr">
        <is>
          <t>Do not chase before Oakville is won. KD 37 is the hardest local term in the set.</t>
        </is>
      </c>
    </row>
    <row r="41">
      <c r="A41" s="49" t="inlineStr">
        <is>
          <t>lip filler burlington</t>
        </is>
      </c>
      <c r="B41" s="56" t="n">
        <v>90</v>
      </c>
      <c r="C41" s="56" t="n">
        <v>9</v>
      </c>
      <c r="D41" s="57" t="n">
        <v>2.04</v>
      </c>
      <c r="E41" s="49" t="inlineStr">
        <is>
          <t>Commercial</t>
        </is>
      </c>
      <c r="F41" s="51" t="inlineStr">
        <is>
          <t>/oakville-and-area/</t>
        </is>
      </c>
      <c r="G41" s="49" t="inlineStr">
        <is>
          <t>Month 5+</t>
        </is>
      </c>
      <c r="H41" s="49" t="n"/>
      <c r="I41" s="49" t="n"/>
      <c r="J41" s="51" t="inlineStr">
        <is>
          <t>KD 9 - the easiest of the Burlington set.</t>
        </is>
      </c>
    </row>
    <row r="42">
      <c r="A42" s="49" t="inlineStr">
        <is>
          <t>med spa burlington</t>
        </is>
      </c>
      <c r="B42" s="56" t="n">
        <v>70</v>
      </c>
      <c r="C42" s="56" t="n">
        <v>28</v>
      </c>
      <c r="D42" s="57" t="n">
        <v>1.68</v>
      </c>
      <c r="E42" s="49" t="inlineStr">
        <is>
          <t>Commercial</t>
        </is>
      </c>
      <c r="F42" s="51" t="inlineStr">
        <is>
          <t>/oakville-and-area/</t>
        </is>
      </c>
      <c r="G42" s="49" t="inlineStr">
        <is>
          <t>Month 5+</t>
        </is>
      </c>
      <c r="H42" s="49" t="n"/>
      <c r="I42" s="49" t="n"/>
      <c r="J42" s="51" t="inlineStr"/>
    </row>
    <row r="43">
      <c r="A43" s="49" t="inlineStr">
        <is>
          <t>botox mississauga</t>
        </is>
      </c>
      <c r="B43" s="56" t="n">
        <v>480</v>
      </c>
      <c r="C43" s="56" t="n">
        <v>17</v>
      </c>
      <c r="D43" s="57" t="n">
        <v>0</v>
      </c>
      <c r="E43" s="49" t="inlineStr">
        <is>
          <t>Commercial</t>
        </is>
      </c>
      <c r="F43" s="51" t="inlineStr">
        <is>
          <t>-- watch only --</t>
        </is>
      </c>
      <c r="G43" s="49" t="inlineStr">
        <is>
          <t>Watch</t>
        </is>
      </c>
      <c r="H43" s="49" t="n"/>
      <c r="I43" s="49" t="n"/>
      <c r="J43" s="51" t="inlineStr">
        <is>
          <t>Skin Vitality territory (10,350 keywords, 33,870 visits/mo). Outside the 15km service area. Do not chase.</t>
        </is>
      </c>
    </row>
    <row r="44">
      <c r="A44" s="49" t="inlineStr">
        <is>
          <t>lip filler mississauga</t>
        </is>
      </c>
      <c r="B44" s="56" t="n">
        <v>260</v>
      </c>
      <c r="C44" s="56" t="n">
        <v>18</v>
      </c>
      <c r="D44" s="57" t="n">
        <v>1.76</v>
      </c>
      <c r="E44" s="49" t="inlineStr">
        <is>
          <t>Commercial</t>
        </is>
      </c>
      <c r="F44" s="51" t="inlineStr">
        <is>
          <t>-- watch only --</t>
        </is>
      </c>
      <c r="G44" s="49" t="inlineStr">
        <is>
          <t>Watch</t>
        </is>
      </c>
      <c r="H44" s="49" t="n"/>
      <c r="I44" s="49" t="n"/>
      <c r="J44" s="51" t="inlineStr">
        <is>
          <t>Outside service area. Watch only.</t>
        </is>
      </c>
    </row>
    <row r="46">
      <c r="A46" s="53" t="inlineStr">
        <is>
          <t>TIER 3 - QUESTION TERMS. These feed the blog, not the treatment pages.</t>
        </is>
      </c>
      <c r="B46" s="54" t="n"/>
      <c r="C46" s="54" t="n"/>
      <c r="D46" s="54" t="n"/>
      <c r="E46" s="54" t="n"/>
      <c r="F46" s="54" t="n"/>
      <c r="G46" s="54" t="n"/>
      <c r="H46" s="54" t="n"/>
      <c r="I46" s="54" t="n"/>
      <c r="J46" s="54" t="n"/>
    </row>
    <row r="47">
      <c r="A47" s="52" t="inlineStr">
        <is>
          <t>Every row maps to a pillar and an article on the Blog Pillars tab. Ordered by volume.</t>
        </is>
      </c>
    </row>
    <row r="48">
      <c r="A48" s="55" t="inlineStr">
        <is>
          <t>Keyword</t>
        </is>
      </c>
      <c r="B48" s="55" t="inlineStr">
        <is>
          <t>Volume /mo</t>
        </is>
      </c>
      <c r="C48" s="55" t="inlineStr">
        <is>
          <t>KD</t>
        </is>
      </c>
      <c r="D48" s="55" t="inlineStr">
        <is>
          <t>CPC (CAD)</t>
        </is>
      </c>
      <c r="E48" s="55" t="inlineStr">
        <is>
          <t>Intent</t>
        </is>
      </c>
      <c r="F48" s="55" t="inlineStr">
        <is>
          <t>Pillar</t>
        </is>
      </c>
      <c r="G48" s="55" t="inlineStr">
        <is>
          <t>Article</t>
        </is>
      </c>
      <c r="H48" s="55" t="inlineStr">
        <is>
          <t>Current rank</t>
        </is>
      </c>
      <c r="I48" s="55" t="inlineStr">
        <is>
          <t>Last checked</t>
        </is>
      </c>
      <c r="J48" s="55" t="inlineStr">
        <is>
          <t>Notes</t>
        </is>
      </c>
    </row>
    <row r="49">
      <c r="A49" s="49" t="inlineStr">
        <is>
          <t>how long does lip filler last</t>
        </is>
      </c>
      <c r="B49" s="56" t="n">
        <v>1000</v>
      </c>
      <c r="C49" s="56" t="n">
        <v>15</v>
      </c>
      <c r="D49" s="57" t="n">
        <v>0.22</v>
      </c>
      <c r="E49" s="49" t="inlineStr">
        <is>
          <t>Informational</t>
        </is>
      </c>
      <c r="F49" s="51" t="inlineStr">
        <is>
          <t>Longevity &amp; Aftercare</t>
        </is>
      </c>
      <c r="G49" s="51" t="inlineStr">
        <is>
          <t>/blog/how-long-does-lip-filler-last/</t>
        </is>
      </c>
      <c r="H49" s="49" t="n"/>
      <c r="I49" s="49" t="n"/>
      <c r="J49" s="51" t="inlineStr"/>
    </row>
    <row r="50">
      <c r="A50" s="49" t="inlineStr">
        <is>
          <t>botox aftercare</t>
        </is>
      </c>
      <c r="B50" s="56" t="n">
        <v>1000</v>
      </c>
      <c r="C50" s="56" t="n">
        <v>32</v>
      </c>
      <c r="D50" s="57" t="n">
        <v>0.5</v>
      </c>
      <c r="E50" s="49" t="inlineStr">
        <is>
          <t>Informational</t>
        </is>
      </c>
      <c r="F50" s="51" t="inlineStr">
        <is>
          <t>Longevity &amp; Aftercare</t>
        </is>
      </c>
      <c r="G50" s="51" t="inlineStr">
        <is>
          <t>/blog/aftercare-anti-wrinkle-injections/</t>
        </is>
      </c>
      <c r="H50" s="49" t="n"/>
      <c r="I50" s="49" t="n"/>
      <c r="J50" s="51" t="inlineStr"/>
    </row>
    <row r="51">
      <c r="A51" s="49" t="inlineStr">
        <is>
          <t>what is dermaplaning</t>
        </is>
      </c>
      <c r="B51" s="56" t="n">
        <v>880</v>
      </c>
      <c r="C51" s="56" t="n">
        <v>23</v>
      </c>
      <c r="D51" s="57" t="n">
        <v>0.03</v>
      </c>
      <c r="E51" s="49" t="inlineStr">
        <is>
          <t>Informational</t>
        </is>
      </c>
      <c r="F51" s="51" t="inlineStr">
        <is>
          <t>Treatment Explainers</t>
        </is>
      </c>
      <c r="G51" s="51" t="inlineStr">
        <is>
          <t>/blog/what-is-dermaplaning/</t>
        </is>
      </c>
      <c r="H51" s="49" t="n"/>
      <c r="I51" s="49" t="n"/>
      <c r="J51" s="51" t="inlineStr"/>
    </row>
    <row r="52">
      <c r="A52" s="49" t="inlineStr">
        <is>
          <t>what is a dermaplane</t>
        </is>
      </c>
      <c r="B52" s="56" t="n">
        <v>880</v>
      </c>
      <c r="C52" s="56" t="n">
        <v>24</v>
      </c>
      <c r="D52" s="57" t="n">
        <v>0.03</v>
      </c>
      <c r="E52" s="49" t="inlineStr">
        <is>
          <t>Informational</t>
        </is>
      </c>
      <c r="F52" s="51" t="inlineStr">
        <is>
          <t>Treatment Explainers</t>
        </is>
      </c>
      <c r="G52" s="51" t="inlineStr">
        <is>
          <t>/blog/what-is-dermaplaning/</t>
        </is>
      </c>
      <c r="H52" s="49" t="n"/>
      <c r="I52" s="49" t="n"/>
      <c r="J52" s="51" t="inlineStr"/>
    </row>
    <row r="53">
      <c r="A53" s="49" t="inlineStr">
        <is>
          <t>electrolysis vs laser hair removal</t>
        </is>
      </c>
      <c r="B53" s="56" t="n">
        <v>480</v>
      </c>
      <c r="C53" s="56" t="n">
        <v>28</v>
      </c>
      <c r="D53" s="57" t="n">
        <v>0.24</v>
      </c>
      <c r="E53" s="49" t="inlineStr">
        <is>
          <t>Informational</t>
        </is>
      </c>
      <c r="F53" s="51" t="inlineStr">
        <is>
          <t>Treatment Explainers</t>
        </is>
      </c>
      <c r="G53" s="51" t="inlineStr">
        <is>
          <t>/blog/electrolysis-vs-laser-hair-removal/</t>
        </is>
      </c>
      <c r="H53" s="49" t="n"/>
      <c r="I53" s="49" t="n"/>
      <c r="J53" s="51" t="inlineStr"/>
    </row>
    <row r="54">
      <c r="A54" s="49" t="inlineStr">
        <is>
          <t>baby botox</t>
        </is>
      </c>
      <c r="B54" s="56" t="n">
        <v>480</v>
      </c>
      <c r="C54" s="56" t="n">
        <v>17</v>
      </c>
      <c r="D54" s="57" t="n">
        <v>1.2</v>
      </c>
      <c r="E54" s="49" t="inlineStr">
        <is>
          <t>Informational</t>
        </is>
      </c>
      <c r="F54" s="51" t="inlineStr">
        <is>
          <t>First-timer, Safety &amp; Candidacy</t>
        </is>
      </c>
      <c r="G54" s="51" t="inlineStr">
        <is>
          <t>/blog/baby-botox-and-preventative-treatment/</t>
        </is>
      </c>
      <c r="H54" s="49" t="n"/>
      <c r="I54" s="49" t="n"/>
      <c r="J54" s="51" t="inlineStr"/>
    </row>
    <row r="55">
      <c r="A55" s="49" t="inlineStr">
        <is>
          <t>how much is lip filler</t>
        </is>
      </c>
      <c r="B55" s="56" t="n">
        <v>390</v>
      </c>
      <c r="C55" s="56" t="n">
        <v>11</v>
      </c>
      <c r="D55" s="57" t="n">
        <v>0.72</v>
      </c>
      <c r="E55" s="49" t="inlineStr">
        <is>
          <t>Informational</t>
        </is>
      </c>
      <c r="F55" s="51" t="inlineStr">
        <is>
          <t>Cost &amp; Value</t>
        </is>
      </c>
      <c r="G55" s="51" t="inlineStr">
        <is>
          <t>/blog/how-much-does-lip-filler-cost-in-oakville/</t>
        </is>
      </c>
      <c r="H55" s="49" t="n"/>
      <c r="I55" s="49" t="n"/>
      <c r="J55" s="51" t="inlineStr"/>
    </row>
    <row r="56">
      <c r="A56" s="49" t="inlineStr">
        <is>
          <t>lip filler aftercare</t>
        </is>
      </c>
      <c r="B56" s="56" t="n">
        <v>320</v>
      </c>
      <c r="C56" s="56" t="n">
        <v>14</v>
      </c>
      <c r="D56" s="57" t="n">
        <v>0.05</v>
      </c>
      <c r="E56" s="49" t="inlineStr">
        <is>
          <t>Informational</t>
        </is>
      </c>
      <c r="F56" s="51" t="inlineStr">
        <is>
          <t>Longevity &amp; Aftercare</t>
        </is>
      </c>
      <c r="G56" s="51" t="inlineStr">
        <is>
          <t>/blog/lip-filler-aftercare/</t>
        </is>
      </c>
      <c r="H56" s="49" t="n"/>
      <c r="I56" s="49" t="n"/>
      <c r="J56" s="51" t="inlineStr"/>
    </row>
    <row r="57">
      <c r="A57" s="49" t="inlineStr">
        <is>
          <t>how much does lip filler cost</t>
        </is>
      </c>
      <c r="B57" s="56" t="n">
        <v>260</v>
      </c>
      <c r="C57" s="56" t="n">
        <v>15</v>
      </c>
      <c r="D57" s="57" t="n">
        <v>0.7</v>
      </c>
      <c r="E57" s="49" t="inlineStr">
        <is>
          <t>Informational</t>
        </is>
      </c>
      <c r="F57" s="51" t="inlineStr">
        <is>
          <t>Cost &amp; Value</t>
        </is>
      </c>
      <c r="G57" s="51" t="inlineStr">
        <is>
          <t>/blog/how-much-does-lip-filler-cost-in-oakville/</t>
        </is>
      </c>
      <c r="H57" s="49" t="n"/>
      <c r="I57" s="49" t="n"/>
      <c r="J57" s="51" t="inlineStr"/>
    </row>
    <row r="58">
      <c r="A58" s="49" t="inlineStr">
        <is>
          <t>how to dermaplane</t>
        </is>
      </c>
      <c r="B58" s="56" t="n">
        <v>210</v>
      </c>
      <c r="C58" s="56" t="n">
        <v>27</v>
      </c>
      <c r="D58" s="57" t="n">
        <v>0.02</v>
      </c>
      <c r="E58" s="49" t="inlineStr">
        <is>
          <t>Informational</t>
        </is>
      </c>
      <c r="F58" s="51" t="inlineStr">
        <is>
          <t>Treatment Explainers</t>
        </is>
      </c>
      <c r="G58" s="51" t="inlineStr">
        <is>
          <t>/blog/what-is-dermaplaning/</t>
        </is>
      </c>
      <c r="H58" s="49" t="n"/>
      <c r="I58" s="49" t="n"/>
      <c r="J58" s="51" t="inlineStr"/>
    </row>
    <row r="59">
      <c r="A59" s="49" t="inlineStr">
        <is>
          <t>is dermaplaning good for skin</t>
        </is>
      </c>
      <c r="B59" s="56" t="n">
        <v>210</v>
      </c>
      <c r="C59" s="56" t="n">
        <v>35</v>
      </c>
      <c r="D59" s="57" t="n">
        <v>0.03</v>
      </c>
      <c r="E59" s="49" t="inlineStr">
        <is>
          <t>Informational</t>
        </is>
      </c>
      <c r="F59" s="51" t="inlineStr">
        <is>
          <t>Treatment Explainers</t>
        </is>
      </c>
      <c r="G59" s="51" t="inlineStr">
        <is>
          <t>/blog/what-is-dermaplaning/</t>
        </is>
      </c>
      <c r="H59" s="49" t="n"/>
      <c r="I59" s="49" t="n"/>
      <c r="J59" s="51" t="inlineStr"/>
    </row>
    <row r="60">
      <c r="A60" s="49" t="inlineStr">
        <is>
          <t>preventative botox</t>
        </is>
      </c>
      <c r="B60" s="56" t="n">
        <v>210</v>
      </c>
      <c r="C60" s="56" t="n">
        <v>45</v>
      </c>
      <c r="D60" s="57" t="n">
        <v>1.39</v>
      </c>
      <c r="E60" s="49" t="inlineStr">
        <is>
          <t>Informational</t>
        </is>
      </c>
      <c r="F60" s="51" t="inlineStr">
        <is>
          <t>First-timer, Safety &amp; Candidacy</t>
        </is>
      </c>
      <c r="G60" s="51" t="inlineStr">
        <is>
          <t>/blog/baby-botox-and-preventative-treatment/</t>
        </is>
      </c>
      <c r="H60" s="49" t="n"/>
      <c r="I60" s="49" t="n"/>
      <c r="J60" s="51" t="inlineStr"/>
    </row>
    <row r="61">
      <c r="A61" s="49" t="inlineStr">
        <is>
          <t>what is electrolysis hair removal</t>
        </is>
      </c>
      <c r="B61" s="56" t="n">
        <v>170</v>
      </c>
      <c r="C61" s="56" t="n">
        <v>43</v>
      </c>
      <c r="D61" s="57" t="n">
        <v>0.02</v>
      </c>
      <c r="E61" s="49" t="inlineStr">
        <is>
          <t>Informational</t>
        </is>
      </c>
      <c r="F61" s="51" t="inlineStr">
        <is>
          <t>Treatment Explainers</t>
        </is>
      </c>
      <c r="G61" s="51" t="inlineStr">
        <is>
          <t>/blog/electrolysis-vs-laser-hair-removal/</t>
        </is>
      </c>
      <c r="H61" s="49" t="n"/>
      <c r="I61" s="49" t="n"/>
      <c r="J61" s="51" t="inlineStr"/>
    </row>
    <row r="62">
      <c r="A62" s="49" t="inlineStr">
        <is>
          <t>how often should you dermaplane</t>
        </is>
      </c>
      <c r="B62" s="56" t="n">
        <v>140</v>
      </c>
      <c r="C62" s="56" t="n">
        <v>19</v>
      </c>
      <c r="D62" s="57" t="n">
        <v>0.03</v>
      </c>
      <c r="E62" s="49" t="inlineStr">
        <is>
          <t>Informational</t>
        </is>
      </c>
      <c r="F62" s="51" t="inlineStr">
        <is>
          <t>Treatment Explainers</t>
        </is>
      </c>
      <c r="G62" s="51" t="inlineStr">
        <is>
          <t>/blog/what-is-dermaplaning/</t>
        </is>
      </c>
      <c r="H62" s="49" t="n"/>
      <c r="I62" s="49" t="n"/>
      <c r="J62" s="51" t="inlineStr"/>
    </row>
    <row r="63">
      <c r="A63" s="49" t="inlineStr">
        <is>
          <t>lip filler swelling</t>
        </is>
      </c>
      <c r="B63" s="56" t="n">
        <v>140</v>
      </c>
      <c r="C63" s="56" t="n">
        <v>28</v>
      </c>
      <c r="D63" s="57" t="n">
        <v>0</v>
      </c>
      <c r="E63" s="49" t="inlineStr">
        <is>
          <t>Informational</t>
        </is>
      </c>
      <c r="F63" s="51" t="inlineStr">
        <is>
          <t>Longevity &amp; Aftercare</t>
        </is>
      </c>
      <c r="G63" s="51" t="inlineStr">
        <is>
          <t>/blog/lip-filler-aftercare/</t>
        </is>
      </c>
      <c r="H63" s="49" t="n"/>
      <c r="I63" s="49" t="n"/>
      <c r="J63" s="51" t="inlineStr"/>
    </row>
    <row r="64">
      <c r="A64" s="49" t="inlineStr">
        <is>
          <t>does lip filler hurt</t>
        </is>
      </c>
      <c r="B64" s="56" t="n">
        <v>110</v>
      </c>
      <c r="C64" s="56" t="n">
        <v>7</v>
      </c>
      <c r="D64" s="57" t="n">
        <v>0.02</v>
      </c>
      <c r="E64" s="49" t="inlineStr">
        <is>
          <t>Informational</t>
        </is>
      </c>
      <c r="F64" s="51" t="inlineStr">
        <is>
          <t>First-timer, Safety &amp; Candidacy</t>
        </is>
      </c>
      <c r="G64" s="51" t="inlineStr">
        <is>
          <t>/blog/what-to-expect-first-filler-appointment/</t>
        </is>
      </c>
      <c r="H64" s="49" t="n"/>
      <c r="I64" s="49" t="n"/>
      <c r="J64" s="51" t="inlineStr"/>
    </row>
    <row r="65">
      <c r="A65" s="49" t="inlineStr">
        <is>
          <t>can you get lip filler while pregnant</t>
        </is>
      </c>
      <c r="B65" s="56" t="n">
        <v>110</v>
      </c>
      <c r="C65" s="56" t="n">
        <v>10</v>
      </c>
      <c r="D65" s="57" t="n">
        <v>0</v>
      </c>
      <c r="E65" s="49" t="inlineStr">
        <is>
          <t>Informational</t>
        </is>
      </c>
      <c r="F65" s="51" t="inlineStr">
        <is>
          <t>First-timer, Safety &amp; Candidacy</t>
        </is>
      </c>
      <c r="G65" s="51" t="inlineStr">
        <is>
          <t>/blog/who-is-not-a-candidate/</t>
        </is>
      </c>
      <c r="H65" s="49" t="n"/>
      <c r="I65" s="49" t="n"/>
      <c r="J65" s="51" t="inlineStr"/>
    </row>
    <row r="66">
      <c r="A66" s="49" t="inlineStr">
        <is>
          <t>how much is lip filler in canada</t>
        </is>
      </c>
      <c r="B66" s="56" t="n">
        <v>110</v>
      </c>
      <c r="C66" s="56" t="n">
        <v>5</v>
      </c>
      <c r="D66" s="57" t="n">
        <v>0.66</v>
      </c>
      <c r="E66" s="49" t="inlineStr">
        <is>
          <t>Informational</t>
        </is>
      </c>
      <c r="F66" s="51" t="inlineStr">
        <is>
          <t>Cost &amp; Value</t>
        </is>
      </c>
      <c r="G66" s="51" t="inlineStr">
        <is>
          <t>/blog/how-much-does-lip-filler-cost-in-oakville/</t>
        </is>
      </c>
      <c r="H66" s="49" t="n"/>
      <c r="I66" s="49" t="n"/>
      <c r="J66" s="51" t="inlineStr"/>
    </row>
    <row r="67">
      <c r="A67" s="49" t="inlineStr">
        <is>
          <t>how much does botox cost in ontario</t>
        </is>
      </c>
      <c r="B67" s="56" t="n">
        <v>90</v>
      </c>
      <c r="C67" s="56" t="n">
        <v>4</v>
      </c>
      <c r="D67" s="57" t="n">
        <v>0</v>
      </c>
      <c r="E67" s="49" t="inlineStr">
        <is>
          <t>Informational</t>
        </is>
      </c>
      <c r="F67" s="51" t="inlineStr">
        <is>
          <t>Cost &amp; Value</t>
        </is>
      </c>
      <c r="G67" s="51" t="inlineStr">
        <is>
          <t>/blog/what-anti-wrinkle-treatment-costs-in-ontario/</t>
        </is>
      </c>
      <c r="H67" s="49" t="n"/>
      <c r="I67" s="49" t="n"/>
      <c r="J67" s="51" t="inlineStr"/>
    </row>
    <row r="68">
      <c r="A68" s="49" t="inlineStr">
        <is>
          <t>botox cost canada</t>
        </is>
      </c>
      <c r="B68" s="56" t="n">
        <v>90</v>
      </c>
      <c r="C68" s="56" t="n">
        <v>11</v>
      </c>
      <c r="D68" s="57" t="n">
        <v>0</v>
      </c>
      <c r="E68" s="49" t="inlineStr">
        <is>
          <t>Informational</t>
        </is>
      </c>
      <c r="F68" s="51" t="inlineStr">
        <is>
          <t>Cost &amp; Value</t>
        </is>
      </c>
      <c r="G68" s="51" t="inlineStr">
        <is>
          <t>/blog/what-anti-wrinkle-treatment-costs-in-ontario/</t>
        </is>
      </c>
      <c r="H68" s="49" t="n"/>
      <c r="I68" s="49" t="n"/>
      <c r="J68" s="51" t="inlineStr"/>
    </row>
    <row r="69">
      <c r="A69" s="49" t="inlineStr">
        <is>
          <t>what are skin boosters</t>
        </is>
      </c>
      <c r="B69" s="56" t="n">
        <v>90</v>
      </c>
      <c r="C69" s="56" t="n">
        <v>23</v>
      </c>
      <c r="D69" s="57" t="n">
        <v>0</v>
      </c>
      <c r="E69" s="49" t="inlineStr">
        <is>
          <t>Informational</t>
        </is>
      </c>
      <c r="F69" s="51" t="inlineStr">
        <is>
          <t>Treatment Explainers</t>
        </is>
      </c>
      <c r="G69" s="51" t="inlineStr">
        <is>
          <t>/blog/what-are-skin-boosters/</t>
        </is>
      </c>
      <c r="H69" s="49" t="n"/>
      <c r="I69" s="49" t="n"/>
      <c r="J69" s="51" t="inlineStr"/>
    </row>
    <row r="70">
      <c r="A70" s="49" t="inlineStr">
        <is>
          <t>what is a skin booster</t>
        </is>
      </c>
      <c r="B70" s="56" t="n">
        <v>90</v>
      </c>
      <c r="C70" s="56" t="n">
        <v>23</v>
      </c>
      <c r="D70" s="57" t="n">
        <v>0</v>
      </c>
      <c r="E70" s="49" t="inlineStr">
        <is>
          <t>Informational</t>
        </is>
      </c>
      <c r="F70" s="51" t="inlineStr">
        <is>
          <t>Treatment Explainers</t>
        </is>
      </c>
      <c r="G70" s="51" t="inlineStr">
        <is>
          <t>/blog/what-are-skin-boosters/</t>
        </is>
      </c>
      <c r="H70" s="49" t="n"/>
      <c r="I70" s="49" t="n"/>
      <c r="J70" s="51" t="inlineStr"/>
    </row>
    <row r="71">
      <c r="A71" s="49" t="inlineStr">
        <is>
          <t>how to know if lip filler has gone wrong</t>
        </is>
      </c>
      <c r="B71" s="56" t="n">
        <v>90</v>
      </c>
      <c r="C71" s="56" t="n">
        <v>21</v>
      </c>
      <c r="D71" s="57" t="n">
        <v>0</v>
      </c>
      <c r="E71" s="49" t="inlineStr">
        <is>
          <t>Informational</t>
        </is>
      </c>
      <c r="F71" s="51" t="inlineStr">
        <is>
          <t>First-timer, Safety &amp; Candidacy</t>
        </is>
      </c>
      <c r="G71" s="51" t="inlineStr">
        <is>
          <t>/blog/who-is-not-a-candidate/</t>
        </is>
      </c>
      <c r="H71" s="49" t="n"/>
      <c r="I71" s="49" t="n"/>
      <c r="J71" s="51" t="inlineStr"/>
    </row>
    <row r="72">
      <c r="A72" s="49" t="inlineStr">
        <is>
          <t>how long does dermaplaning last</t>
        </is>
      </c>
      <c r="B72" s="56" t="n">
        <v>90</v>
      </c>
      <c r="C72" s="56" t="n">
        <v>15</v>
      </c>
      <c r="D72" s="57" t="n">
        <v>0.03</v>
      </c>
      <c r="E72" s="49" t="inlineStr">
        <is>
          <t>Informational</t>
        </is>
      </c>
      <c r="F72" s="51" t="inlineStr">
        <is>
          <t>Longevity &amp; Aftercare</t>
        </is>
      </c>
      <c r="G72" s="51" t="inlineStr">
        <is>
          <t>/blog/what-is-dermaplaning/</t>
        </is>
      </c>
      <c r="H72" s="49" t="n"/>
      <c r="I72" s="49" t="n"/>
      <c r="J72" s="51" t="inlineStr"/>
    </row>
    <row r="73">
      <c r="A73" s="49" t="inlineStr">
        <is>
          <t>how often can you dermaplane</t>
        </is>
      </c>
      <c r="B73" s="56" t="n">
        <v>90</v>
      </c>
      <c r="C73" s="56" t="n">
        <v>11</v>
      </c>
      <c r="D73" s="57" t="n">
        <v>0.03</v>
      </c>
      <c r="E73" s="49" t="inlineStr">
        <is>
          <t>Informational</t>
        </is>
      </c>
      <c r="F73" s="51" t="inlineStr">
        <is>
          <t>Treatment Explainers</t>
        </is>
      </c>
      <c r="G73" s="51" t="inlineStr">
        <is>
          <t>/blog/what-is-dermaplaning/</t>
        </is>
      </c>
      <c r="H73" s="49" t="n"/>
      <c r="I73" s="49" t="n"/>
      <c r="J73" s="51" t="inlineStr"/>
    </row>
    <row r="74">
      <c r="A74" s="49" t="inlineStr">
        <is>
          <t>what not to do after lip filler</t>
        </is>
      </c>
      <c r="B74" s="56" t="n">
        <v>70</v>
      </c>
      <c r="C74" s="56" t="n">
        <v>18</v>
      </c>
      <c r="D74" s="57" t="n">
        <v>0</v>
      </c>
      <c r="E74" s="49" t="inlineStr">
        <is>
          <t>Informational</t>
        </is>
      </c>
      <c r="F74" s="51" t="inlineStr">
        <is>
          <t>Longevity &amp; Aftercare</t>
        </is>
      </c>
      <c r="G74" s="51" t="inlineStr">
        <is>
          <t>/blog/lip-filler-aftercare/</t>
        </is>
      </c>
      <c r="H74" s="49" t="n"/>
      <c r="I74" s="49" t="n"/>
      <c r="J74" s="51" t="inlineStr"/>
    </row>
    <row r="75">
      <c r="A75" s="49" t="inlineStr">
        <is>
          <t>how long does lip filler swelling last</t>
        </is>
      </c>
      <c r="B75" s="56" t="n">
        <v>70</v>
      </c>
      <c r="C75" s="56" t="n">
        <v>0</v>
      </c>
      <c r="D75" s="57" t="n">
        <v>0</v>
      </c>
      <c r="E75" s="49" t="inlineStr">
        <is>
          <t>Informational</t>
        </is>
      </c>
      <c r="F75" s="51" t="inlineStr">
        <is>
          <t>Longevity &amp; Aftercare</t>
        </is>
      </c>
      <c r="G75" s="51" t="inlineStr">
        <is>
          <t>/blog/lip-filler-aftercare/</t>
        </is>
      </c>
      <c r="H75" s="49" t="n"/>
      <c r="I75" s="49" t="n"/>
      <c r="J75" s="51" t="inlineStr"/>
    </row>
    <row r="77">
      <c r="A77" s="53" t="inlineStr">
        <is>
          <t>TIER 4 - OWN IT, BUT DO NOT MEASURE BY IT</t>
        </is>
      </c>
      <c r="B77" s="54" t="n"/>
      <c r="C77" s="54" t="n"/>
      <c r="D77" s="54" t="n"/>
      <c r="E77" s="54" t="n"/>
      <c r="F77" s="54" t="n"/>
      <c r="G77" s="54" t="n"/>
      <c r="H77" s="54" t="n"/>
      <c r="I77" s="54" t="n"/>
      <c r="J77" s="54" t="n"/>
    </row>
    <row r="78">
      <c r="A78" s="52" t="inlineStr">
        <is>
          <t>Every term here returned NO ROW in Semrush - below the volume floor. They cost nothing to include on a page and they convert when someone does search them. They will not move a traffic number.</t>
        </is>
      </c>
    </row>
    <row r="79">
      <c r="A79" s="55" t="inlineStr">
        <is>
          <t>Keyword</t>
        </is>
      </c>
      <c r="B79" s="55" t="inlineStr">
        <is>
          <t>Volume /mo</t>
        </is>
      </c>
      <c r="C79" s="55" t="inlineStr">
        <is>
          <t>KD</t>
        </is>
      </c>
      <c r="D79" s="55" t="inlineStr">
        <is>
          <t>CPC (CAD)</t>
        </is>
      </c>
      <c r="E79" s="55" t="inlineStr">
        <is>
          <t>Intent</t>
        </is>
      </c>
      <c r="F79" s="55" t="inlineStr">
        <is>
          <t>Target page</t>
        </is>
      </c>
      <c r="G79" s="55" t="inlineStr">
        <is>
          <t>Channel</t>
        </is>
      </c>
      <c r="H79" s="55" t="inlineStr">
        <is>
          <t>Current rank</t>
        </is>
      </c>
      <c r="I79" s="55" t="inlineStr">
        <is>
          <t>Last checked</t>
        </is>
      </c>
      <c r="J79" s="55" t="inlineStr">
        <is>
          <t>Notes</t>
        </is>
      </c>
    </row>
    <row r="80">
      <c r="A80" s="49" t="inlineStr">
        <is>
          <t>nurse injector oakville</t>
        </is>
      </c>
      <c r="B80" s="49" t="inlineStr">
        <is>
          <t>no data</t>
        </is>
      </c>
      <c r="C80" s="49" t="inlineStr">
        <is>
          <t>-</t>
        </is>
      </c>
      <c r="D80" s="49" t="inlineStr">
        <is>
          <t>-</t>
        </is>
      </c>
      <c r="E80" s="49" t="inlineStr">
        <is>
          <t>Commercial</t>
        </is>
      </c>
      <c r="F80" s="51" t="inlineStr">
        <is>
          <t>/about-np-cleo/</t>
        </is>
      </c>
      <c r="G80" s="49" t="inlineStr">
        <is>
          <t>Secondary H2</t>
        </is>
      </c>
      <c r="H80" s="49" t="n"/>
      <c r="I80" s="49" t="n"/>
      <c r="J80" s="51" t="inlineStr">
        <is>
          <t>NO ROW IN SEMRUSH - below the volume floor. The roadmap names this the top expected win and the Day 90 checkpoint rests on it. Own it (zero competition, perfect intent, good for GBP) but never measure success by it.</t>
        </is>
      </c>
    </row>
    <row r="81">
      <c r="A81" s="49" t="inlineStr">
        <is>
          <t>skin booster oakville</t>
        </is>
      </c>
      <c r="B81" s="49" t="inlineStr">
        <is>
          <t>no data</t>
        </is>
      </c>
      <c r="C81" s="49" t="inlineStr">
        <is>
          <t>-</t>
        </is>
      </c>
      <c r="D81" s="49" t="inlineStr">
        <is>
          <t>-</t>
        </is>
      </c>
      <c r="E81" s="49" t="inlineStr">
        <is>
          <t>Commercial</t>
        </is>
      </c>
      <c r="F81" s="51" t="inlineStr">
        <is>
          <t>/skin-boosters/</t>
        </is>
      </c>
      <c r="G81" s="49" t="inlineStr">
        <is>
          <t>Secondary H2</t>
        </is>
      </c>
      <c r="H81" s="49" t="n"/>
      <c r="I81" s="49" t="n"/>
      <c r="J81" s="51" t="inlineStr">
        <is>
          <t>No measurable local volume. The national term 'what are skin boosters' (90/mo) is the real route in.</t>
        </is>
      </c>
    </row>
    <row r="82">
      <c r="A82" s="49" t="inlineStr">
        <is>
          <t>anti wrinkle injections oakville</t>
        </is>
      </c>
      <c r="B82" s="49" t="inlineStr">
        <is>
          <t>no data</t>
        </is>
      </c>
      <c r="C82" s="49" t="inlineStr">
        <is>
          <t>-</t>
        </is>
      </c>
      <c r="D82" s="49" t="inlineStr">
        <is>
          <t>-</t>
        </is>
      </c>
      <c r="E82" s="49" t="inlineStr">
        <is>
          <t>Commercial</t>
        </is>
      </c>
      <c r="F82" s="51" t="inlineStr">
        <is>
          <t>/anti-wrinkle-injections/</t>
        </is>
      </c>
      <c r="G82" s="49" t="inlineStr">
        <is>
          <t>Secondary H2</t>
        </is>
      </c>
      <c r="H82" s="49" t="n"/>
      <c r="I82" s="49" t="n"/>
      <c r="J82" s="51" t="inlineStr">
        <is>
          <t>No measurable volume - Canadians search the brand name, not the category. Compliance limits how far you can lean on the brand.</t>
        </is>
      </c>
    </row>
    <row r="83">
      <c r="A83" s="49" t="inlineStr">
        <is>
          <t>facial balancing oakville</t>
        </is>
      </c>
      <c r="B83" s="49" t="inlineStr">
        <is>
          <t>no data</t>
        </is>
      </c>
      <c r="C83" s="49" t="inlineStr">
        <is>
          <t>-</t>
        </is>
      </c>
      <c r="D83" s="49" t="inlineStr">
        <is>
          <t>-</t>
        </is>
      </c>
      <c r="E83" s="49" t="inlineStr">
        <is>
          <t>Commercial</t>
        </is>
      </c>
      <c r="F83" s="51" t="inlineStr">
        <is>
          <t>/dermal-filler-facial-balancing/</t>
        </is>
      </c>
      <c r="G83" s="49" t="inlineStr">
        <is>
          <t>Secondary H2</t>
        </is>
      </c>
      <c r="H83" s="49" t="n"/>
      <c r="I83" s="49" t="n"/>
      <c r="J83" s="51" t="inlineStr">
        <is>
          <t>No measurable volume. Industry vocabulary, not patient vocabulary.</t>
        </is>
      </c>
    </row>
    <row r="84">
      <c r="A84" s="49" t="inlineStr">
        <is>
          <t>cheek filler oakville</t>
        </is>
      </c>
      <c r="B84" s="49" t="inlineStr">
        <is>
          <t>no data</t>
        </is>
      </c>
      <c r="C84" s="49" t="inlineStr">
        <is>
          <t>-</t>
        </is>
      </c>
      <c r="D84" s="49" t="inlineStr">
        <is>
          <t>-</t>
        </is>
      </c>
      <c r="E84" s="49" t="inlineStr">
        <is>
          <t>Commercial</t>
        </is>
      </c>
      <c r="F84" s="51" t="inlineStr">
        <is>
          <t>/dermal-filler-facial-balancing/</t>
        </is>
      </c>
      <c r="G84" s="49" t="inlineStr">
        <is>
          <t>Secondary H2</t>
        </is>
      </c>
      <c r="H84" s="49" t="n"/>
      <c r="I84" s="49" t="n"/>
      <c r="J84" s="51" t="inlineStr">
        <is>
          <t>No measurable volume, though competitive density is 0.92 - clinics bid on it. H2 only.</t>
        </is>
      </c>
    </row>
    <row r="85">
      <c r="A85" s="49" t="inlineStr">
        <is>
          <t>botox glen abbey</t>
        </is>
      </c>
      <c r="B85" s="49" t="inlineStr">
        <is>
          <t>no data</t>
        </is>
      </c>
      <c r="C85" s="49" t="inlineStr">
        <is>
          <t>-</t>
        </is>
      </c>
      <c r="D85" s="49" t="inlineStr">
        <is>
          <t>-</t>
        </is>
      </c>
      <c r="E85" s="49" t="inlineStr">
        <is>
          <t>Commercial</t>
        </is>
      </c>
      <c r="F85" s="51" t="inlineStr">
        <is>
          <t>/oakville-and-area/</t>
        </is>
      </c>
      <c r="G85" s="49" t="inlineStr">
        <is>
          <t>Secondary H2</t>
        </is>
      </c>
      <c r="H85" s="49" t="n"/>
      <c r="I85" s="49" t="n"/>
      <c r="J85" s="51" t="inlineStr">
        <is>
          <t>No measurable volume. Neighbourhood terms do not register; the area page covers it.</t>
        </is>
      </c>
    </row>
    <row r="86">
      <c r="A86" s="49" t="inlineStr">
        <is>
          <t>botox milton ontario</t>
        </is>
      </c>
      <c r="B86" s="49" t="inlineStr">
        <is>
          <t>no data</t>
        </is>
      </c>
      <c r="C86" s="49" t="inlineStr">
        <is>
          <t>-</t>
        </is>
      </c>
      <c r="D86" s="49" t="inlineStr">
        <is>
          <t>-</t>
        </is>
      </c>
      <c r="E86" s="49" t="inlineStr">
        <is>
          <t>Commercial</t>
        </is>
      </c>
      <c r="F86" s="51" t="inlineStr">
        <is>
          <t>/oakville-and-area/</t>
        </is>
      </c>
      <c r="G86" s="49" t="inlineStr">
        <is>
          <t>Secondary H2</t>
        </is>
      </c>
      <c r="H86" s="49" t="n"/>
      <c r="I86" s="49" t="n"/>
      <c r="J86" s="51" t="inlineStr">
        <is>
          <t>No measurable volume.</t>
        </is>
      </c>
    </row>
    <row r="87">
      <c r="A87" s="49" t="inlineStr">
        <is>
          <t>wrinkle treatment oakville</t>
        </is>
      </c>
      <c r="B87" s="49" t="inlineStr">
        <is>
          <t>no data</t>
        </is>
      </c>
      <c r="C87" s="49" t="inlineStr">
        <is>
          <t>-</t>
        </is>
      </c>
      <c r="D87" s="49" t="inlineStr">
        <is>
          <t>-</t>
        </is>
      </c>
      <c r="E87" s="49" t="inlineStr">
        <is>
          <t>Commercial</t>
        </is>
      </c>
      <c r="F87" s="51" t="inlineStr">
        <is>
          <t>/anti-wrinkle-injections/</t>
        </is>
      </c>
      <c r="G87" s="49" t="inlineStr">
        <is>
          <t>Secondary H2</t>
        </is>
      </c>
      <c r="H87" s="49" t="n"/>
      <c r="I87" s="49" t="n"/>
      <c r="J87" s="51" t="inlineStr">
        <is>
          <t>No measurable volume.</t>
        </is>
      </c>
    </row>
    <row r="88">
      <c r="A88" s="49" t="inlineStr">
        <is>
          <t>botox specials oakville</t>
        </is>
      </c>
      <c r="B88" s="49" t="inlineStr">
        <is>
          <t>no data</t>
        </is>
      </c>
      <c r="C88" s="49" t="inlineStr">
        <is>
          <t>-</t>
        </is>
      </c>
      <c r="D88" s="49" t="inlineStr">
        <is>
          <t>-</t>
        </is>
      </c>
      <c r="E88" s="49" t="inlineStr">
        <is>
          <t>Commercial</t>
        </is>
      </c>
      <c r="F88" s="51" t="inlineStr">
        <is>
          <t>-- none --</t>
        </is>
      </c>
      <c r="G88" s="49" t="inlineStr">
        <is>
          <t>Secondary H2</t>
        </is>
      </c>
      <c r="H88" s="49" t="n"/>
      <c r="I88" s="49" t="n"/>
      <c r="J88" s="51" t="inlineStr">
        <is>
          <t>No measurable volume, and discount framing sits badly with CNO advertising standards.</t>
        </is>
      </c>
    </row>
    <row r="90">
      <c r="A90" s="53" t="inlineStr">
        <is>
          <t>DO NOT CHASE - and why, so nobody re-adds them in month 4</t>
        </is>
      </c>
      <c r="B90" s="54" t="n"/>
      <c r="C90" s="54" t="n"/>
      <c r="D90" s="54" t="n"/>
      <c r="E90" s="54" t="n"/>
      <c r="F90" s="54" t="n"/>
      <c r="G90" s="54" t="n"/>
      <c r="H90" s="54" t="n"/>
      <c r="I90" s="54" t="n"/>
      <c r="J90" s="54" t="n"/>
    </row>
    <row r="91">
      <c r="A91" s="55" t="inlineStr">
        <is>
          <t>Keyword</t>
        </is>
      </c>
      <c r="B91" s="55" t="inlineStr">
        <is>
          <t>Volume /mo</t>
        </is>
      </c>
      <c r="C91" s="55" t="inlineStr">
        <is>
          <t>KD</t>
        </is>
      </c>
      <c r="D91" s="55" t="inlineStr">
        <is>
          <t>Reason to leave it alone</t>
        </is>
      </c>
    </row>
    <row r="92">
      <c r="A92" s="49" t="inlineStr">
        <is>
          <t>what is botox</t>
        </is>
      </c>
      <c r="B92" s="56" t="n">
        <v>2400</v>
      </c>
      <c r="C92" s="56" t="n">
        <v>94</v>
      </c>
      <c r="D92" s="51" t="inlineStr">
        <is>
          <t>KD 94. Owned by Wikipedia, Mayo Clinic and Health Canada. Unwinnable, and no commercial intent.</t>
        </is>
      </c>
    </row>
    <row r="93">
      <c r="A93" s="49" t="inlineStr">
        <is>
          <t>what is in botox</t>
        </is>
      </c>
      <c r="B93" s="56" t="n">
        <v>1300</v>
      </c>
      <c r="C93" s="56" t="n">
        <v>87</v>
      </c>
      <c r="D93" s="51" t="inlineStr">
        <is>
          <t>KD 87. Same story.</t>
        </is>
      </c>
    </row>
    <row r="94">
      <c r="A94" s="49" t="inlineStr">
        <is>
          <t>what is the botox</t>
        </is>
      </c>
      <c r="B94" s="56" t="n">
        <v>1300</v>
      </c>
      <c r="C94" s="56" t="n">
        <v>86</v>
      </c>
      <c r="D94" s="51" t="inlineStr">
        <is>
          <t>KD 86. Malformed query, no intent.</t>
        </is>
      </c>
    </row>
    <row r="95">
      <c r="A95" s="49" t="inlineStr">
        <is>
          <t>what is botox made of</t>
        </is>
      </c>
      <c r="B95" s="56" t="n">
        <v>590</v>
      </c>
      <c r="C95" s="56" t="n">
        <v>85</v>
      </c>
      <c r="D95" s="51" t="inlineStr">
        <is>
          <t>KD 85. Pharmacology, not a clinic topic.</t>
        </is>
      </c>
    </row>
    <row r="96">
      <c r="A96" s="49" t="inlineStr">
        <is>
          <t>is botox bad for you</t>
        </is>
      </c>
      <c r="B96" s="56" t="n">
        <v>590</v>
      </c>
      <c r="C96" s="56" t="n">
        <v>64</v>
      </c>
      <c r="D96" s="51" t="inlineStr">
        <is>
          <t>KD 64, and ranking for it invites a reputational frame you cannot control.</t>
        </is>
      </c>
    </row>
    <row r="97">
      <c r="A97" s="49" t="inlineStr">
        <is>
          <t>can botox cause cancer</t>
        </is>
      </c>
      <c r="B97" s="56" t="n">
        <v>390</v>
      </c>
      <c r="C97" s="56" t="n">
        <v>44</v>
      </c>
      <c r="D97" s="51" t="inlineStr">
        <is>
          <t>Do not touch. Answering it in advertising copy is a Health Canada and CNO risk with no upside.</t>
        </is>
      </c>
    </row>
    <row r="98">
      <c r="A98" s="49" t="inlineStr">
        <is>
          <t>what is hair botox</t>
        </is>
      </c>
      <c r="B98" s="56" t="n">
        <v>590</v>
      </c>
      <c r="C98" s="56" t="n">
        <v>32</v>
      </c>
      <c r="D98" s="51" t="inlineStr">
        <is>
          <t>A hair smoothing treatment - entirely different product. Wrong traffic.</t>
        </is>
      </c>
    </row>
    <row r="99">
      <c r="A99" s="49" t="inlineStr">
        <is>
          <t>how long does botox last</t>
        </is>
      </c>
      <c r="B99" s="56" t="n">
        <v>1900</v>
      </c>
      <c r="C99" s="56" t="n">
        <v>41</v>
      </c>
      <c r="D99" s="51" t="inlineStr">
        <is>
          <t>KD 41 with big volume. Tempting, but leave it until month 5 once the blog has authority.</t>
        </is>
      </c>
    </row>
    <row r="100">
      <c r="A100" s="49" t="inlineStr">
        <is>
          <t>did millie bobby brown get lip filler</t>
        </is>
      </c>
      <c r="B100" s="56" t="n">
        <v>320</v>
      </c>
      <c r="C100" s="56" t="n">
        <v>32</v>
      </c>
      <c r="D100" s="51" t="inlineStr">
        <is>
          <t>Celebrity gossip. No commercial intent, off-brand.</t>
        </is>
      </c>
    </row>
    <row r="101">
      <c r="A101" s="49" t="inlineStr">
        <is>
          <t>is lip filler haram</t>
        </is>
      </c>
      <c r="B101" s="56" t="n">
        <v>70</v>
      </c>
      <c r="C101" s="56" t="n">
        <v>14</v>
      </c>
      <c r="D101" s="51" t="inlineStr">
        <is>
          <t>Low KD but religiously framed. Not a clinic's place to answer.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9"/>
  <sheetViews>
    <sheetView workbookViewId="0">
      <pane ySplit="11" topLeftCell="A12" activePane="bottomLeft" state="frozen"/>
      <selection pane="bottomLeft" activeCell="A1" sqref="A1"/>
    </sheetView>
  </sheetViews>
  <sheetFormatPr baseColWidth="8" defaultRowHeight="15"/>
  <cols>
    <col width="36" customWidth="1" style="47" min="1" max="1"/>
    <col width="11" customWidth="1" style="47" min="2" max="2"/>
    <col width="6" customWidth="1" style="47" min="3" max="3"/>
    <col width="27" customWidth="1" style="47" min="4" max="4"/>
    <col width="8" customWidth="1" style="47" min="5" max="5"/>
    <col width="5" customWidth="1" style="47" min="6" max="6"/>
    <col width="44" customWidth="1" style="47" min="7" max="7"/>
    <col width="52" customWidth="1" style="47" min="8" max="8"/>
    <col width="66" customWidth="1" style="47" min="9" max="9"/>
    <col width="38" customWidth="1" style="47" min="10" max="10"/>
    <col width="28" customWidth="1" style="47" min="11" max="11"/>
    <col width="32" customWidth="1" style="47" min="12" max="12"/>
    <col width="38" customWidth="1" style="47" min="13" max="13"/>
    <col width="16" customWidth="1" style="47" min="14" max="14"/>
    <col width="13" customWidth="1" style="47" min="15" max="15"/>
  </cols>
  <sheetData>
    <row r="1">
      <c r="A1" s="1" t="inlineStr">
        <is>
          <t>Site structure</t>
        </is>
      </c>
    </row>
    <row r="2">
      <c r="A2" s="3" t="inlineStr">
        <is>
          <t>The keyword-to-page map the Site Build tab calls for in the Aug 24 - 28 planning week. Sign this off before the build starts on 1 September. Volumes are Semrush CA, 21 Aug 2026.</t>
        </is>
      </c>
    </row>
    <row r="4">
      <c r="A4" s="8" t="inlineStr">
        <is>
          <t>THE RULES THIS MAP FOLLOWS</t>
        </is>
      </c>
    </row>
    <row r="5">
      <c r="A5" s="52" t="inlineStr">
        <is>
          <t>One keyword, one page. lip filler oakville and dermal filler oakville are separate pages - merging them splits the signal and neither ranks.</t>
        </is>
      </c>
    </row>
    <row r="6">
      <c r="A6" s="52" t="inlineStr">
        <is>
          <t>Title tags are 60 characters or fewer, meta descriptions 155 or fewer, so Google shows them whole.</t>
        </is>
      </c>
    </row>
    <row r="7">
      <c r="A7" s="52" t="inlineStr">
        <is>
          <t>Every treatment page links to contact and to at least one article. Every article links back to its treatment page. That internal linking is what makes the blog worth writing.</t>
        </is>
      </c>
    </row>
    <row r="8">
      <c r="A8" s="52" t="inlineStr">
        <is>
          <t>Depth 0 is the home page, 1 is one click from it, 2 is two. Nothing a patient needs should sit deeper than 2.</t>
        </is>
      </c>
    </row>
    <row r="10">
      <c r="A10" s="53" t="inlineStr">
        <is>
          <t>CORE PAGES</t>
        </is>
      </c>
      <c r="B10" s="54" t="n"/>
      <c r="C10" s="54" t="n"/>
      <c r="D10" s="54" t="n"/>
      <c r="E10" s="54" t="n"/>
      <c r="F10" s="54" t="n"/>
      <c r="G10" s="54" t="n"/>
      <c r="H10" s="54" t="n"/>
      <c r="I10" s="54" t="n"/>
      <c r="J10" s="54" t="n"/>
      <c r="K10" s="54" t="n"/>
      <c r="L10" s="54" t="n"/>
      <c r="M10" s="54" t="n"/>
      <c r="N10" s="54" t="n"/>
      <c r="O10" s="54" t="n"/>
    </row>
    <row r="11">
      <c r="A11" s="55" t="inlineStr">
        <is>
          <t>URL path</t>
        </is>
      </c>
      <c r="B11" s="55" t="inlineStr">
        <is>
          <t>Page type</t>
        </is>
      </c>
      <c r="C11" s="55" t="inlineStr">
        <is>
          <t>Depth</t>
        </is>
      </c>
      <c r="D11" s="55" t="inlineStr">
        <is>
          <t>Primary keyword</t>
        </is>
      </c>
      <c r="E11" s="55" t="inlineStr">
        <is>
          <t>Vol /mo</t>
        </is>
      </c>
      <c r="F11" s="55" t="inlineStr">
        <is>
          <t>KD</t>
        </is>
      </c>
      <c r="G11" s="55" t="inlineStr">
        <is>
          <t>Secondary keywords</t>
        </is>
      </c>
      <c r="H11" s="55" t="inlineStr">
        <is>
          <t>Title tag (max 60)</t>
        </is>
      </c>
      <c r="I11" s="55" t="inlineStr">
        <is>
          <t>Meta description (max 155)</t>
        </is>
      </c>
      <c r="J11" s="55" t="inlineStr">
        <is>
          <t>H1</t>
        </is>
      </c>
      <c r="K11" s="55" t="inlineStr">
        <is>
          <t>Schema</t>
        </is>
      </c>
      <c r="L11" s="55" t="inlineStr">
        <is>
          <t>Linked from</t>
        </is>
      </c>
      <c r="M11" s="55" t="inlineStr">
        <is>
          <t>Links to</t>
        </is>
      </c>
      <c r="N11" s="55" t="inlineStr">
        <is>
          <t>Build week</t>
        </is>
      </c>
      <c r="O11" s="55" t="inlineStr">
        <is>
          <t>Status</t>
        </is>
      </c>
    </row>
    <row r="12">
      <c r="A12" s="49" t="inlineStr">
        <is>
          <t>/</t>
        </is>
      </c>
      <c r="B12" s="49" t="inlineStr">
        <is>
          <t>Home</t>
        </is>
      </c>
      <c r="C12" s="49" t="n">
        <v>0</v>
      </c>
      <c r="D12" s="51" t="inlineStr">
        <is>
          <t>med spa oakville</t>
        </is>
      </c>
      <c r="E12" s="49" t="n">
        <v>140</v>
      </c>
      <c r="F12" s="49" t="n">
        <v>29</v>
      </c>
      <c r="G12" s="51" t="inlineStr">
        <is>
          <t>medspa oakville; skin clinic oakville; aesthetic clinic oakville; cosmetic clinic oakville; injectables oakville</t>
        </is>
      </c>
      <c r="H12" s="51" t="inlineStr">
        <is>
          <t>Med Spa in Oakville | Luxury Beauty by Cleo R.</t>
        </is>
      </c>
      <c r="I12" s="51" t="inlineStr">
        <is>
          <t>Nurse-practitioner-led injectables and skin treatments in Oakville. Lip filler, dermal filler, skin boosters and dermaplaning. Book with Cleo.</t>
        </is>
      </c>
      <c r="J12" s="51" t="inlineStr">
        <is>
          <t>Injectables and skin treatments in Oakville</t>
        </is>
      </c>
      <c r="K12" s="51" t="inlineStr">
        <is>
          <t>MedicalBusiness + LocalBusiness</t>
        </is>
      </c>
      <c r="L12" s="51" t="inlineStr">
        <is>
          <t>-</t>
        </is>
      </c>
      <c r="M12" s="51" t="inlineStr">
        <is>
          <t>Every treatment page, contact, about</t>
        </is>
      </c>
      <c r="N12" s="49" t="inlineStr">
        <is>
          <t>Sep 7 - 13</t>
        </is>
      </c>
      <c r="O12" s="49" t="inlineStr">
        <is>
          <t>Not started</t>
        </is>
      </c>
    </row>
    <row r="13">
      <c r="A13" s="49" t="inlineStr">
        <is>
          <t>/contact/</t>
        </is>
      </c>
      <c r="B13" s="49" t="inlineStr">
        <is>
          <t>Contact</t>
        </is>
      </c>
      <c r="C13" s="49" t="n">
        <v>1</v>
      </c>
      <c r="D13" s="51" t="inlineStr">
        <is>
          <t>med spa oakville</t>
        </is>
      </c>
      <c r="E13" s="49" t="n">
        <v>140</v>
      </c>
      <c r="F13" s="49" t="n">
        <v>29</v>
      </c>
      <c r="G13" s="51" t="inlineStr">
        <is>
          <t>directions; hours; booking</t>
        </is>
      </c>
      <c r="H13" s="51" t="inlineStr">
        <is>
          <t>Contact | Luxury Beauty by Cleo R. Oakville</t>
        </is>
      </c>
      <c r="I13" s="51" t="inlineStr">
        <is>
          <t>3060 Preserve Drive, Oakville ON L6M 4L9. Opening hours, directions and booking for Luxury Beauty by Cleo R.</t>
        </is>
      </c>
      <c r="J13" s="51" t="inlineStr">
        <is>
          <t>Find us in Oakville</t>
        </is>
      </c>
      <c r="K13" s="51" t="inlineStr">
        <is>
          <t>LocalBusiness</t>
        </is>
      </c>
      <c r="L13" s="51" t="inlineStr">
        <is>
          <t>Home, every treatment page</t>
        </is>
      </c>
      <c r="M13" s="51" t="inlineStr">
        <is>
          <t>Booking link</t>
        </is>
      </c>
      <c r="N13" s="49" t="inlineStr">
        <is>
          <t>Sep 7 - 13</t>
        </is>
      </c>
      <c r="O13" s="49" t="inlineStr">
        <is>
          <t>Not started</t>
        </is>
      </c>
    </row>
    <row r="14">
      <c r="A14" s="49" t="inlineStr">
        <is>
          <t>/about-np-cleo/</t>
        </is>
      </c>
      <c r="B14" s="49" t="inlineStr">
        <is>
          <t>About</t>
        </is>
      </c>
      <c r="C14" s="49" t="n">
        <v>1</v>
      </c>
      <c r="D14" s="51" t="inlineStr">
        <is>
          <t>nurse injector oakville</t>
        </is>
      </c>
      <c r="E14" s="49" t="inlineStr">
        <is>
          <t>no data</t>
        </is>
      </c>
      <c r="F14" s="49" t="inlineStr">
        <is>
          <t>-</t>
        </is>
      </c>
      <c r="G14" s="51" t="inlineStr">
        <is>
          <t>nurse injector toronto (50); nurse injector near me (30)</t>
        </is>
      </c>
      <c r="H14" s="51" t="inlineStr">
        <is>
          <t>About Cleo Rukovo, NP | Nurse Injector in Oakville</t>
        </is>
      </c>
      <c r="I14" s="51" t="inlineStr">
        <is>
          <t>Cleo Rukovo is a nurse practitioner and injector in Oakville. Training, approach and what a first appointment looks like.</t>
        </is>
      </c>
      <c r="J14" s="51" t="inlineStr">
        <is>
          <t>Meet Cleo Rukovo, NP</t>
        </is>
      </c>
      <c r="K14" s="51" t="inlineStr">
        <is>
          <t>Person + MedicalBusiness</t>
        </is>
      </c>
      <c r="L14" s="51" t="inlineStr">
        <is>
          <t>Home, every treatment page</t>
        </is>
      </c>
      <c r="M14" s="51" t="inlineStr">
        <is>
          <t>Contact, treatment pages</t>
        </is>
      </c>
      <c r="N14" s="49" t="inlineStr">
        <is>
          <t>Sep 7 - 13</t>
        </is>
      </c>
      <c r="O14" s="49" t="inlineStr">
        <is>
          <t>Not started</t>
        </is>
      </c>
    </row>
    <row r="15">
      <c r="A15" s="49" t="inlineStr">
        <is>
          <t>/lip-filler/</t>
        </is>
      </c>
      <c r="B15" s="49" t="inlineStr">
        <is>
          <t>Treatment</t>
        </is>
      </c>
      <c r="C15" s="49" t="n">
        <v>1</v>
      </c>
      <c r="D15" s="51" t="inlineStr">
        <is>
          <t>lip filler oakville</t>
        </is>
      </c>
      <c r="E15" s="49" t="n">
        <v>170</v>
      </c>
      <c r="F15" s="49" t="n">
        <v>7</v>
      </c>
      <c r="G15" s="51" t="inlineStr">
        <is>
          <t>lip injections oakville (110, KD 5); filler oakville (20)</t>
        </is>
      </c>
      <c r="H15" s="51" t="inlineStr">
        <is>
          <t>Lip Filler in Oakville | Luxury Beauty by Cleo R.</t>
        </is>
      </c>
      <c r="I15" s="51" t="inlineStr">
        <is>
          <t>Lip filler in Oakville with nurse practitioner Cleo Rukovo. What it involves, how long it lasts, and what it costs.</t>
        </is>
      </c>
      <c r="J15" s="51" t="inlineStr">
        <is>
          <t>Lip filler in Oakville</t>
        </is>
      </c>
      <c r="K15" s="51" t="inlineStr">
        <is>
          <t>Service + FAQPage</t>
        </is>
      </c>
      <c r="L15" s="51" t="inlineStr">
        <is>
          <t>Home, /results/, blog articles</t>
        </is>
      </c>
      <c r="M15" s="51" t="inlineStr">
        <is>
          <t>Contact, /results/, /blog/how-long-does-lip-filler-last/</t>
        </is>
      </c>
      <c r="N15" s="49" t="inlineStr">
        <is>
          <t>Sep 14 - 27</t>
        </is>
      </c>
      <c r="O15" s="49" t="inlineStr">
        <is>
          <t>Not started</t>
        </is>
      </c>
    </row>
    <row r="16">
      <c r="A16" s="49" t="inlineStr">
        <is>
          <t>/dermal-filler-facial-balancing/</t>
        </is>
      </c>
      <c r="B16" s="49" t="inlineStr">
        <is>
          <t>Treatment</t>
        </is>
      </c>
      <c r="C16" s="49" t="n">
        <v>1</v>
      </c>
      <c r="D16" s="51" t="inlineStr">
        <is>
          <t>dermal filler oakville</t>
        </is>
      </c>
      <c r="E16" s="49" t="n">
        <v>90</v>
      </c>
      <c r="F16" s="49" t="n">
        <v>5</v>
      </c>
      <c r="G16" s="51" t="inlineStr">
        <is>
          <t>cheek filler oakville; facial balancing oakville; filler oakville (20)</t>
        </is>
      </c>
      <c r="H16" s="51" t="inlineStr">
        <is>
          <t>Dermal Filler &amp; Facial Balancing | Oakville</t>
        </is>
      </c>
      <c r="I16" s="51" t="inlineStr">
        <is>
          <t>Dermal filler and facial balancing in Oakville. A nurse practitioner's approach to proportion rather than volume.</t>
        </is>
      </c>
      <c r="J16" s="51" t="inlineStr">
        <is>
          <t>Dermal filler and facial balancing</t>
        </is>
      </c>
      <c r="K16" s="51" t="inlineStr">
        <is>
          <t>Service + FAQPage</t>
        </is>
      </c>
      <c r="L16" s="51" t="inlineStr">
        <is>
          <t>Home, /lip-filler/</t>
        </is>
      </c>
      <c r="M16" s="51" t="inlineStr">
        <is>
          <t>Contact, /results/</t>
        </is>
      </c>
      <c r="N16" s="49" t="inlineStr">
        <is>
          <t>Sep 14 - 27</t>
        </is>
      </c>
      <c r="O16" s="49" t="inlineStr">
        <is>
          <t>Not started</t>
        </is>
      </c>
    </row>
    <row r="17">
      <c r="A17" s="49" t="inlineStr">
        <is>
          <t>/anti-wrinkle-injections/</t>
        </is>
      </c>
      <c r="B17" s="49" t="inlineStr">
        <is>
          <t>Treatment</t>
        </is>
      </c>
      <c r="C17" s="49" t="n">
        <v>1</v>
      </c>
      <c r="D17" s="51" t="inlineStr">
        <is>
          <t>botox oakville</t>
        </is>
      </c>
      <c r="E17" s="49" t="n">
        <v>480</v>
      </c>
      <c r="F17" s="49" t="n">
        <v>25</v>
      </c>
      <c r="G17" s="51" t="inlineStr">
        <is>
          <t>best botox oakville (70, KD 16); botox oakville ontario (50, KD 0)</t>
        </is>
      </c>
      <c r="H17" s="51" t="inlineStr">
        <is>
          <t>Anti-Wrinkle Injections in Oakville | Cleo R.</t>
        </is>
      </c>
      <c r="I17" s="51" t="inlineStr">
        <is>
          <t>Anti-wrinkle injections in Oakville with a nurse practitioner. How treatment works, what to expect, and how long results last.</t>
        </is>
      </c>
      <c r="J17" s="51" t="inlineStr">
        <is>
          <t>Anti-wrinkle injections in Oakville</t>
        </is>
      </c>
      <c r="K17" s="51" t="inlineStr">
        <is>
          <t>Service + FAQPage</t>
        </is>
      </c>
      <c r="L17" s="51" t="inlineStr">
        <is>
          <t>Home, blog articles</t>
        </is>
      </c>
      <c r="M17" s="51" t="inlineStr">
        <is>
          <t>Contact, /blog/baby-botox-and-preventative-treatment/</t>
        </is>
      </c>
      <c r="N17" s="49" t="inlineStr">
        <is>
          <t>Sep 14 - 27</t>
        </is>
      </c>
      <c r="O17" s="49" t="inlineStr">
        <is>
          <t>Not started</t>
        </is>
      </c>
    </row>
    <row r="18">
      <c r="A18" s="49" t="inlineStr">
        <is>
          <t>/skin-boosters/</t>
        </is>
      </c>
      <c r="B18" s="49" t="inlineStr">
        <is>
          <t>Treatment</t>
        </is>
      </c>
      <c r="C18" s="49" t="n">
        <v>1</v>
      </c>
      <c r="D18" s="51" t="inlineStr">
        <is>
          <t>skin booster oakville</t>
        </is>
      </c>
      <c r="E18" s="49" t="inlineStr">
        <is>
          <t>no data</t>
        </is>
      </c>
      <c r="F18" s="49" t="inlineStr">
        <is>
          <t>-</t>
        </is>
      </c>
      <c r="G18" s="51" t="inlineStr">
        <is>
          <t>what are skin boosters (90, national); what is a skin booster (90)</t>
        </is>
      </c>
      <c r="H18" s="51" t="inlineStr">
        <is>
          <t>Skin Boosters in Oakville | Luxury Beauty by Cleo R.</t>
        </is>
      </c>
      <c r="I18" s="51" t="inlineStr">
        <is>
          <t>Skin boosters in Oakville. What they are, who they suit, and how they differ from filler. With nurse practitioner Cleo Rukovo.</t>
        </is>
      </c>
      <c r="J18" s="51" t="inlineStr">
        <is>
          <t>Skin boosters in Oakville</t>
        </is>
      </c>
      <c r="K18" s="51" t="inlineStr">
        <is>
          <t>Service + FAQPage</t>
        </is>
      </c>
      <c r="L18" s="51" t="inlineStr">
        <is>
          <t>Home, /blog/what-are-skin-boosters/</t>
        </is>
      </c>
      <c r="M18" s="51" t="inlineStr">
        <is>
          <t>Contact</t>
        </is>
      </c>
      <c r="N18" s="49" t="inlineStr">
        <is>
          <t>Sep 14 - 27</t>
        </is>
      </c>
      <c r="O18" s="49" t="inlineStr">
        <is>
          <t>Not started</t>
        </is>
      </c>
    </row>
    <row r="19">
      <c r="A19" s="49" t="inlineStr">
        <is>
          <t>/dermaplaning/</t>
        </is>
      </c>
      <c r="B19" s="49" t="inlineStr">
        <is>
          <t>Treatment</t>
        </is>
      </c>
      <c r="C19" s="49" t="n">
        <v>1</v>
      </c>
      <c r="D19" s="51" t="inlineStr">
        <is>
          <t>dermaplaning oakville</t>
        </is>
      </c>
      <c r="E19" s="49" t="n">
        <v>40</v>
      </c>
      <c r="F19" s="49" t="n">
        <v>0</v>
      </c>
      <c r="G19" s="51" t="inlineStr">
        <is>
          <t>facial oakville (320, KD 9) - 8x the volume, same page</t>
        </is>
      </c>
      <c r="H19" s="51" t="inlineStr">
        <is>
          <t>Dermaplaning in Oakville | Luxury Beauty by Cleo R.</t>
        </is>
      </c>
      <c r="I19" s="51" t="inlineStr">
        <is>
          <t>Dermaplaning in Oakville. A gentle resurfacing facial that removes dead skin and fine hair. Book with Cleo Rukovo, NP.</t>
        </is>
      </c>
      <c r="J19" s="51" t="inlineStr">
        <is>
          <t>Dermaplaning in Oakville</t>
        </is>
      </c>
      <c r="K19" s="51" t="inlineStr">
        <is>
          <t>Service + FAQPage</t>
        </is>
      </c>
      <c r="L19" s="51" t="inlineStr">
        <is>
          <t>Home, /blog/what-is-dermaplaning/</t>
        </is>
      </c>
      <c r="M19" s="51" t="inlineStr">
        <is>
          <t>Contact</t>
        </is>
      </c>
      <c r="N19" s="49" t="inlineStr">
        <is>
          <t>Sep 28 - Oct 4</t>
        </is>
      </c>
      <c r="O19" s="49" t="inlineStr">
        <is>
          <t>Not started</t>
        </is>
      </c>
    </row>
    <row r="20">
      <c r="A20" s="49" t="inlineStr">
        <is>
          <t>/electrolysis/</t>
        </is>
      </c>
      <c r="B20" s="49" t="inlineStr">
        <is>
          <t>Treatment</t>
        </is>
      </c>
      <c r="C20" s="49" t="n">
        <v>1</v>
      </c>
      <c r="D20" s="51" t="inlineStr">
        <is>
          <t>electrolysis oakville</t>
        </is>
      </c>
      <c r="E20" s="49" t="n">
        <v>140</v>
      </c>
      <c r="F20" s="49" t="n">
        <v>11</v>
      </c>
      <c r="G20" s="51" t="inlineStr">
        <is>
          <t>electrolysis vs laser hair removal (480, KD 28)</t>
        </is>
      </c>
      <c r="H20" s="51" t="inlineStr">
        <is>
          <t>Electrolysis in Oakville | Luxury Beauty by Cleo R.</t>
        </is>
      </c>
      <c r="I20" s="51" t="inlineStr">
        <is>
          <t>Permanent hair removal by electrolysis in Oakville. How it compares to laser, what a session involves, and how many you need.</t>
        </is>
      </c>
      <c r="J20" s="51" t="inlineStr">
        <is>
          <t>Electrolysis in Oakville</t>
        </is>
      </c>
      <c r="K20" s="51" t="inlineStr">
        <is>
          <t>Service + FAQPage</t>
        </is>
      </c>
      <c r="L20" s="51" t="inlineStr">
        <is>
          <t>Home, /blog/electrolysis-vs-laser-hair-removal/</t>
        </is>
      </c>
      <c r="M20" s="51" t="inlineStr">
        <is>
          <t>Contact</t>
        </is>
      </c>
      <c r="N20" s="49" t="inlineStr">
        <is>
          <t>Sep 28 - Oct 4</t>
        </is>
      </c>
      <c r="O20" s="49" t="inlineStr">
        <is>
          <t>Not started</t>
        </is>
      </c>
    </row>
    <row r="21">
      <c r="A21" s="49" t="inlineStr">
        <is>
          <t>/belkyra/</t>
        </is>
      </c>
      <c r="B21" s="49" t="inlineStr">
        <is>
          <t>Treatment</t>
        </is>
      </c>
      <c r="C21" s="49" t="n">
        <v>1</v>
      </c>
      <c r="D21" s="51" t="inlineStr">
        <is>
          <t>belkyra oakville</t>
        </is>
      </c>
      <c r="E21" s="49" t="n">
        <v>10</v>
      </c>
      <c r="F21" s="49" t="n">
        <v>0</v>
      </c>
      <c r="G21" s="51" t="inlineStr">
        <is>
          <t>-</t>
        </is>
      </c>
      <c r="H21" s="51" t="inlineStr">
        <is>
          <t>Belkyra in Oakville | Luxury Beauty by Cleo R.</t>
        </is>
      </c>
      <c r="I21" s="51" t="inlineStr">
        <is>
          <t>Belkyra treatment in Oakville for fullness under the chin. What it involves and how many sessions are typical.</t>
        </is>
      </c>
      <c r="J21" s="51" t="inlineStr">
        <is>
          <t>Belkyra in Oakville</t>
        </is>
      </c>
      <c r="K21" s="51" t="inlineStr">
        <is>
          <t>Service + FAQPage</t>
        </is>
      </c>
      <c r="L21" s="51" t="inlineStr">
        <is>
          <t>Home</t>
        </is>
      </c>
      <c r="M21" s="51" t="inlineStr">
        <is>
          <t>Contact</t>
        </is>
      </c>
      <c r="N21" s="49" t="inlineStr">
        <is>
          <t>Sep 28 - Oct 4</t>
        </is>
      </c>
      <c r="O21" s="49" t="inlineStr">
        <is>
          <t>Not started</t>
        </is>
      </c>
    </row>
    <row r="22">
      <c r="A22" s="49" t="inlineStr">
        <is>
          <t>/oakville-and-area/</t>
        </is>
      </c>
      <c r="B22" s="49" t="inlineStr">
        <is>
          <t>Area</t>
        </is>
      </c>
      <c r="C22" s="49" t="n">
        <v>1</v>
      </c>
      <c r="D22" s="51" t="inlineStr">
        <is>
          <t>botox burlington</t>
        </is>
      </c>
      <c r="E22" s="49" t="n">
        <v>390</v>
      </c>
      <c r="F22" s="49" t="n">
        <v>37</v>
      </c>
      <c r="G22" s="51" t="inlineStr">
        <is>
          <t>lip filler burlington (90, KD 9); med spa burlington (70, KD 28); botox glen abbey</t>
        </is>
      </c>
      <c r="H22" s="51" t="inlineStr">
        <is>
          <t>Serving Oakville, Burlington, Milton &amp; Mississauga</t>
        </is>
      </c>
      <c r="I22" s="51" t="inlineStr">
        <is>
          <t>Luxury Beauty by Cleo R. serves Oakville, Burlington, Milton, Mississauga, Glen Abbey, Joshua Creek and Bronte.</t>
        </is>
      </c>
      <c r="J22" s="51" t="inlineStr">
        <is>
          <t>Where we serve</t>
        </is>
      </c>
      <c r="K22" s="51" t="inlineStr">
        <is>
          <t>LocalBusiness</t>
        </is>
      </c>
      <c r="L22" s="51" t="inlineStr">
        <is>
          <t>Home, contact</t>
        </is>
      </c>
      <c r="M22" s="51" t="inlineStr">
        <is>
          <t>Contact, treatment pages</t>
        </is>
      </c>
      <c r="N22" s="49" t="inlineStr">
        <is>
          <t>Sep 28 - Oct 4</t>
        </is>
      </c>
      <c r="O22" s="49" t="inlineStr">
        <is>
          <t>Not started</t>
        </is>
      </c>
    </row>
    <row r="23">
      <c r="A23" s="49" t="inlineStr">
        <is>
          <t>/results/</t>
        </is>
      </c>
      <c r="B23" s="49" t="inlineStr">
        <is>
          <t>Gallery</t>
        </is>
      </c>
      <c r="C23" s="49" t="n">
        <v>1</v>
      </c>
      <c r="D23" s="51" t="inlineStr">
        <is>
          <t>lip filler before and after</t>
        </is>
      </c>
      <c r="E23" s="49" t="n">
        <v>1300</v>
      </c>
      <c r="F23" s="49" t="inlineStr">
        <is>
          <t>-</t>
        </is>
      </c>
      <c r="G23" s="51" t="inlineStr">
        <is>
          <t>botox before and after (1900). Difficulty for both not pulled - Semrush API units exhausted</t>
        </is>
      </c>
      <c r="H23" s="51" t="inlineStr">
        <is>
          <t>Before &amp; After | Luxury Beauty by Cleo R. Oakville</t>
        </is>
      </c>
      <c r="I23" s="51" t="inlineStr">
        <is>
          <t>Real before-and-after results from Luxury Beauty by Cleo R. in Oakville. Every photo published with written consent.</t>
        </is>
      </c>
      <c r="J23" s="51" t="inlineStr">
        <is>
          <t>Before and after</t>
        </is>
      </c>
      <c r="K23" s="51" t="inlineStr">
        <is>
          <t>ImageGallery</t>
        </is>
      </c>
      <c r="L23" s="51" t="inlineStr">
        <is>
          <t>Home, every treatment page</t>
        </is>
      </c>
      <c r="M23" s="51" t="inlineStr">
        <is>
          <t>Treatment pages, contact</t>
        </is>
      </c>
      <c r="N23" s="49" t="inlineStr">
        <is>
          <t>Nov 9 - Feb 14</t>
        </is>
      </c>
      <c r="O23" s="49" t="inlineStr">
        <is>
          <t>Not started</t>
        </is>
      </c>
    </row>
    <row r="24">
      <c r="A24" s="49" t="inlineStr">
        <is>
          <t>/weight-loss/</t>
        </is>
      </c>
      <c r="B24" s="49" t="inlineStr">
        <is>
          <t>Treatment</t>
        </is>
      </c>
      <c r="C24" s="49" t="n">
        <v>1</v>
      </c>
      <c r="D24" s="51" t="inlineStr">
        <is>
          <t>weight loss clinic oakville</t>
        </is>
      </c>
      <c r="E24" s="49" t="n">
        <v>70</v>
      </c>
      <c r="F24" s="49" t="n">
        <v>38</v>
      </c>
      <c r="G24" s="51" t="inlineStr">
        <is>
          <t>-</t>
        </is>
      </c>
      <c r="H24" s="51" t="inlineStr">
        <is>
          <t>Weight Loss Support in Oakville | Cleo Rukovo, NP</t>
        </is>
      </c>
      <c r="I24" s="51" t="inlineStr">
        <is>
          <t>Nurse-practitioner-led weight loss support in Oakville. What the programme involves and who it suits.</t>
        </is>
      </c>
      <c r="J24" s="51" t="inlineStr">
        <is>
          <t>Weight loss support in Oakville</t>
        </is>
      </c>
      <c r="K24" s="51" t="inlineStr">
        <is>
          <t>Service + FAQPage</t>
        </is>
      </c>
      <c r="L24" s="51" t="inlineStr">
        <is>
          <t>Home</t>
        </is>
      </c>
      <c r="M24" s="51" t="inlineStr">
        <is>
          <t>Contact</t>
        </is>
      </c>
      <c r="N24" s="49" t="inlineStr">
        <is>
          <t>Month 4 pre-launch, month 6 full</t>
        </is>
      </c>
      <c r="O24" s="49" t="inlineStr">
        <is>
          <t>Not started</t>
        </is>
      </c>
    </row>
    <row r="25">
      <c r="A25" s="49" t="inlineStr">
        <is>
          <t>/blog/</t>
        </is>
      </c>
      <c r="B25" s="49" t="inlineStr">
        <is>
          <t>Index</t>
        </is>
      </c>
      <c r="C25" s="49" t="n">
        <v>1</v>
      </c>
      <c r="D25" s="51" t="inlineStr">
        <is>
          <t>-</t>
        </is>
      </c>
      <c r="E25" s="49" t="inlineStr">
        <is>
          <t>no data</t>
        </is>
      </c>
      <c r="F25" s="49" t="inlineStr">
        <is>
          <t>-</t>
        </is>
      </c>
      <c r="G25" s="51" t="inlineStr">
        <is>
          <t>-</t>
        </is>
      </c>
      <c r="H25" s="51" t="inlineStr">
        <is>
          <t>Blog | Luxury Beauty by Cleo R. Oakville</t>
        </is>
      </c>
      <c r="I25" s="51" t="inlineStr">
        <is>
          <t>Straight answers to the questions asked most in the treatment room, from a nurse practitioner in Oakville.</t>
        </is>
      </c>
      <c r="J25" s="51" t="inlineStr">
        <is>
          <t>Questions we get asked</t>
        </is>
      </c>
      <c r="K25" s="51" t="inlineStr">
        <is>
          <t>Blog</t>
        </is>
      </c>
      <c r="L25" s="51" t="inlineStr">
        <is>
          <t>Home, footer</t>
        </is>
      </c>
      <c r="M25" s="51" t="inlineStr">
        <is>
          <t>Every article</t>
        </is>
      </c>
      <c r="N25" s="49" t="inlineStr">
        <is>
          <t>Oct 12 - Nov 8</t>
        </is>
      </c>
      <c r="O25" s="49" t="inlineStr">
        <is>
          <t>Not started</t>
        </is>
      </c>
    </row>
    <row r="27">
      <c r="A27" s="53" t="inlineStr">
        <is>
          <t>ARTICLES - eight scheduled, three in the backlog. See the Blog Pillars tab for why each exists.</t>
        </is>
      </c>
      <c r="B27" s="54" t="n"/>
      <c r="C27" s="54" t="n"/>
      <c r="D27" s="54" t="n"/>
      <c r="E27" s="54" t="n"/>
      <c r="F27" s="54" t="n"/>
      <c r="G27" s="54" t="n"/>
      <c r="H27" s="54" t="n"/>
      <c r="I27" s="54" t="n"/>
      <c r="J27" s="54" t="n"/>
      <c r="K27" s="54" t="n"/>
      <c r="L27" s="54" t="n"/>
      <c r="M27" s="54" t="n"/>
      <c r="N27" s="54" t="n"/>
      <c r="O27" s="54" t="n"/>
    </row>
    <row r="28">
      <c r="A28" s="55" t="inlineStr">
        <is>
          <t>URL path</t>
        </is>
      </c>
      <c r="B28" s="55" t="inlineStr">
        <is>
          <t>Page type</t>
        </is>
      </c>
      <c r="C28" s="55" t="inlineStr">
        <is>
          <t>Depth</t>
        </is>
      </c>
      <c r="D28" s="55" t="inlineStr">
        <is>
          <t>Primary keyword</t>
        </is>
      </c>
      <c r="E28" s="55" t="inlineStr">
        <is>
          <t>Vol /mo</t>
        </is>
      </c>
      <c r="F28" s="55" t="inlineStr">
        <is>
          <t>KD</t>
        </is>
      </c>
      <c r="G28" s="55" t="inlineStr">
        <is>
          <t>Pillar</t>
        </is>
      </c>
      <c r="H28" s="55" t="inlineStr">
        <is>
          <t>Links to treatment page</t>
        </is>
      </c>
      <c r="I28" s="55" t="inlineStr">
        <is>
          <t>Week</t>
        </is>
      </c>
      <c r="J28" s="55" t="inlineStr">
        <is>
          <t>Due</t>
        </is>
      </c>
      <c r="K28" s="55" t="inlineStr">
        <is>
          <t>Status</t>
        </is>
      </c>
    </row>
    <row r="29">
      <c r="A29" s="51" t="inlineStr">
        <is>
          <t>/blog/how-much-does-lip-filler-cost-in-oakville/</t>
        </is>
      </c>
      <c r="B29" s="49" t="inlineStr">
        <is>
          <t>Article</t>
        </is>
      </c>
      <c r="C29" s="49" t="n">
        <v>2</v>
      </c>
      <c r="D29" s="51" t="inlineStr">
        <is>
          <t>how much is lip filler</t>
        </is>
      </c>
      <c r="E29" s="56" t="n">
        <v>390</v>
      </c>
      <c r="F29" s="56" t="n">
        <v>11</v>
      </c>
      <c r="G29" s="51" t="inlineStr">
        <is>
          <t>Cost &amp; Value</t>
        </is>
      </c>
      <c r="H29" s="49" t="inlineStr">
        <is>
          <t>/lip-filler/</t>
        </is>
      </c>
      <c r="I29" s="49" t="inlineStr">
        <is>
          <t>W10</t>
        </is>
      </c>
      <c r="J29" s="49" t="inlineStr">
        <is>
          <t>Oct 12 - 18</t>
        </is>
      </c>
      <c r="K29" s="49" t="inlineStr">
        <is>
          <t>Scheduled</t>
        </is>
      </c>
    </row>
    <row r="30">
      <c r="A30" s="51" t="inlineStr">
        <is>
          <t>/blog/what-anti-wrinkle-treatment-costs-in-ontario/</t>
        </is>
      </c>
      <c r="B30" s="49" t="inlineStr">
        <is>
          <t>Article</t>
        </is>
      </c>
      <c r="C30" s="49" t="n">
        <v>2</v>
      </c>
      <c r="D30" s="51" t="inlineStr">
        <is>
          <t>how much does botox cost in ontario</t>
        </is>
      </c>
      <c r="E30" s="56" t="n">
        <v>90</v>
      </c>
      <c r="F30" s="56" t="n">
        <v>4</v>
      </c>
      <c r="G30" s="51" t="inlineStr">
        <is>
          <t>Cost &amp; Value</t>
        </is>
      </c>
      <c r="H30" s="49" t="inlineStr">
        <is>
          <t>/anti-wrinkle-injections/</t>
        </is>
      </c>
      <c r="I30" s="49" t="inlineStr">
        <is>
          <t>W11</t>
        </is>
      </c>
      <c r="J30" s="49" t="inlineStr">
        <is>
          <t>Oct 19 - 25</t>
        </is>
      </c>
      <c r="K30" s="49" t="inlineStr">
        <is>
          <t>Scheduled</t>
        </is>
      </c>
    </row>
    <row r="31">
      <c r="A31" s="51" t="inlineStr">
        <is>
          <t>/blog/how-long-does-lip-filler-last/</t>
        </is>
      </c>
      <c r="B31" s="49" t="inlineStr">
        <is>
          <t>Article</t>
        </is>
      </c>
      <c r="C31" s="49" t="n">
        <v>2</v>
      </c>
      <c r="D31" s="51" t="inlineStr">
        <is>
          <t>how long does lip filler last</t>
        </is>
      </c>
      <c r="E31" s="56" t="n">
        <v>1000</v>
      </c>
      <c r="F31" s="56" t="n">
        <v>15</v>
      </c>
      <c r="G31" s="51" t="inlineStr">
        <is>
          <t>Longevity &amp; Aftercare</t>
        </is>
      </c>
      <c r="H31" s="49" t="inlineStr">
        <is>
          <t>/lip-filler/</t>
        </is>
      </c>
      <c r="I31" s="49" t="inlineStr">
        <is>
          <t>W12</t>
        </is>
      </c>
      <c r="J31" s="49" t="inlineStr">
        <is>
          <t>Oct 26 - Nov 1</t>
        </is>
      </c>
      <c r="K31" s="49" t="inlineStr">
        <is>
          <t>Scheduled</t>
        </is>
      </c>
    </row>
    <row r="32">
      <c r="A32" s="51" t="inlineStr">
        <is>
          <t>/blog/lip-filler-aftercare/</t>
        </is>
      </c>
      <c r="B32" s="49" t="inlineStr">
        <is>
          <t>Article</t>
        </is>
      </c>
      <c r="C32" s="49" t="n">
        <v>2</v>
      </c>
      <c r="D32" s="51" t="inlineStr">
        <is>
          <t>lip filler aftercare</t>
        </is>
      </c>
      <c r="E32" s="56" t="n">
        <v>320</v>
      </c>
      <c r="F32" s="56" t="n">
        <v>14</v>
      </c>
      <c r="G32" s="51" t="inlineStr">
        <is>
          <t>Longevity &amp; Aftercare</t>
        </is>
      </c>
      <c r="H32" s="49" t="inlineStr">
        <is>
          <t>/lip-filler/</t>
        </is>
      </c>
      <c r="I32" s="49" t="inlineStr">
        <is>
          <t>W13</t>
        </is>
      </c>
      <c r="J32" s="49" t="inlineStr">
        <is>
          <t>Nov 2 - 8</t>
        </is>
      </c>
      <c r="K32" s="49" t="inlineStr">
        <is>
          <t>Scheduled</t>
        </is>
      </c>
    </row>
    <row r="33">
      <c r="A33" s="51" t="inlineStr">
        <is>
          <t>/blog/what-is-dermaplaning/</t>
        </is>
      </c>
      <c r="B33" s="49" t="inlineStr">
        <is>
          <t>Article</t>
        </is>
      </c>
      <c r="C33" s="49" t="n">
        <v>2</v>
      </c>
      <c r="D33" s="51" t="inlineStr">
        <is>
          <t>what is dermaplaning</t>
        </is>
      </c>
      <c r="E33" s="56" t="n">
        <v>880</v>
      </c>
      <c r="F33" s="56" t="n">
        <v>23</v>
      </c>
      <c r="G33" s="51" t="inlineStr">
        <is>
          <t>Treatment Explainers</t>
        </is>
      </c>
      <c r="H33" s="49" t="inlineStr">
        <is>
          <t>/dermaplaning/</t>
        </is>
      </c>
      <c r="I33" s="49" t="inlineStr">
        <is>
          <t>W14</t>
        </is>
      </c>
      <c r="J33" s="49" t="inlineStr">
        <is>
          <t>Nov 9 - 15</t>
        </is>
      </c>
      <c r="K33" s="49" t="inlineStr">
        <is>
          <t>Scheduled</t>
        </is>
      </c>
    </row>
    <row r="34">
      <c r="A34" s="51" t="inlineStr">
        <is>
          <t>/blog/what-to-expect-first-filler-appointment/</t>
        </is>
      </c>
      <c r="B34" s="49" t="inlineStr">
        <is>
          <t>Article</t>
        </is>
      </c>
      <c r="C34" s="49" t="n">
        <v>2</v>
      </c>
      <c r="D34" s="51" t="inlineStr">
        <is>
          <t>does lip filler hurt</t>
        </is>
      </c>
      <c r="E34" s="56" t="n">
        <v>110</v>
      </c>
      <c r="F34" s="56" t="n">
        <v>7</v>
      </c>
      <c r="G34" s="51" t="inlineStr">
        <is>
          <t>First-timer, Safety &amp; Candidacy</t>
        </is>
      </c>
      <c r="H34" s="49" t="inlineStr">
        <is>
          <t>/lip-filler/</t>
        </is>
      </c>
      <c r="I34" s="49" t="inlineStr">
        <is>
          <t>W16</t>
        </is>
      </c>
      <c r="J34" s="49" t="inlineStr">
        <is>
          <t>Nov 23 - 29</t>
        </is>
      </c>
      <c r="K34" s="49" t="inlineStr">
        <is>
          <t>Scheduled</t>
        </is>
      </c>
    </row>
    <row r="35">
      <c r="A35" s="51" t="inlineStr">
        <is>
          <t>/blog/electrolysis-vs-laser-hair-removal/</t>
        </is>
      </c>
      <c r="B35" s="49" t="inlineStr">
        <is>
          <t>Article</t>
        </is>
      </c>
      <c r="C35" s="49" t="n">
        <v>2</v>
      </c>
      <c r="D35" s="51" t="inlineStr">
        <is>
          <t>electrolysis vs laser hair removal</t>
        </is>
      </c>
      <c r="E35" s="56" t="n">
        <v>480</v>
      </c>
      <c r="F35" s="56" t="n">
        <v>28</v>
      </c>
      <c r="G35" s="51" t="inlineStr">
        <is>
          <t>Treatment Explainers</t>
        </is>
      </c>
      <c r="H35" s="49" t="inlineStr">
        <is>
          <t>/electrolysis/</t>
        </is>
      </c>
      <c r="I35" s="49" t="inlineStr">
        <is>
          <t>W18</t>
        </is>
      </c>
      <c r="J35" s="49" t="inlineStr">
        <is>
          <t>Dec 7 - 13</t>
        </is>
      </c>
      <c r="K35" s="49" t="inlineStr">
        <is>
          <t>Scheduled</t>
        </is>
      </c>
    </row>
    <row r="36">
      <c r="A36" s="51" t="inlineStr">
        <is>
          <t>/blog/baby-botox-and-preventative-treatment/</t>
        </is>
      </c>
      <c r="B36" s="49" t="inlineStr">
        <is>
          <t>Article</t>
        </is>
      </c>
      <c r="C36" s="49" t="n">
        <v>2</v>
      </c>
      <c r="D36" s="51" t="inlineStr">
        <is>
          <t>baby botox</t>
        </is>
      </c>
      <c r="E36" s="56" t="n">
        <v>480</v>
      </c>
      <c r="F36" s="56" t="n">
        <v>17</v>
      </c>
      <c r="G36" s="51" t="inlineStr">
        <is>
          <t>First-timer, Safety &amp; Candidacy</t>
        </is>
      </c>
      <c r="H36" s="49" t="inlineStr">
        <is>
          <t>/anti-wrinkle-injections/</t>
        </is>
      </c>
      <c r="I36" s="49" t="inlineStr">
        <is>
          <t>W22</t>
        </is>
      </c>
      <c r="J36" s="49" t="inlineStr">
        <is>
          <t>Jan 4 - 10</t>
        </is>
      </c>
      <c r="K36" s="49" t="inlineStr">
        <is>
          <t>Scheduled</t>
        </is>
      </c>
    </row>
    <row r="37">
      <c r="A37" s="51" t="inlineStr">
        <is>
          <t>/blog/aftercare-anti-wrinkle-injections/</t>
        </is>
      </c>
      <c r="B37" s="49" t="inlineStr">
        <is>
          <t>Article</t>
        </is>
      </c>
      <c r="C37" s="49" t="n">
        <v>2</v>
      </c>
      <c r="D37" s="51" t="inlineStr">
        <is>
          <t>botox aftercare</t>
        </is>
      </c>
      <c r="E37" s="56" t="n">
        <v>1000</v>
      </c>
      <c r="F37" s="56" t="n">
        <v>32</v>
      </c>
      <c r="G37" s="51" t="inlineStr">
        <is>
          <t>Longevity &amp; Aftercare</t>
        </is>
      </c>
      <c r="H37" s="49" t="inlineStr">
        <is>
          <t>/anti-wrinkle-injections/</t>
        </is>
      </c>
      <c r="I37" s="49" t="inlineStr">
        <is>
          <t>-</t>
        </is>
      </c>
      <c r="J37" s="49" t="inlineStr">
        <is>
          <t>Backlog</t>
        </is>
      </c>
      <c r="K37" s="49" t="inlineStr">
        <is>
          <t>Backlog</t>
        </is>
      </c>
    </row>
    <row r="38">
      <c r="A38" s="51" t="inlineStr">
        <is>
          <t>/blog/what-are-skin-boosters/</t>
        </is>
      </c>
      <c r="B38" s="49" t="inlineStr">
        <is>
          <t>Article</t>
        </is>
      </c>
      <c r="C38" s="49" t="n">
        <v>2</v>
      </c>
      <c r="D38" s="51" t="inlineStr">
        <is>
          <t>what are skin boosters</t>
        </is>
      </c>
      <c r="E38" s="56" t="n">
        <v>90</v>
      </c>
      <c r="F38" s="56" t="n">
        <v>23</v>
      </c>
      <c r="G38" s="51" t="inlineStr">
        <is>
          <t>Treatment Explainers</t>
        </is>
      </c>
      <c r="H38" s="49" t="inlineStr">
        <is>
          <t>/skin-boosters/</t>
        </is>
      </c>
      <c r="I38" s="49" t="inlineStr">
        <is>
          <t>-</t>
        </is>
      </c>
      <c r="J38" s="49" t="inlineStr">
        <is>
          <t>Backlog</t>
        </is>
      </c>
      <c r="K38" s="49" t="inlineStr">
        <is>
          <t>Backlog</t>
        </is>
      </c>
    </row>
    <row r="39">
      <c r="A39" s="51" t="inlineStr">
        <is>
          <t>/blog/who-is-not-a-candidate/</t>
        </is>
      </c>
      <c r="B39" s="49" t="inlineStr">
        <is>
          <t>Article</t>
        </is>
      </c>
      <c r="C39" s="49" t="n">
        <v>2</v>
      </c>
      <c r="D39" s="51" t="inlineStr">
        <is>
          <t>can you get lip filler while pregnant</t>
        </is>
      </c>
      <c r="E39" s="56" t="n">
        <v>110</v>
      </c>
      <c r="F39" s="56" t="n">
        <v>10</v>
      </c>
      <c r="G39" s="51" t="inlineStr">
        <is>
          <t>First-timer, Safety &amp; Candidacy</t>
        </is>
      </c>
      <c r="H39" s="49" t="inlineStr">
        <is>
          <t>/lip-filler/</t>
        </is>
      </c>
      <c r="I39" s="49" t="inlineStr">
        <is>
          <t>-</t>
        </is>
      </c>
      <c r="J39" s="49" t="inlineStr">
        <is>
          <t>Backlog</t>
        </is>
      </c>
      <c r="K39" s="49" t="inlineStr">
        <is>
          <t>Backlog</t>
        </is>
      </c>
    </row>
  </sheetData>
  <conditionalFormatting sqref="A12:O25">
    <cfRule type="expression" priority="1" dxfId="4" stopIfTrue="0">
      <formula>$O2="Done"</formula>
    </cfRule>
    <cfRule type="expression" priority="2" dxfId="5" stopIfTrue="0">
      <formula>$O2="Blocked"</formula>
    </cfRule>
    <cfRule type="expression" priority="3" dxfId="6" stopIfTrue="0">
      <formula>$O2="In progress"</formula>
    </cfRule>
  </conditionalFormatting>
  <dataValidations count="2">
    <dataValidation sqref="O12:O25" showDropDown="0" showInputMessage="0" showErrorMessage="0" allowBlank="1" type="list">
      <formula1>"Not started,In progress,Blocked,Done,Not applicable"</formula1>
    </dataValidation>
    <dataValidation sqref="K29:K39" showDropDown="0" showInputMessage="0" showErrorMessage="0" allowBlank="1" type="list">
      <formula1>"Scheduled,Backlog,Drafted,Published"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34" customWidth="1" style="47" min="1" max="1"/>
    <col width="22" customWidth="1" style="47" min="2" max="2"/>
    <col width="74" customWidth="1" style="47" min="3" max="3"/>
    <col width="12" customWidth="1" style="47" min="4" max="4"/>
    <col width="62" customWidth="1" style="47" min="5" max="5"/>
    <col width="34" customWidth="1" style="47" min="6" max="6"/>
    <col width="62" customWidth="1" style="47" min="7" max="7"/>
  </cols>
  <sheetData>
    <row r="1">
      <c r="A1" s="1" t="inlineStr">
        <is>
          <t>Blog pillars</t>
        </is>
      </c>
    </row>
    <row r="2">
      <c r="A2" s="3" t="inlineStr">
        <is>
          <t>What the blog is for, which searches each pillar answers, and which of the eight scheduled articles belongs where. Volumes are Semrush CA, 21 Aug 2026.</t>
        </is>
      </c>
    </row>
    <row r="4">
      <c r="A4" s="8" t="inlineStr">
        <is>
          <t>FIRST, WHAT WE FOUND</t>
        </is>
      </c>
    </row>
    <row r="5">
      <c r="A5" s="52" t="inlineStr">
        <is>
          <t>There is no blog yet. Eight articles are scheduled in the tracker at weeks 10, 11, 12, 13, 14, 16, 18 and 22, but none has a topic, a keyword or a title - they are placeholder slots. This tab fills them in.</t>
        </is>
      </c>
    </row>
    <row r="6">
      <c r="A6" s="52" t="inlineStr">
        <is>
          <t>The five pillars that already exist (Education, Engagement, Trust &amp; Proof, Personality &amp; BTS, Promo &amp; CTA) are INSTAGRAM ENGAGEMENT PILLARS, not search pillars. They organise posts by purpose, not by what anyone types into Google. Across all 102 briefs in content/, not one targets a search term. That is not a criticism of the calendar - it is doing a different job - but it does mean the blog cannot simply inherit them.</t>
        </is>
      </c>
    </row>
    <row r="7">
      <c r="A7" s="52" t="inlineStr">
        <is>
          <t>The 102 existing briefs are still the best raw material available: they are already written in Cleo's voice and already compliance-checked. The mapping below shows which Instagram pillar feeds which search pillar, so the blog is a rewrite job rather than a research job.</t>
        </is>
      </c>
    </row>
    <row r="9">
      <c r="A9" s="53" t="inlineStr">
        <is>
          <t>HOW THE INSTAGRAM PILLARS MAP ONTO SEARCH</t>
        </is>
      </c>
      <c r="B9" s="54" t="n"/>
      <c r="C9" s="54" t="n"/>
      <c r="D9" s="54" t="n"/>
    </row>
    <row r="10">
      <c r="A10" s="55" t="inlineStr">
        <is>
          <t>Instagram pillar</t>
        </is>
      </c>
      <c r="B10" s="55" t="inlineStr">
        <is>
          <t>What it does today</t>
        </is>
      </c>
      <c r="C10" s="55" t="inlineStr">
        <is>
          <t>Feeds which blog pillar</t>
        </is>
      </c>
      <c r="D10" s="55" t="inlineStr">
        <is>
          <t>What that means in practice</t>
        </is>
      </c>
    </row>
    <row r="11">
      <c r="A11" s="49" t="inlineStr">
        <is>
          <t>Education</t>
        </is>
      </c>
      <c r="B11" s="51" t="inlineStr">
        <is>
          <t>Explains a treatment or corrects a myth</t>
        </is>
      </c>
      <c r="C11" s="51" t="inlineStr">
        <is>
          <t>Treatment Explainers + First-timer, Safety &amp; Candidacy</t>
        </is>
      </c>
      <c r="D11" s="51" t="inlineStr">
        <is>
          <t>The strongest overlap. A myth-busting carousel is an article's outline with the paragraphs removed.</t>
        </is>
      </c>
    </row>
    <row r="12">
      <c r="A12" s="49" t="inlineStr">
        <is>
          <t>Engagement</t>
        </is>
      </c>
      <c r="B12" s="51" t="inlineStr">
        <is>
          <t>Polls, questions, 'this or that'</t>
        </is>
      </c>
      <c r="C12" s="51" t="inlineStr">
        <is>
          <t>None directly</t>
        </is>
      </c>
      <c r="D12" s="51" t="inlineStr">
        <is>
          <t>Engagement bait has no search demand behind it. Keep it on Instagram - but the questions people answer are free keyword research. Log the recurring ones.</t>
        </is>
      </c>
    </row>
    <row r="13">
      <c r="A13" s="49" t="inlineStr">
        <is>
          <t>Trust &amp; Proof</t>
        </is>
      </c>
      <c r="B13" s="51" t="inlineStr">
        <is>
          <t>Before-and-afters, reviews, credentials</t>
        </is>
      </c>
      <c r="C13" s="51" t="inlineStr">
        <is>
          <t>Cost &amp; Value + the /results/ gallery</t>
        </is>
      </c>
      <c r="D13" s="51" t="inlineStr">
        <is>
          <t>Feeds the gallery page and the cost articles, where proof does the persuading.</t>
        </is>
      </c>
    </row>
    <row r="14">
      <c r="A14" s="49" t="inlineStr">
        <is>
          <t>Personality &amp; BTS</t>
        </is>
      </c>
      <c r="B14" s="51" t="inlineStr">
        <is>
          <t>Cleo on camera, the room, the day</t>
        </is>
      </c>
      <c r="C14" s="51" t="inlineStr">
        <is>
          <t>None directly</t>
        </is>
      </c>
      <c r="D14" s="51" t="inlineStr">
        <is>
          <t>No search demand, real conversion value. Belongs on the about page, not the blog.</t>
        </is>
      </c>
    </row>
    <row r="15">
      <c r="A15" s="49" t="inlineStr">
        <is>
          <t>Promo &amp; CTA</t>
        </is>
      </c>
      <c r="B15" s="51" t="inlineStr">
        <is>
          <t>Offers, availability, booking prompts</t>
        </is>
      </c>
      <c r="C15" s="51" t="inlineStr">
        <is>
          <t>Cost &amp; Value</t>
        </is>
      </c>
      <c r="D15" s="51" t="inlineStr">
        <is>
          <t>Careful here - CNO advertising standards limit discount framing. See the compliance column.</t>
        </is>
      </c>
    </row>
    <row r="18">
      <c r="A18" s="53" t="inlineStr">
        <is>
          <t>THE FOUR SEARCH PILLARS</t>
        </is>
      </c>
      <c r="B18" s="54" t="n"/>
      <c r="C18" s="54" t="n"/>
      <c r="D18" s="54" t="n"/>
      <c r="E18" s="54" t="n"/>
      <c r="F18" s="54" t="n"/>
      <c r="G18" s="54" t="n"/>
    </row>
    <row r="19">
      <c r="A19" s="52" t="inlineStr">
        <is>
          <t>Ranked by what to write first. Cost &amp; Value ships first: lowest difficulty, highest intent, and nobody local is answering it.</t>
        </is>
      </c>
    </row>
    <row r="20">
      <c r="A20" s="55" t="inlineStr">
        <is>
          <t>Pillar</t>
        </is>
      </c>
      <c r="B20" s="55" t="inlineStr">
        <is>
          <t>Why it ranks here</t>
        </is>
      </c>
      <c r="C20" s="55" t="inlineStr">
        <is>
          <t>Anchor keywords (volume / difficulty)</t>
        </is>
      </c>
      <c r="D20" s="55" t="inlineStr">
        <is>
          <t>Total vol /mo</t>
        </is>
      </c>
      <c r="E20" s="55" t="inlineStr">
        <is>
          <t>Why this pillar exists</t>
        </is>
      </c>
      <c r="F20" s="55" t="inlineStr">
        <is>
          <t>Links to</t>
        </is>
      </c>
      <c r="G20" s="55" t="inlineStr">
        <is>
          <t>Compliance note - read before drafting</t>
        </is>
      </c>
    </row>
    <row r="21">
      <c r="A21" s="51" t="inlineStr">
        <is>
          <t>1. Cost &amp; Value</t>
        </is>
      </c>
      <c r="B21" s="51" t="inlineStr">
        <is>
          <t>SHIP FIRST</t>
        </is>
      </c>
      <c r="C21" s="51" t="inlineStr">
        <is>
          <t>how much is lip filler (390/KD 11); how much does lip filler cost (260/KD 15); how much is lip filler in canada (110/KD 5); how much does botox cost in ontario (90/KD 4); botox cost canada (90/KD 11)</t>
        </is>
      </c>
      <c r="D21" s="56" t="n">
        <v>940</v>
      </c>
      <c r="E21" s="51" t="inlineStr">
        <is>
          <t>Lowest difficulty in the set and the highest commercial intent - somebody pricing a treatment is close to booking. Nobody local answers these honestly, which is exactly why it works.</t>
        </is>
      </c>
      <c r="F21" s="51" t="inlineStr">
        <is>
          <t>/lip-filler/, /anti-wrinkle-injections/</t>
        </is>
      </c>
      <c r="G21" s="51" t="inlineStr">
        <is>
          <t>HIGHEST RISK. Never put a price beside a brand name and a benefit claim - that is the Health Canada line. Quote ranges for the treatment category, not the product. No 'best value', no guarantees (CNO).</t>
        </is>
      </c>
    </row>
    <row r="22">
      <c r="A22" s="51" t="inlineStr">
        <is>
          <t>2. Longevity &amp; Aftercare</t>
        </is>
      </c>
      <c r="B22" s="51" t="inlineStr">
        <is>
          <t>Highest volume</t>
        </is>
      </c>
      <c r="C22" s="51" t="inlineStr">
        <is>
          <t>how long does lip filler last (1000/KD 15); botox aftercare (1000/KD 32); lip filler aftercare (320/KD 14); lip filler swelling (140/KD 28); what not to do after lip filler (70/KD 18); how long does lip filler swelling last (70/KD 0)</t>
        </is>
      </c>
      <c r="D22" s="56" t="n">
        <v>2600</v>
      </c>
      <c r="E22" s="51" t="inlineStr">
        <is>
          <t>The biggest pillar by volume. Reaches people who already have treatment booked or done - which is retention, review requests and word of mouth, not just traffic.</t>
        </is>
      </c>
      <c r="F22" s="51" t="inlineStr">
        <is>
          <t>/lip-filler/, /anti-wrinkle-injections/, /dermaplaning/</t>
        </is>
      </c>
      <c r="G22" s="51" t="inlineStr">
        <is>
          <t>Aftercare instruction is clinical guidance. Keep it general and route anything specific to a consult. Never imply a guaranteed duration.</t>
        </is>
      </c>
    </row>
    <row r="23">
      <c r="A23" s="51" t="inlineStr">
        <is>
          <t>3. First-timer, Safety &amp; Candidacy</t>
        </is>
      </c>
      <c r="B23" s="51" t="inlineStr">
        <is>
          <t>Best fit with what already exists</t>
        </is>
      </c>
      <c r="C23" s="51" t="inlineStr">
        <is>
          <t>baby botox (480/KD 17); preventative botox (210/KD 45); does lip filler hurt (110/KD 7); can you get lip filler while pregnant (110/KD 10); how to know if lip filler has gone wrong (90/KD 21)</t>
        </is>
      </c>
      <c r="D23" s="56" t="n">
        <v>1000</v>
      </c>
      <c r="E23" s="51" t="inlineStr">
        <is>
          <t>Maps almost one-to-one onto the myth-busting and candidacy carousels already written in content/. The 102 briefs in that folder are the raw material - this pillar is mostly rewriting, not researching.</t>
        </is>
      </c>
      <c r="F23" s="51" t="inlineStr">
        <is>
          <t>/lip-filler/, /anti-wrinkle-injections/, /about-np-cleo/</t>
        </is>
      </c>
      <c r="G23" s="51" t="inlineStr">
        <is>
          <t>Candidacy and safety content is where a nurse practitioner's credential is the whole advantage. State who is NOT a candidate - it is honest, it ranks, and it filters bad bookings.</t>
        </is>
      </c>
    </row>
    <row r="24">
      <c r="A24" s="51" t="inlineStr">
        <is>
          <t>4. Treatment Explainers</t>
        </is>
      </c>
      <c r="B24" s="51" t="inlineStr">
        <is>
          <t>Widest reach, weakest intent</t>
        </is>
      </c>
      <c r="C24" s="51" t="inlineStr">
        <is>
          <t>what is dermaplaning (880/KD 23); what is a dermaplane (880/KD 24); electrolysis vs laser hair removal (480/KD 28); how to dermaplane (210/KD 27); is dermaplaning good for skin (210/KD 35); what is electrolysis hair removal (170/KD 43); what are skin boosters (90/KD 23)</t>
        </is>
      </c>
      <c r="D24" s="56" t="n">
        <v>2920</v>
      </c>
      <c r="E24" s="51" t="inlineStr">
        <is>
          <t>Feeds the two lowest-competition treatment pages, dermaplaning and electrolysis, where a page can rank with very little authority behind it. Intent is informational, so judge it on assisted bookings, not direct ones.</t>
        </is>
      </c>
      <c r="F24" s="51" t="inlineStr">
        <is>
          <t>/dermaplaning/, /electrolysis/, /skin-boosters/</t>
        </is>
      </c>
      <c r="G24" s="51" t="inlineStr">
        <is>
          <t>Comparison content (electrolysis vs laser) must not claim superiority over another provider's service - that is a CNO advertising breach. Compare the modalities, never the clinics.</t>
        </is>
      </c>
    </row>
    <row r="27">
      <c r="A27" s="53" t="inlineStr">
        <is>
          <t>THE ARTICLES, ASSIGNED</t>
        </is>
      </c>
      <c r="B27" s="54" t="n"/>
      <c r="C27" s="54" t="n"/>
      <c r="D27" s="54" t="n"/>
      <c r="E27" s="54" t="n"/>
      <c r="F27" s="54" t="n"/>
      <c r="G27" s="54" t="n"/>
      <c r="H27" s="54" t="n"/>
      <c r="I27" s="54" t="n"/>
    </row>
    <row r="28">
      <c r="A28" s="52" t="inlineStr">
        <is>
          <t>Eight scheduled slots filled, plus three of the five backlog articles the Site Build tab reserves for Nov 9 - Feb 14. The last two stay open deliberately - fill them from real consult questions.</t>
        </is>
      </c>
    </row>
    <row r="29">
      <c r="A29" s="55" t="inlineStr">
        <is>
          <t>Week</t>
        </is>
      </c>
      <c r="B29" s="55" t="inlineStr">
        <is>
          <t>Due</t>
        </is>
      </c>
      <c r="C29" s="55" t="inlineStr">
        <is>
          <t>Article</t>
        </is>
      </c>
      <c r="D29" s="55" t="inlineStr">
        <is>
          <t>Pillar</t>
        </is>
      </c>
      <c r="E29" s="55" t="inlineStr">
        <is>
          <t>Primary keyword</t>
        </is>
      </c>
      <c r="F29" s="55" t="inlineStr">
        <is>
          <t>Vol /mo</t>
        </is>
      </c>
      <c r="G29" s="55" t="inlineStr">
        <is>
          <t>KD</t>
        </is>
      </c>
      <c r="H29" s="55" t="inlineStr">
        <is>
          <t>Links to treatment page</t>
        </is>
      </c>
      <c r="I29" s="55" t="inlineStr">
        <is>
          <t>Status</t>
        </is>
      </c>
    </row>
    <row r="30">
      <c r="A30" s="49" t="inlineStr">
        <is>
          <t>W10</t>
        </is>
      </c>
      <c r="B30" s="49" t="inlineStr">
        <is>
          <t>Oct 12 - 18</t>
        </is>
      </c>
      <c r="C30" s="51" t="inlineStr">
        <is>
          <t>/blog/how-much-does-lip-filler-cost-in-oakville/</t>
        </is>
      </c>
      <c r="D30" s="51" t="inlineStr">
        <is>
          <t>Cost &amp; Value</t>
        </is>
      </c>
      <c r="E30" s="51" t="inlineStr">
        <is>
          <t>how much is lip filler</t>
        </is>
      </c>
      <c r="F30" s="56" t="n">
        <v>390</v>
      </c>
      <c r="G30" s="56" t="n">
        <v>11</v>
      </c>
      <c r="H30" s="49" t="inlineStr">
        <is>
          <t>/lip-filler/</t>
        </is>
      </c>
      <c r="I30" s="49" t="inlineStr">
        <is>
          <t>Scheduled</t>
        </is>
      </c>
    </row>
    <row r="31">
      <c r="A31" s="49" t="inlineStr">
        <is>
          <t>W11</t>
        </is>
      </c>
      <c r="B31" s="49" t="inlineStr">
        <is>
          <t>Oct 19 - 25</t>
        </is>
      </c>
      <c r="C31" s="51" t="inlineStr">
        <is>
          <t>/blog/what-anti-wrinkle-treatment-costs-in-ontario/</t>
        </is>
      </c>
      <c r="D31" s="51" t="inlineStr">
        <is>
          <t>Cost &amp; Value</t>
        </is>
      </c>
      <c r="E31" s="51" t="inlineStr">
        <is>
          <t>how much does botox cost in ontario</t>
        </is>
      </c>
      <c r="F31" s="56" t="n">
        <v>90</v>
      </c>
      <c r="G31" s="56" t="n">
        <v>4</v>
      </c>
      <c r="H31" s="49" t="inlineStr">
        <is>
          <t>/anti-wrinkle-injections/</t>
        </is>
      </c>
      <c r="I31" s="49" t="inlineStr">
        <is>
          <t>Scheduled</t>
        </is>
      </c>
    </row>
    <row r="32">
      <c r="A32" s="49" t="inlineStr">
        <is>
          <t>W12</t>
        </is>
      </c>
      <c r="B32" s="49" t="inlineStr">
        <is>
          <t>Oct 26 - Nov 1</t>
        </is>
      </c>
      <c r="C32" s="51" t="inlineStr">
        <is>
          <t>/blog/how-long-does-lip-filler-last/</t>
        </is>
      </c>
      <c r="D32" s="51" t="inlineStr">
        <is>
          <t>Longevity &amp; Aftercare</t>
        </is>
      </c>
      <c r="E32" s="51" t="inlineStr">
        <is>
          <t>how long does lip filler last</t>
        </is>
      </c>
      <c r="F32" s="56" t="n">
        <v>1000</v>
      </c>
      <c r="G32" s="56" t="n">
        <v>15</v>
      </c>
      <c r="H32" s="49" t="inlineStr">
        <is>
          <t>/lip-filler/</t>
        </is>
      </c>
      <c r="I32" s="49" t="inlineStr">
        <is>
          <t>Scheduled</t>
        </is>
      </c>
    </row>
    <row r="33">
      <c r="A33" s="49" t="inlineStr">
        <is>
          <t>W13</t>
        </is>
      </c>
      <c r="B33" s="49" t="inlineStr">
        <is>
          <t>Nov 2 - 8</t>
        </is>
      </c>
      <c r="C33" s="51" t="inlineStr">
        <is>
          <t>/blog/lip-filler-aftercare/</t>
        </is>
      </c>
      <c r="D33" s="51" t="inlineStr">
        <is>
          <t>Longevity &amp; Aftercare</t>
        </is>
      </c>
      <c r="E33" s="51" t="inlineStr">
        <is>
          <t>lip filler aftercare</t>
        </is>
      </c>
      <c r="F33" s="56" t="n">
        <v>320</v>
      </c>
      <c r="G33" s="56" t="n">
        <v>14</v>
      </c>
      <c r="H33" s="49" t="inlineStr">
        <is>
          <t>/lip-filler/</t>
        </is>
      </c>
      <c r="I33" s="49" t="inlineStr">
        <is>
          <t>Scheduled</t>
        </is>
      </c>
    </row>
    <row r="34">
      <c r="A34" s="49" t="inlineStr">
        <is>
          <t>W14</t>
        </is>
      </c>
      <c r="B34" s="49" t="inlineStr">
        <is>
          <t>Nov 9 - 15</t>
        </is>
      </c>
      <c r="C34" s="51" t="inlineStr">
        <is>
          <t>/blog/what-is-dermaplaning/</t>
        </is>
      </c>
      <c r="D34" s="51" t="inlineStr">
        <is>
          <t>Treatment Explainers</t>
        </is>
      </c>
      <c r="E34" s="51" t="inlineStr">
        <is>
          <t>what is dermaplaning</t>
        </is>
      </c>
      <c r="F34" s="56" t="n">
        <v>880</v>
      </c>
      <c r="G34" s="56" t="n">
        <v>23</v>
      </c>
      <c r="H34" s="49" t="inlineStr">
        <is>
          <t>/dermaplaning/</t>
        </is>
      </c>
      <c r="I34" s="49" t="inlineStr">
        <is>
          <t>Scheduled</t>
        </is>
      </c>
    </row>
    <row r="35">
      <c r="A35" s="49" t="inlineStr">
        <is>
          <t>W16</t>
        </is>
      </c>
      <c r="B35" s="49" t="inlineStr">
        <is>
          <t>Nov 23 - 29</t>
        </is>
      </c>
      <c r="C35" s="51" t="inlineStr">
        <is>
          <t>/blog/what-to-expect-first-filler-appointment/</t>
        </is>
      </c>
      <c r="D35" s="51" t="inlineStr">
        <is>
          <t>First-timer, Safety &amp; Candidacy</t>
        </is>
      </c>
      <c r="E35" s="51" t="inlineStr">
        <is>
          <t>does lip filler hurt</t>
        </is>
      </c>
      <c r="F35" s="56" t="n">
        <v>110</v>
      </c>
      <c r="G35" s="56" t="n">
        <v>7</v>
      </c>
      <c r="H35" s="49" t="inlineStr">
        <is>
          <t>/lip-filler/</t>
        </is>
      </c>
      <c r="I35" s="49" t="inlineStr">
        <is>
          <t>Scheduled</t>
        </is>
      </c>
    </row>
    <row r="36">
      <c r="A36" s="49" t="inlineStr">
        <is>
          <t>W18</t>
        </is>
      </c>
      <c r="B36" s="49" t="inlineStr">
        <is>
          <t>Dec 7 - 13</t>
        </is>
      </c>
      <c r="C36" s="51" t="inlineStr">
        <is>
          <t>/blog/electrolysis-vs-laser-hair-removal/</t>
        </is>
      </c>
      <c r="D36" s="51" t="inlineStr">
        <is>
          <t>Treatment Explainers</t>
        </is>
      </c>
      <c r="E36" s="51" t="inlineStr">
        <is>
          <t>electrolysis vs laser hair removal</t>
        </is>
      </c>
      <c r="F36" s="56" t="n">
        <v>480</v>
      </c>
      <c r="G36" s="56" t="n">
        <v>28</v>
      </c>
      <c r="H36" s="49" t="inlineStr">
        <is>
          <t>/electrolysis/</t>
        </is>
      </c>
      <c r="I36" s="49" t="inlineStr">
        <is>
          <t>Scheduled</t>
        </is>
      </c>
    </row>
    <row r="37">
      <c r="A37" s="49" t="inlineStr">
        <is>
          <t>W22</t>
        </is>
      </c>
      <c r="B37" s="49" t="inlineStr">
        <is>
          <t>Jan 4 - 10</t>
        </is>
      </c>
      <c r="C37" s="51" t="inlineStr">
        <is>
          <t>/blog/baby-botox-and-preventative-treatment/</t>
        </is>
      </c>
      <c r="D37" s="51" t="inlineStr">
        <is>
          <t>First-timer, Safety &amp; Candidacy</t>
        </is>
      </c>
      <c r="E37" s="51" t="inlineStr">
        <is>
          <t>baby botox</t>
        </is>
      </c>
      <c r="F37" s="56" t="n">
        <v>480</v>
      </c>
      <c r="G37" s="56" t="n">
        <v>17</v>
      </c>
      <c r="H37" s="49" t="inlineStr">
        <is>
          <t>/anti-wrinkle-injections/</t>
        </is>
      </c>
      <c r="I37" s="49" t="inlineStr">
        <is>
          <t>Scheduled</t>
        </is>
      </c>
    </row>
    <row r="38">
      <c r="A38" s="49" t="inlineStr">
        <is>
          <t>-</t>
        </is>
      </c>
      <c r="B38" s="49" t="inlineStr">
        <is>
          <t>Backlog</t>
        </is>
      </c>
      <c r="C38" s="51" t="inlineStr">
        <is>
          <t>/blog/aftercare-anti-wrinkle-injections/</t>
        </is>
      </c>
      <c r="D38" s="51" t="inlineStr">
        <is>
          <t>Longevity &amp; Aftercare</t>
        </is>
      </c>
      <c r="E38" s="51" t="inlineStr">
        <is>
          <t>botox aftercare</t>
        </is>
      </c>
      <c r="F38" s="56" t="n">
        <v>1000</v>
      </c>
      <c r="G38" s="56" t="n">
        <v>32</v>
      </c>
      <c r="H38" s="49" t="inlineStr">
        <is>
          <t>/anti-wrinkle-injections/</t>
        </is>
      </c>
      <c r="I38" s="49" t="inlineStr">
        <is>
          <t>Backlog</t>
        </is>
      </c>
    </row>
    <row r="39">
      <c r="A39" s="49" t="inlineStr">
        <is>
          <t>-</t>
        </is>
      </c>
      <c r="B39" s="49" t="inlineStr">
        <is>
          <t>Backlog</t>
        </is>
      </c>
      <c r="C39" s="51" t="inlineStr">
        <is>
          <t>/blog/what-are-skin-boosters/</t>
        </is>
      </c>
      <c r="D39" s="51" t="inlineStr">
        <is>
          <t>Treatment Explainers</t>
        </is>
      </c>
      <c r="E39" s="51" t="inlineStr">
        <is>
          <t>what are skin boosters</t>
        </is>
      </c>
      <c r="F39" s="56" t="n">
        <v>90</v>
      </c>
      <c r="G39" s="56" t="n">
        <v>23</v>
      </c>
      <c r="H39" s="49" t="inlineStr">
        <is>
          <t>/skin-boosters/</t>
        </is>
      </c>
      <c r="I39" s="49" t="inlineStr">
        <is>
          <t>Backlog</t>
        </is>
      </c>
    </row>
    <row r="40">
      <c r="A40" s="49" t="inlineStr">
        <is>
          <t>-</t>
        </is>
      </c>
      <c r="B40" s="49" t="inlineStr">
        <is>
          <t>Backlog</t>
        </is>
      </c>
      <c r="C40" s="51" t="inlineStr">
        <is>
          <t>/blog/who-is-not-a-candidate/</t>
        </is>
      </c>
      <c r="D40" s="51" t="inlineStr">
        <is>
          <t>First-timer, Safety &amp; Candidacy</t>
        </is>
      </c>
      <c r="E40" s="51" t="inlineStr">
        <is>
          <t>can you get lip filler while pregnant</t>
        </is>
      </c>
      <c r="F40" s="56" t="n">
        <v>110</v>
      </c>
      <c r="G40" s="56" t="n">
        <v>10</v>
      </c>
      <c r="H40" s="49" t="inlineStr">
        <is>
          <t>/lip-filler/</t>
        </is>
      </c>
      <c r="I40" s="49" t="inlineStr">
        <is>
          <t>Backlog</t>
        </is>
      </c>
    </row>
    <row r="41">
      <c r="A41" s="49" t="inlineStr">
        <is>
          <t>-</t>
        </is>
      </c>
      <c r="B41" s="49" t="inlineStr">
        <is>
          <t>Backlog</t>
        </is>
      </c>
      <c r="C41" s="51" t="inlineStr">
        <is>
          <t>Open slot - fill from consult questions</t>
        </is>
      </c>
      <c r="D41" s="49" t="inlineStr">
        <is>
          <t>Whichever fits</t>
        </is>
      </c>
      <c r="E41" s="49" t="inlineStr"/>
      <c r="F41" s="49" t="inlineStr"/>
      <c r="G41" s="49" t="inlineStr"/>
      <c r="H41" s="49" t="inlineStr"/>
      <c r="I41" s="49" t="inlineStr">
        <is>
          <t>Backlog</t>
        </is>
      </c>
    </row>
    <row r="42">
      <c r="A42" s="49" t="inlineStr">
        <is>
          <t>-</t>
        </is>
      </c>
      <c r="B42" s="49" t="inlineStr">
        <is>
          <t>Backlog</t>
        </is>
      </c>
      <c r="C42" s="51" t="inlineStr">
        <is>
          <t>Open slot - fill from consult questions</t>
        </is>
      </c>
      <c r="D42" s="49" t="inlineStr">
        <is>
          <t>Whichever fits</t>
        </is>
      </c>
      <c r="E42" s="49" t="inlineStr"/>
      <c r="F42" s="49" t="inlineStr"/>
      <c r="G42" s="49" t="inlineStr"/>
      <c r="H42" s="49" t="inlineStr"/>
      <c r="I42" s="49" t="inlineStr">
        <is>
          <t>Backlog</t>
        </is>
      </c>
    </row>
    <row r="44">
      <c r="A44" s="8" t="inlineStr">
        <is>
          <t>THE TWO COMPLIANCE RULES, IN FULL</t>
        </is>
      </c>
    </row>
    <row r="45">
      <c r="A45" s="52" t="inlineStr">
        <is>
          <t>Health Canada, prescription drug advertising: a prescription product's brand name may not be paired with a benefit claim in advertising to the public. In practice - name the treatment category, describe the outcome; or name the brand and say nothing about what it does. Never both in the same breath.</t>
        </is>
      </c>
    </row>
    <row r="46">
      <c r="A46" s="52" t="inlineStr">
        <is>
          <t>CNO advertising standards: no guarantees of outcome, no claims of superiority over another provider, no testimonials that imply a guaranteed result. This binds Cleo personally as a registered nurse practitioner, not just the business.</t>
        </is>
      </c>
    </row>
  </sheetData>
  <dataValidations count="1">
    <dataValidation sqref="I30:I42" showDropDown="0" showInputMessage="0" showErrorMessage="0" allowBlank="1" type="list">
      <formula1>"Scheduled,Backlog,Drafted,In review,Published"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64"/>
  <sheetViews>
    <sheetView workbookViewId="0">
      <pane ySplit="4" topLeftCell="A5" activePane="bottomLeft" state="frozen"/>
      <selection pane="bottomLeft" activeCell="B6" sqref="B6"/>
    </sheetView>
  </sheetViews>
  <sheetFormatPr baseColWidth="8" defaultColWidth="14.43" defaultRowHeight="15" customHeight="1"/>
  <cols>
    <col width="12" customWidth="1" style="47" min="1" max="1"/>
    <col width="17" customWidth="1" style="47" min="2" max="2"/>
    <col width="16" customWidth="1" style="47" min="3" max="3"/>
    <col width="11" customWidth="1" style="47" min="4" max="4"/>
    <col width="15" customWidth="1" style="47" min="5" max="5"/>
    <col width="13" customWidth="1" style="47" min="6" max="6"/>
    <col width="12" customWidth="1" style="47" min="7" max="7"/>
    <col width="10" customWidth="1" style="47" min="8" max="8"/>
    <col width="40" customWidth="1" style="47" min="9" max="9"/>
    <col width="8.710000000000001" customWidth="1" style="47" min="10" max="26"/>
  </cols>
  <sheetData>
    <row r="1" ht="21.75" customHeight="1" s="47">
      <c r="A1" s="1" t="inlineStr">
        <is>
          <t>Review tracker</t>
        </is>
      </c>
    </row>
    <row r="2">
      <c r="A2" s="3" t="inlineStr">
        <is>
          <t>Baseline 12 reviews at 5.0. Target 18 to 22 new ones across the six months, roughly one every ten days. Ask inside 24 hours or the number does not move.</t>
        </is>
      </c>
      <c r="F2" s="4" t="inlineStr">
        <is>
          <t>Asks sent</t>
        </is>
      </c>
      <c r="G2" s="4">
        <f>COUNTA(A5:A164)</f>
        <v/>
      </c>
      <c r="H2" s="4" t="inlineStr">
        <is>
          <t>Reviews landed</t>
        </is>
      </c>
      <c r="I2" s="4">
        <f>COUNTIF(E5:E164,"Yes")</f>
        <v/>
      </c>
    </row>
    <row r="3"/>
    <row r="4" ht="27.75" customHeight="1" s="47">
      <c r="A4" s="5" t="inlineStr">
        <is>
          <t>Date asked</t>
        </is>
      </c>
      <c r="B4" s="5" t="inlineStr">
        <is>
          <t>Patient (initials)</t>
        </is>
      </c>
      <c r="C4" s="5" t="inlineStr">
        <is>
          <t>How we asked</t>
        </is>
      </c>
      <c r="D4" s="5" t="inlineStr">
        <is>
          <t>Asked by</t>
        </is>
      </c>
      <c r="E4" s="5" t="inlineStr">
        <is>
          <t>Review received</t>
        </is>
      </c>
      <c r="F4" s="5" t="inlineStr">
        <is>
          <t>Date received</t>
        </is>
      </c>
      <c r="G4" s="5" t="inlineStr">
        <is>
          <t>Platform</t>
        </is>
      </c>
      <c r="H4" s="5" t="inlineStr">
        <is>
          <t>Replied</t>
        </is>
      </c>
      <c r="I4" s="5" t="inlineStr">
        <is>
          <t>Notes</t>
        </is>
      </c>
    </row>
    <row r="5">
      <c r="A5" s="43" t="n"/>
      <c r="B5" s="37" t="n"/>
      <c r="C5" s="37" t="n"/>
      <c r="D5" s="37" t="n"/>
      <c r="E5" s="37" t="n"/>
      <c r="F5" s="43" t="n"/>
      <c r="G5" s="37" t="n"/>
      <c r="H5" s="37" t="n"/>
      <c r="I5" s="37" t="n"/>
    </row>
    <row r="6">
      <c r="A6" s="43" t="n"/>
      <c r="B6" s="37" t="n"/>
      <c r="C6" s="37" t="n"/>
      <c r="D6" s="37" t="n"/>
      <c r="E6" s="37" t="n"/>
      <c r="F6" s="43" t="n"/>
      <c r="G6" s="37" t="n"/>
      <c r="H6" s="37" t="n"/>
      <c r="I6" s="37" t="n"/>
    </row>
    <row r="7">
      <c r="A7" s="43" t="n"/>
      <c r="B7" s="37" t="n"/>
      <c r="C7" s="37" t="n"/>
      <c r="D7" s="37" t="n"/>
      <c r="E7" s="37" t="n"/>
      <c r="F7" s="43" t="n"/>
      <c r="G7" s="37" t="n"/>
      <c r="H7" s="37" t="n"/>
      <c r="I7" s="37" t="n"/>
    </row>
    <row r="8">
      <c r="A8" s="43" t="n"/>
      <c r="B8" s="37" t="n"/>
      <c r="C8" s="37" t="n"/>
      <c r="D8" s="37" t="n"/>
      <c r="E8" s="37" t="n"/>
      <c r="F8" s="43" t="n"/>
      <c r="G8" s="37" t="n"/>
      <c r="H8" s="37" t="n"/>
      <c r="I8" s="37" t="n"/>
    </row>
    <row r="9">
      <c r="A9" s="43" t="n"/>
      <c r="B9" s="37" t="n"/>
      <c r="C9" s="37" t="n"/>
      <c r="D9" s="37" t="n"/>
      <c r="E9" s="37" t="n"/>
      <c r="F9" s="43" t="n"/>
      <c r="G9" s="37" t="n"/>
      <c r="H9" s="37" t="n"/>
      <c r="I9" s="37" t="n"/>
    </row>
    <row r="10">
      <c r="A10" s="43" t="n"/>
      <c r="B10" s="37" t="n"/>
      <c r="C10" s="37" t="n"/>
      <c r="D10" s="37" t="n"/>
      <c r="E10" s="37" t="n"/>
      <c r="F10" s="43" t="n"/>
      <c r="G10" s="37" t="n"/>
      <c r="H10" s="37" t="n"/>
      <c r="I10" s="37" t="n"/>
    </row>
    <row r="11">
      <c r="A11" s="43" t="n"/>
      <c r="B11" s="37" t="n"/>
      <c r="C11" s="37" t="n"/>
      <c r="D11" s="37" t="n"/>
      <c r="E11" s="37" t="n"/>
      <c r="F11" s="43" t="n"/>
      <c r="G11" s="37" t="n"/>
      <c r="H11" s="37" t="n"/>
      <c r="I11" s="37" t="n"/>
    </row>
    <row r="12">
      <c r="A12" s="43" t="n"/>
      <c r="B12" s="37" t="n"/>
      <c r="C12" s="37" t="n"/>
      <c r="D12" s="37" t="n"/>
      <c r="E12" s="37" t="n"/>
      <c r="F12" s="43" t="n"/>
      <c r="G12" s="37" t="n"/>
      <c r="H12" s="37" t="n"/>
      <c r="I12" s="37" t="n"/>
    </row>
    <row r="13">
      <c r="A13" s="43" t="n"/>
      <c r="B13" s="37" t="n"/>
      <c r="C13" s="37" t="n"/>
      <c r="D13" s="37" t="n"/>
      <c r="E13" s="37" t="n"/>
      <c r="F13" s="43" t="n"/>
      <c r="G13" s="37" t="n"/>
      <c r="H13" s="37" t="n"/>
      <c r="I13" s="37" t="n"/>
    </row>
    <row r="14">
      <c r="A14" s="43" t="n"/>
      <c r="B14" s="37" t="n"/>
      <c r="C14" s="37" t="n"/>
      <c r="D14" s="37" t="n"/>
      <c r="E14" s="37" t="n"/>
      <c r="F14" s="43" t="n"/>
      <c r="G14" s="37" t="n"/>
      <c r="H14" s="37" t="n"/>
      <c r="I14" s="37" t="n"/>
    </row>
    <row r="15">
      <c r="A15" s="43" t="n"/>
      <c r="B15" s="37" t="n"/>
      <c r="C15" s="37" t="n"/>
      <c r="D15" s="37" t="n"/>
      <c r="E15" s="37" t="n"/>
      <c r="F15" s="43" t="n"/>
      <c r="G15" s="37" t="n"/>
      <c r="H15" s="37" t="n"/>
      <c r="I15" s="37" t="n"/>
    </row>
    <row r="16">
      <c r="A16" s="43" t="n"/>
      <c r="B16" s="37" t="n"/>
      <c r="C16" s="37" t="n"/>
      <c r="D16" s="37" t="n"/>
      <c r="E16" s="37" t="n"/>
      <c r="F16" s="43" t="n"/>
      <c r="G16" s="37" t="n"/>
      <c r="H16" s="37" t="n"/>
      <c r="I16" s="37" t="n"/>
    </row>
    <row r="17">
      <c r="A17" s="43" t="n"/>
      <c r="B17" s="37" t="n"/>
      <c r="C17" s="37" t="n"/>
      <c r="D17" s="37" t="n"/>
      <c r="E17" s="37" t="n"/>
      <c r="F17" s="43" t="n"/>
      <c r="G17" s="37" t="n"/>
      <c r="H17" s="37" t="n"/>
      <c r="I17" s="37" t="n"/>
    </row>
    <row r="18">
      <c r="A18" s="43" t="n"/>
      <c r="B18" s="37" t="n"/>
      <c r="C18" s="37" t="n"/>
      <c r="D18" s="37" t="n"/>
      <c r="E18" s="37" t="n"/>
      <c r="F18" s="43" t="n"/>
      <c r="G18" s="37" t="n"/>
      <c r="H18" s="37" t="n"/>
      <c r="I18" s="37" t="n"/>
    </row>
    <row r="19">
      <c r="A19" s="43" t="n"/>
      <c r="B19" s="37" t="n"/>
      <c r="C19" s="37" t="n"/>
      <c r="D19" s="37" t="n"/>
      <c r="E19" s="37" t="n"/>
      <c r="F19" s="43" t="n"/>
      <c r="G19" s="37" t="n"/>
      <c r="H19" s="37" t="n"/>
      <c r="I19" s="37" t="n"/>
    </row>
    <row r="20">
      <c r="A20" s="43" t="n"/>
      <c r="B20" s="37" t="n"/>
      <c r="C20" s="37" t="n"/>
      <c r="D20" s="37" t="n"/>
      <c r="E20" s="37" t="n"/>
      <c r="F20" s="43" t="n"/>
      <c r="G20" s="37" t="n"/>
      <c r="H20" s="37" t="n"/>
      <c r="I20" s="37" t="n"/>
    </row>
    <row r="21" ht="15.75" customHeight="1" s="47">
      <c r="A21" s="43" t="n"/>
      <c r="B21" s="37" t="n"/>
      <c r="C21" s="37" t="n"/>
      <c r="D21" s="37" t="n"/>
      <c r="E21" s="37" t="n"/>
      <c r="F21" s="43" t="n"/>
      <c r="G21" s="37" t="n"/>
      <c r="H21" s="37" t="n"/>
      <c r="I21" s="37" t="n"/>
    </row>
    <row r="22" ht="15.75" customHeight="1" s="47">
      <c r="A22" s="43" t="n"/>
      <c r="B22" s="37" t="n"/>
      <c r="C22" s="37" t="n"/>
      <c r="D22" s="37" t="n"/>
      <c r="E22" s="37" t="n"/>
      <c r="F22" s="43" t="n"/>
      <c r="G22" s="37" t="n"/>
      <c r="H22" s="37" t="n"/>
      <c r="I22" s="37" t="n"/>
    </row>
    <row r="23" ht="15.75" customHeight="1" s="47">
      <c r="A23" s="43" t="n"/>
      <c r="B23" s="37" t="n"/>
      <c r="C23" s="37" t="n"/>
      <c r="D23" s="37" t="n"/>
      <c r="E23" s="37" t="n"/>
      <c r="F23" s="43" t="n"/>
      <c r="G23" s="37" t="n"/>
      <c r="H23" s="37" t="n"/>
      <c r="I23" s="37" t="n"/>
    </row>
    <row r="24" ht="15.75" customHeight="1" s="47">
      <c r="A24" s="43" t="n"/>
      <c r="B24" s="37" t="n"/>
      <c r="C24" s="37" t="n"/>
      <c r="D24" s="37" t="n"/>
      <c r="E24" s="37" t="n"/>
      <c r="F24" s="43" t="n"/>
      <c r="G24" s="37" t="n"/>
      <c r="H24" s="37" t="n"/>
      <c r="I24" s="37" t="n"/>
    </row>
    <row r="25" ht="15.75" customHeight="1" s="47">
      <c r="A25" s="43" t="n"/>
      <c r="B25" s="37" t="n"/>
      <c r="C25" s="37" t="n"/>
      <c r="D25" s="37" t="n"/>
      <c r="E25" s="37" t="n"/>
      <c r="F25" s="43" t="n"/>
      <c r="G25" s="37" t="n"/>
      <c r="H25" s="37" t="n"/>
      <c r="I25" s="37" t="n"/>
    </row>
    <row r="26" ht="15.75" customHeight="1" s="47">
      <c r="A26" s="43" t="n"/>
      <c r="B26" s="37" t="n"/>
      <c r="C26" s="37" t="n"/>
      <c r="D26" s="37" t="n"/>
      <c r="E26" s="37" t="n"/>
      <c r="F26" s="43" t="n"/>
      <c r="G26" s="37" t="n"/>
      <c r="H26" s="37" t="n"/>
      <c r="I26" s="37" t="n"/>
    </row>
    <row r="27" ht="15.75" customHeight="1" s="47">
      <c r="A27" s="43" t="n"/>
      <c r="B27" s="37" t="n"/>
      <c r="C27" s="37" t="n"/>
      <c r="D27" s="37" t="n"/>
      <c r="E27" s="37" t="n"/>
      <c r="F27" s="43" t="n"/>
      <c r="G27" s="37" t="n"/>
      <c r="H27" s="37" t="n"/>
      <c r="I27" s="37" t="n"/>
    </row>
    <row r="28" ht="15.75" customHeight="1" s="47">
      <c r="A28" s="43" t="n"/>
      <c r="B28" s="37" t="n"/>
      <c r="C28" s="37" t="n"/>
      <c r="D28" s="37" t="n"/>
      <c r="E28" s="37" t="n"/>
      <c r="F28" s="43" t="n"/>
      <c r="G28" s="37" t="n"/>
      <c r="H28" s="37" t="n"/>
      <c r="I28" s="37" t="n"/>
    </row>
    <row r="29" ht="15.75" customHeight="1" s="47">
      <c r="A29" s="43" t="n"/>
      <c r="B29" s="37" t="n"/>
      <c r="C29" s="37" t="n"/>
      <c r="D29" s="37" t="n"/>
      <c r="E29" s="37" t="n"/>
      <c r="F29" s="43" t="n"/>
      <c r="G29" s="37" t="n"/>
      <c r="H29" s="37" t="n"/>
      <c r="I29" s="37" t="n"/>
    </row>
    <row r="30" ht="15.75" customHeight="1" s="47">
      <c r="A30" s="43" t="n"/>
      <c r="B30" s="37" t="n"/>
      <c r="C30" s="37" t="n"/>
      <c r="D30" s="37" t="n"/>
      <c r="E30" s="37" t="n"/>
      <c r="F30" s="43" t="n"/>
      <c r="G30" s="37" t="n"/>
      <c r="H30" s="37" t="n"/>
      <c r="I30" s="37" t="n"/>
    </row>
    <row r="31" ht="15.75" customHeight="1" s="47">
      <c r="A31" s="43" t="n"/>
      <c r="B31" s="37" t="n"/>
      <c r="C31" s="37" t="n"/>
      <c r="D31" s="37" t="n"/>
      <c r="E31" s="37" t="n"/>
      <c r="F31" s="43" t="n"/>
      <c r="G31" s="37" t="n"/>
      <c r="H31" s="37" t="n"/>
      <c r="I31" s="37" t="n"/>
    </row>
    <row r="32" ht="15.75" customHeight="1" s="47">
      <c r="A32" s="43" t="n"/>
      <c r="B32" s="37" t="n"/>
      <c r="C32" s="37" t="n"/>
      <c r="D32" s="37" t="n"/>
      <c r="E32" s="37" t="n"/>
      <c r="F32" s="43" t="n"/>
      <c r="G32" s="37" t="n"/>
      <c r="H32" s="37" t="n"/>
      <c r="I32" s="37" t="n"/>
    </row>
    <row r="33" ht="15.75" customHeight="1" s="47">
      <c r="A33" s="43" t="n"/>
      <c r="B33" s="37" t="n"/>
      <c r="C33" s="37" t="n"/>
      <c r="D33" s="37" t="n"/>
      <c r="E33" s="37" t="n"/>
      <c r="F33" s="43" t="n"/>
      <c r="G33" s="37" t="n"/>
      <c r="H33" s="37" t="n"/>
      <c r="I33" s="37" t="n"/>
    </row>
    <row r="34" ht="15.75" customHeight="1" s="47">
      <c r="A34" s="43" t="n"/>
      <c r="B34" s="37" t="n"/>
      <c r="C34" s="37" t="n"/>
      <c r="D34" s="37" t="n"/>
      <c r="E34" s="37" t="n"/>
      <c r="F34" s="43" t="n"/>
      <c r="G34" s="37" t="n"/>
      <c r="H34" s="37" t="n"/>
      <c r="I34" s="37" t="n"/>
    </row>
    <row r="35" ht="15.75" customHeight="1" s="47">
      <c r="A35" s="43" t="n"/>
      <c r="B35" s="37" t="n"/>
      <c r="C35" s="37" t="n"/>
      <c r="D35" s="37" t="n"/>
      <c r="E35" s="37" t="n"/>
      <c r="F35" s="43" t="n"/>
      <c r="G35" s="37" t="n"/>
      <c r="H35" s="37" t="n"/>
      <c r="I35" s="37" t="n"/>
    </row>
    <row r="36" ht="15.75" customHeight="1" s="47">
      <c r="A36" s="43" t="n"/>
      <c r="B36" s="37" t="n"/>
      <c r="C36" s="37" t="n"/>
      <c r="D36" s="37" t="n"/>
      <c r="E36" s="37" t="n"/>
      <c r="F36" s="43" t="n"/>
      <c r="G36" s="37" t="n"/>
      <c r="H36" s="37" t="n"/>
      <c r="I36" s="37" t="n"/>
    </row>
    <row r="37" ht="15.75" customHeight="1" s="47">
      <c r="A37" s="43" t="n"/>
      <c r="B37" s="37" t="n"/>
      <c r="C37" s="37" t="n"/>
      <c r="D37" s="37" t="n"/>
      <c r="E37" s="37" t="n"/>
      <c r="F37" s="43" t="n"/>
      <c r="G37" s="37" t="n"/>
      <c r="H37" s="37" t="n"/>
      <c r="I37" s="37" t="n"/>
    </row>
    <row r="38" ht="15.75" customHeight="1" s="47">
      <c r="A38" s="43" t="n"/>
      <c r="B38" s="37" t="n"/>
      <c r="C38" s="37" t="n"/>
      <c r="D38" s="37" t="n"/>
      <c r="E38" s="37" t="n"/>
      <c r="F38" s="43" t="n"/>
      <c r="G38" s="37" t="n"/>
      <c r="H38" s="37" t="n"/>
      <c r="I38" s="37" t="n"/>
    </row>
    <row r="39" ht="15.75" customHeight="1" s="47">
      <c r="A39" s="43" t="n"/>
      <c r="B39" s="37" t="n"/>
      <c r="C39" s="37" t="n"/>
      <c r="D39" s="37" t="n"/>
      <c r="E39" s="37" t="n"/>
      <c r="F39" s="43" t="n"/>
      <c r="G39" s="37" t="n"/>
      <c r="H39" s="37" t="n"/>
      <c r="I39" s="37" t="n"/>
    </row>
    <row r="40" ht="15.75" customHeight="1" s="47">
      <c r="A40" s="43" t="n"/>
      <c r="B40" s="37" t="n"/>
      <c r="C40" s="37" t="n"/>
      <c r="D40" s="37" t="n"/>
      <c r="E40" s="37" t="n"/>
      <c r="F40" s="43" t="n"/>
      <c r="G40" s="37" t="n"/>
      <c r="H40" s="37" t="n"/>
      <c r="I40" s="37" t="n"/>
    </row>
    <row r="41" ht="15.75" customHeight="1" s="47">
      <c r="A41" s="43" t="n"/>
      <c r="B41" s="37" t="n"/>
      <c r="C41" s="37" t="n"/>
      <c r="D41" s="37" t="n"/>
      <c r="E41" s="37" t="n"/>
      <c r="F41" s="43" t="n"/>
      <c r="G41" s="37" t="n"/>
      <c r="H41" s="37" t="n"/>
      <c r="I41" s="37" t="n"/>
    </row>
    <row r="42" ht="15.75" customHeight="1" s="47">
      <c r="A42" s="43" t="n"/>
      <c r="B42" s="37" t="n"/>
      <c r="C42" s="37" t="n"/>
      <c r="D42" s="37" t="n"/>
      <c r="E42" s="37" t="n"/>
      <c r="F42" s="43" t="n"/>
      <c r="G42" s="37" t="n"/>
      <c r="H42" s="37" t="n"/>
      <c r="I42" s="37" t="n"/>
    </row>
    <row r="43" ht="15.75" customHeight="1" s="47">
      <c r="A43" s="43" t="n"/>
      <c r="B43" s="37" t="n"/>
      <c r="C43" s="37" t="n"/>
      <c r="D43" s="37" t="n"/>
      <c r="E43" s="37" t="n"/>
      <c r="F43" s="43" t="n"/>
      <c r="G43" s="37" t="n"/>
      <c r="H43" s="37" t="n"/>
      <c r="I43" s="37" t="n"/>
    </row>
    <row r="44" ht="15.75" customHeight="1" s="47">
      <c r="A44" s="43" t="n"/>
      <c r="B44" s="37" t="n"/>
      <c r="C44" s="37" t="n"/>
      <c r="D44" s="37" t="n"/>
      <c r="E44" s="37" t="n"/>
      <c r="F44" s="43" t="n"/>
      <c r="G44" s="37" t="n"/>
      <c r="H44" s="37" t="n"/>
      <c r="I44" s="37" t="n"/>
    </row>
    <row r="45" ht="15.75" customHeight="1" s="47">
      <c r="A45" s="43" t="n"/>
      <c r="B45" s="37" t="n"/>
      <c r="C45" s="37" t="n"/>
      <c r="D45" s="37" t="n"/>
      <c r="E45" s="37" t="n"/>
      <c r="F45" s="43" t="n"/>
      <c r="G45" s="37" t="n"/>
      <c r="H45" s="37" t="n"/>
      <c r="I45" s="37" t="n"/>
    </row>
    <row r="46" ht="15.75" customHeight="1" s="47">
      <c r="A46" s="43" t="n"/>
      <c r="B46" s="37" t="n"/>
      <c r="C46" s="37" t="n"/>
      <c r="D46" s="37" t="n"/>
      <c r="E46" s="37" t="n"/>
      <c r="F46" s="43" t="n"/>
      <c r="G46" s="37" t="n"/>
      <c r="H46" s="37" t="n"/>
      <c r="I46" s="37" t="n"/>
    </row>
    <row r="47" ht="15.75" customHeight="1" s="47">
      <c r="A47" s="43" t="n"/>
      <c r="B47" s="37" t="n"/>
      <c r="C47" s="37" t="n"/>
      <c r="D47" s="37" t="n"/>
      <c r="E47" s="37" t="n"/>
      <c r="F47" s="43" t="n"/>
      <c r="G47" s="37" t="n"/>
      <c r="H47" s="37" t="n"/>
      <c r="I47" s="37" t="n"/>
    </row>
    <row r="48" ht="15.75" customHeight="1" s="47">
      <c r="A48" s="43" t="n"/>
      <c r="B48" s="37" t="n"/>
      <c r="C48" s="37" t="n"/>
      <c r="D48" s="37" t="n"/>
      <c r="E48" s="37" t="n"/>
      <c r="F48" s="43" t="n"/>
      <c r="G48" s="37" t="n"/>
      <c r="H48" s="37" t="n"/>
      <c r="I48" s="37" t="n"/>
    </row>
    <row r="49" ht="15.75" customHeight="1" s="47">
      <c r="A49" s="43" t="n"/>
      <c r="B49" s="37" t="n"/>
      <c r="C49" s="37" t="n"/>
      <c r="D49" s="37" t="n"/>
      <c r="E49" s="37" t="n"/>
      <c r="F49" s="43" t="n"/>
      <c r="G49" s="37" t="n"/>
      <c r="H49" s="37" t="n"/>
      <c r="I49" s="37" t="n"/>
    </row>
    <row r="50" ht="15.75" customHeight="1" s="47">
      <c r="A50" s="43" t="n"/>
      <c r="B50" s="37" t="n"/>
      <c r="C50" s="37" t="n"/>
      <c r="D50" s="37" t="n"/>
      <c r="E50" s="37" t="n"/>
      <c r="F50" s="43" t="n"/>
      <c r="G50" s="37" t="n"/>
      <c r="H50" s="37" t="n"/>
      <c r="I50" s="37" t="n"/>
    </row>
    <row r="51" ht="15.75" customHeight="1" s="47">
      <c r="A51" s="43" t="n"/>
      <c r="B51" s="37" t="n"/>
      <c r="C51" s="37" t="n"/>
      <c r="D51" s="37" t="n"/>
      <c r="E51" s="37" t="n"/>
      <c r="F51" s="43" t="n"/>
      <c r="G51" s="37" t="n"/>
      <c r="H51" s="37" t="n"/>
      <c r="I51" s="37" t="n"/>
    </row>
    <row r="52" ht="15.75" customHeight="1" s="47">
      <c r="A52" s="43" t="n"/>
      <c r="B52" s="37" t="n"/>
      <c r="C52" s="37" t="n"/>
      <c r="D52" s="37" t="n"/>
      <c r="E52" s="37" t="n"/>
      <c r="F52" s="43" t="n"/>
      <c r="G52" s="37" t="n"/>
      <c r="H52" s="37" t="n"/>
      <c r="I52" s="37" t="n"/>
    </row>
    <row r="53" ht="15.75" customHeight="1" s="47">
      <c r="A53" s="43" t="n"/>
      <c r="B53" s="37" t="n"/>
      <c r="C53" s="37" t="n"/>
      <c r="D53" s="37" t="n"/>
      <c r="E53" s="37" t="n"/>
      <c r="F53" s="43" t="n"/>
      <c r="G53" s="37" t="n"/>
      <c r="H53" s="37" t="n"/>
      <c r="I53" s="37" t="n"/>
    </row>
    <row r="54" ht="15.75" customHeight="1" s="47">
      <c r="A54" s="43" t="n"/>
      <c r="B54" s="37" t="n"/>
      <c r="C54" s="37" t="n"/>
      <c r="D54" s="37" t="n"/>
      <c r="E54" s="37" t="n"/>
      <c r="F54" s="43" t="n"/>
      <c r="G54" s="37" t="n"/>
      <c r="H54" s="37" t="n"/>
      <c r="I54" s="37" t="n"/>
    </row>
    <row r="55" ht="15.75" customHeight="1" s="47">
      <c r="A55" s="43" t="n"/>
      <c r="B55" s="37" t="n"/>
      <c r="C55" s="37" t="n"/>
      <c r="D55" s="37" t="n"/>
      <c r="E55" s="37" t="n"/>
      <c r="F55" s="43" t="n"/>
      <c r="G55" s="37" t="n"/>
      <c r="H55" s="37" t="n"/>
      <c r="I55" s="37" t="n"/>
    </row>
    <row r="56" ht="15.75" customHeight="1" s="47">
      <c r="A56" s="43" t="n"/>
      <c r="B56" s="37" t="n"/>
      <c r="C56" s="37" t="n"/>
      <c r="D56" s="37" t="n"/>
      <c r="E56" s="37" t="n"/>
      <c r="F56" s="43" t="n"/>
      <c r="G56" s="37" t="n"/>
      <c r="H56" s="37" t="n"/>
      <c r="I56" s="37" t="n"/>
    </row>
    <row r="57" ht="15.75" customHeight="1" s="47">
      <c r="A57" s="43" t="n"/>
      <c r="B57" s="37" t="n"/>
      <c r="C57" s="37" t="n"/>
      <c r="D57" s="37" t="n"/>
      <c r="E57" s="37" t="n"/>
      <c r="F57" s="43" t="n"/>
      <c r="G57" s="37" t="n"/>
      <c r="H57" s="37" t="n"/>
      <c r="I57" s="37" t="n"/>
    </row>
    <row r="58" ht="15.75" customHeight="1" s="47">
      <c r="A58" s="43" t="n"/>
      <c r="B58" s="37" t="n"/>
      <c r="C58" s="37" t="n"/>
      <c r="D58" s="37" t="n"/>
      <c r="E58" s="37" t="n"/>
      <c r="F58" s="43" t="n"/>
      <c r="G58" s="37" t="n"/>
      <c r="H58" s="37" t="n"/>
      <c r="I58" s="37" t="n"/>
    </row>
    <row r="59" ht="15.75" customHeight="1" s="47">
      <c r="A59" s="43" t="n"/>
      <c r="B59" s="37" t="n"/>
      <c r="C59" s="37" t="n"/>
      <c r="D59" s="37" t="n"/>
      <c r="E59" s="37" t="n"/>
      <c r="F59" s="43" t="n"/>
      <c r="G59" s="37" t="n"/>
      <c r="H59" s="37" t="n"/>
      <c r="I59" s="37" t="n"/>
    </row>
    <row r="60" ht="15.75" customHeight="1" s="47">
      <c r="A60" s="43" t="n"/>
      <c r="B60" s="37" t="n"/>
      <c r="C60" s="37" t="n"/>
      <c r="D60" s="37" t="n"/>
      <c r="E60" s="37" t="n"/>
      <c r="F60" s="43" t="n"/>
      <c r="G60" s="37" t="n"/>
      <c r="H60" s="37" t="n"/>
      <c r="I60" s="37" t="n"/>
    </row>
    <row r="61" ht="15.75" customHeight="1" s="47">
      <c r="A61" s="43" t="n"/>
      <c r="B61" s="37" t="n"/>
      <c r="C61" s="37" t="n"/>
      <c r="D61" s="37" t="n"/>
      <c r="E61" s="37" t="n"/>
      <c r="F61" s="43" t="n"/>
      <c r="G61" s="37" t="n"/>
      <c r="H61" s="37" t="n"/>
      <c r="I61" s="37" t="n"/>
    </row>
    <row r="62" ht="15.75" customHeight="1" s="47">
      <c r="A62" s="43" t="n"/>
      <c r="B62" s="37" t="n"/>
      <c r="C62" s="37" t="n"/>
      <c r="D62" s="37" t="n"/>
      <c r="E62" s="37" t="n"/>
      <c r="F62" s="43" t="n"/>
      <c r="G62" s="37" t="n"/>
      <c r="H62" s="37" t="n"/>
      <c r="I62" s="37" t="n"/>
    </row>
    <row r="63" ht="15.75" customHeight="1" s="47">
      <c r="A63" s="43" t="n"/>
      <c r="B63" s="37" t="n"/>
      <c r="C63" s="37" t="n"/>
      <c r="D63" s="37" t="n"/>
      <c r="E63" s="37" t="n"/>
      <c r="F63" s="43" t="n"/>
      <c r="G63" s="37" t="n"/>
      <c r="H63" s="37" t="n"/>
      <c r="I63" s="37" t="n"/>
    </row>
    <row r="64" ht="15.75" customHeight="1" s="47">
      <c r="A64" s="43" t="n"/>
      <c r="B64" s="37" t="n"/>
      <c r="C64" s="37" t="n"/>
      <c r="D64" s="37" t="n"/>
      <c r="E64" s="37" t="n"/>
      <c r="F64" s="43" t="n"/>
      <c r="G64" s="37" t="n"/>
      <c r="H64" s="37" t="n"/>
      <c r="I64" s="37" t="n"/>
    </row>
    <row r="65" ht="15.75" customHeight="1" s="47">
      <c r="A65" s="43" t="n"/>
      <c r="B65" s="37" t="n"/>
      <c r="C65" s="37" t="n"/>
      <c r="D65" s="37" t="n"/>
      <c r="E65" s="37" t="n"/>
      <c r="F65" s="43" t="n"/>
      <c r="G65" s="37" t="n"/>
      <c r="H65" s="37" t="n"/>
      <c r="I65" s="37" t="n"/>
    </row>
    <row r="66" ht="15.75" customHeight="1" s="47">
      <c r="A66" s="43" t="n"/>
      <c r="B66" s="37" t="n"/>
      <c r="C66" s="37" t="n"/>
      <c r="D66" s="37" t="n"/>
      <c r="E66" s="37" t="n"/>
      <c r="F66" s="43" t="n"/>
      <c r="G66" s="37" t="n"/>
      <c r="H66" s="37" t="n"/>
      <c r="I66" s="37" t="n"/>
    </row>
    <row r="67" ht="15.75" customHeight="1" s="47">
      <c r="A67" s="43" t="n"/>
      <c r="B67" s="37" t="n"/>
      <c r="C67" s="37" t="n"/>
      <c r="D67" s="37" t="n"/>
      <c r="E67" s="37" t="n"/>
      <c r="F67" s="43" t="n"/>
      <c r="G67" s="37" t="n"/>
      <c r="H67" s="37" t="n"/>
      <c r="I67" s="37" t="n"/>
    </row>
    <row r="68" ht="15.75" customHeight="1" s="47">
      <c r="A68" s="43" t="n"/>
      <c r="B68" s="37" t="n"/>
      <c r="C68" s="37" t="n"/>
      <c r="D68" s="37" t="n"/>
      <c r="E68" s="37" t="n"/>
      <c r="F68" s="43" t="n"/>
      <c r="G68" s="37" t="n"/>
      <c r="H68" s="37" t="n"/>
      <c r="I68" s="37" t="n"/>
    </row>
    <row r="69" ht="15.75" customHeight="1" s="47">
      <c r="A69" s="43" t="n"/>
      <c r="B69" s="37" t="n"/>
      <c r="C69" s="37" t="n"/>
      <c r="D69" s="37" t="n"/>
      <c r="E69" s="37" t="n"/>
      <c r="F69" s="43" t="n"/>
      <c r="G69" s="37" t="n"/>
      <c r="H69" s="37" t="n"/>
      <c r="I69" s="37" t="n"/>
    </row>
    <row r="70" ht="15.75" customHeight="1" s="47">
      <c r="A70" s="43" t="n"/>
      <c r="B70" s="37" t="n"/>
      <c r="C70" s="37" t="n"/>
      <c r="D70" s="37" t="n"/>
      <c r="E70" s="37" t="n"/>
      <c r="F70" s="43" t="n"/>
      <c r="G70" s="37" t="n"/>
      <c r="H70" s="37" t="n"/>
      <c r="I70" s="37" t="n"/>
    </row>
    <row r="71" ht="15.75" customHeight="1" s="47">
      <c r="A71" s="43" t="n"/>
      <c r="B71" s="37" t="n"/>
      <c r="C71" s="37" t="n"/>
      <c r="D71" s="37" t="n"/>
      <c r="E71" s="37" t="n"/>
      <c r="F71" s="43" t="n"/>
      <c r="G71" s="37" t="n"/>
      <c r="H71" s="37" t="n"/>
      <c r="I71" s="37" t="n"/>
    </row>
    <row r="72" ht="15.75" customHeight="1" s="47">
      <c r="A72" s="43" t="n"/>
      <c r="B72" s="37" t="n"/>
      <c r="C72" s="37" t="n"/>
      <c r="D72" s="37" t="n"/>
      <c r="E72" s="37" t="n"/>
      <c r="F72" s="43" t="n"/>
      <c r="G72" s="37" t="n"/>
      <c r="H72" s="37" t="n"/>
      <c r="I72" s="37" t="n"/>
    </row>
    <row r="73" ht="15.75" customHeight="1" s="47">
      <c r="A73" s="43" t="n"/>
      <c r="B73" s="37" t="n"/>
      <c r="C73" s="37" t="n"/>
      <c r="D73" s="37" t="n"/>
      <c r="E73" s="37" t="n"/>
      <c r="F73" s="43" t="n"/>
      <c r="G73" s="37" t="n"/>
      <c r="H73" s="37" t="n"/>
      <c r="I73" s="37" t="n"/>
    </row>
    <row r="74" ht="15.75" customHeight="1" s="47">
      <c r="A74" s="43" t="n"/>
      <c r="B74" s="37" t="n"/>
      <c r="C74" s="37" t="n"/>
      <c r="D74" s="37" t="n"/>
      <c r="E74" s="37" t="n"/>
      <c r="F74" s="43" t="n"/>
      <c r="G74" s="37" t="n"/>
      <c r="H74" s="37" t="n"/>
      <c r="I74" s="37" t="n"/>
    </row>
    <row r="75" ht="15.75" customHeight="1" s="47">
      <c r="A75" s="43" t="n"/>
      <c r="B75" s="37" t="n"/>
      <c r="C75" s="37" t="n"/>
      <c r="D75" s="37" t="n"/>
      <c r="E75" s="37" t="n"/>
      <c r="F75" s="43" t="n"/>
      <c r="G75" s="37" t="n"/>
      <c r="H75" s="37" t="n"/>
      <c r="I75" s="37" t="n"/>
    </row>
    <row r="76" ht="15.75" customHeight="1" s="47">
      <c r="A76" s="43" t="n"/>
      <c r="B76" s="37" t="n"/>
      <c r="C76" s="37" t="n"/>
      <c r="D76" s="37" t="n"/>
      <c r="E76" s="37" t="n"/>
      <c r="F76" s="43" t="n"/>
      <c r="G76" s="37" t="n"/>
      <c r="H76" s="37" t="n"/>
      <c r="I76" s="37" t="n"/>
    </row>
    <row r="77" ht="15.75" customHeight="1" s="47">
      <c r="A77" s="43" t="n"/>
      <c r="B77" s="37" t="n"/>
      <c r="C77" s="37" t="n"/>
      <c r="D77" s="37" t="n"/>
      <c r="E77" s="37" t="n"/>
      <c r="F77" s="43" t="n"/>
      <c r="G77" s="37" t="n"/>
      <c r="H77" s="37" t="n"/>
      <c r="I77" s="37" t="n"/>
    </row>
    <row r="78" ht="15.75" customHeight="1" s="47">
      <c r="A78" s="43" t="n"/>
      <c r="B78" s="37" t="n"/>
      <c r="C78" s="37" t="n"/>
      <c r="D78" s="37" t="n"/>
      <c r="E78" s="37" t="n"/>
      <c r="F78" s="43" t="n"/>
      <c r="G78" s="37" t="n"/>
      <c r="H78" s="37" t="n"/>
      <c r="I78" s="37" t="n"/>
    </row>
    <row r="79" ht="15.75" customHeight="1" s="47">
      <c r="A79" s="43" t="n"/>
      <c r="B79" s="37" t="n"/>
      <c r="C79" s="37" t="n"/>
      <c r="D79" s="37" t="n"/>
      <c r="E79" s="37" t="n"/>
      <c r="F79" s="43" t="n"/>
      <c r="G79" s="37" t="n"/>
      <c r="H79" s="37" t="n"/>
      <c r="I79" s="37" t="n"/>
    </row>
    <row r="80" ht="15.75" customHeight="1" s="47">
      <c r="A80" s="43" t="n"/>
      <c r="B80" s="37" t="n"/>
      <c r="C80" s="37" t="n"/>
      <c r="D80" s="37" t="n"/>
      <c r="E80" s="37" t="n"/>
      <c r="F80" s="43" t="n"/>
      <c r="G80" s="37" t="n"/>
      <c r="H80" s="37" t="n"/>
      <c r="I80" s="37" t="n"/>
    </row>
    <row r="81" ht="15.75" customHeight="1" s="47">
      <c r="A81" s="43" t="n"/>
      <c r="B81" s="37" t="n"/>
      <c r="C81" s="37" t="n"/>
      <c r="D81" s="37" t="n"/>
      <c r="E81" s="37" t="n"/>
      <c r="F81" s="43" t="n"/>
      <c r="G81" s="37" t="n"/>
      <c r="H81" s="37" t="n"/>
      <c r="I81" s="37" t="n"/>
    </row>
    <row r="82" ht="15.75" customHeight="1" s="47">
      <c r="A82" s="43" t="n"/>
      <c r="B82" s="37" t="n"/>
      <c r="C82" s="37" t="n"/>
      <c r="D82" s="37" t="n"/>
      <c r="E82" s="37" t="n"/>
      <c r="F82" s="43" t="n"/>
      <c r="G82" s="37" t="n"/>
      <c r="H82" s="37" t="n"/>
      <c r="I82" s="37" t="n"/>
    </row>
    <row r="83" ht="15.75" customHeight="1" s="47">
      <c r="A83" s="43" t="n"/>
      <c r="B83" s="37" t="n"/>
      <c r="C83" s="37" t="n"/>
      <c r="D83" s="37" t="n"/>
      <c r="E83" s="37" t="n"/>
      <c r="F83" s="43" t="n"/>
      <c r="G83" s="37" t="n"/>
      <c r="H83" s="37" t="n"/>
      <c r="I83" s="37" t="n"/>
    </row>
    <row r="84" ht="15.75" customHeight="1" s="47">
      <c r="A84" s="43" t="n"/>
      <c r="B84" s="37" t="n"/>
      <c r="C84" s="37" t="n"/>
      <c r="D84" s="37" t="n"/>
      <c r="E84" s="37" t="n"/>
      <c r="F84" s="43" t="n"/>
      <c r="G84" s="37" t="n"/>
      <c r="H84" s="37" t="n"/>
      <c r="I84" s="37" t="n"/>
    </row>
    <row r="85" ht="15.75" customHeight="1" s="47">
      <c r="A85" s="43" t="n"/>
      <c r="B85" s="37" t="n"/>
      <c r="C85" s="37" t="n"/>
      <c r="D85" s="37" t="n"/>
      <c r="E85" s="37" t="n"/>
      <c r="F85" s="43" t="n"/>
      <c r="G85" s="37" t="n"/>
      <c r="H85" s="37" t="n"/>
      <c r="I85" s="37" t="n"/>
    </row>
    <row r="86" ht="15.75" customHeight="1" s="47">
      <c r="A86" s="43" t="n"/>
      <c r="B86" s="37" t="n"/>
      <c r="C86" s="37" t="n"/>
      <c r="D86" s="37" t="n"/>
      <c r="E86" s="37" t="n"/>
      <c r="F86" s="43" t="n"/>
      <c r="G86" s="37" t="n"/>
      <c r="H86" s="37" t="n"/>
      <c r="I86" s="37" t="n"/>
    </row>
    <row r="87" ht="15.75" customHeight="1" s="47">
      <c r="A87" s="43" t="n"/>
      <c r="B87" s="37" t="n"/>
      <c r="C87" s="37" t="n"/>
      <c r="D87" s="37" t="n"/>
      <c r="E87" s="37" t="n"/>
      <c r="F87" s="43" t="n"/>
      <c r="G87" s="37" t="n"/>
      <c r="H87" s="37" t="n"/>
      <c r="I87" s="37" t="n"/>
    </row>
    <row r="88" ht="15.75" customHeight="1" s="47">
      <c r="A88" s="43" t="n"/>
      <c r="B88" s="37" t="n"/>
      <c r="C88" s="37" t="n"/>
      <c r="D88" s="37" t="n"/>
      <c r="E88" s="37" t="n"/>
      <c r="F88" s="43" t="n"/>
      <c r="G88" s="37" t="n"/>
      <c r="H88" s="37" t="n"/>
      <c r="I88" s="37" t="n"/>
    </row>
    <row r="89" ht="15.75" customHeight="1" s="47">
      <c r="A89" s="43" t="n"/>
      <c r="B89" s="37" t="n"/>
      <c r="C89" s="37" t="n"/>
      <c r="D89" s="37" t="n"/>
      <c r="E89" s="37" t="n"/>
      <c r="F89" s="43" t="n"/>
      <c r="G89" s="37" t="n"/>
      <c r="H89" s="37" t="n"/>
      <c r="I89" s="37" t="n"/>
    </row>
    <row r="90" ht="15.75" customHeight="1" s="47">
      <c r="A90" s="43" t="n"/>
      <c r="B90" s="37" t="n"/>
      <c r="C90" s="37" t="n"/>
      <c r="D90" s="37" t="n"/>
      <c r="E90" s="37" t="n"/>
      <c r="F90" s="43" t="n"/>
      <c r="G90" s="37" t="n"/>
      <c r="H90" s="37" t="n"/>
      <c r="I90" s="37" t="n"/>
    </row>
    <row r="91" ht="15.75" customHeight="1" s="47">
      <c r="A91" s="43" t="n"/>
      <c r="B91" s="37" t="n"/>
      <c r="C91" s="37" t="n"/>
      <c r="D91" s="37" t="n"/>
      <c r="E91" s="37" t="n"/>
      <c r="F91" s="43" t="n"/>
      <c r="G91" s="37" t="n"/>
      <c r="H91" s="37" t="n"/>
      <c r="I91" s="37" t="n"/>
    </row>
    <row r="92" ht="15.75" customHeight="1" s="47">
      <c r="A92" s="43" t="n"/>
      <c r="B92" s="37" t="n"/>
      <c r="C92" s="37" t="n"/>
      <c r="D92" s="37" t="n"/>
      <c r="E92" s="37" t="n"/>
      <c r="F92" s="43" t="n"/>
      <c r="G92" s="37" t="n"/>
      <c r="H92" s="37" t="n"/>
      <c r="I92" s="37" t="n"/>
    </row>
    <row r="93" ht="15.75" customHeight="1" s="47">
      <c r="A93" s="43" t="n"/>
      <c r="B93" s="37" t="n"/>
      <c r="C93" s="37" t="n"/>
      <c r="D93" s="37" t="n"/>
      <c r="E93" s="37" t="n"/>
      <c r="F93" s="43" t="n"/>
      <c r="G93" s="37" t="n"/>
      <c r="H93" s="37" t="n"/>
      <c r="I93" s="37" t="n"/>
    </row>
    <row r="94" ht="15.75" customHeight="1" s="47">
      <c r="A94" s="43" t="n"/>
      <c r="B94" s="37" t="n"/>
      <c r="C94" s="37" t="n"/>
      <c r="D94" s="37" t="n"/>
      <c r="E94" s="37" t="n"/>
      <c r="F94" s="43" t="n"/>
      <c r="G94" s="37" t="n"/>
      <c r="H94" s="37" t="n"/>
      <c r="I94" s="37" t="n"/>
    </row>
    <row r="95" ht="15.75" customHeight="1" s="47">
      <c r="A95" s="43" t="n"/>
      <c r="B95" s="37" t="n"/>
      <c r="C95" s="37" t="n"/>
      <c r="D95" s="37" t="n"/>
      <c r="E95" s="37" t="n"/>
      <c r="F95" s="43" t="n"/>
      <c r="G95" s="37" t="n"/>
      <c r="H95" s="37" t="n"/>
      <c r="I95" s="37" t="n"/>
    </row>
    <row r="96" ht="15.75" customHeight="1" s="47">
      <c r="A96" s="43" t="n"/>
      <c r="B96" s="37" t="n"/>
      <c r="C96" s="37" t="n"/>
      <c r="D96" s="37" t="n"/>
      <c r="E96" s="37" t="n"/>
      <c r="F96" s="43" t="n"/>
      <c r="G96" s="37" t="n"/>
      <c r="H96" s="37" t="n"/>
      <c r="I96" s="37" t="n"/>
    </row>
    <row r="97" ht="15.75" customHeight="1" s="47">
      <c r="A97" s="43" t="n"/>
      <c r="B97" s="37" t="n"/>
      <c r="C97" s="37" t="n"/>
      <c r="D97" s="37" t="n"/>
      <c r="E97" s="37" t="n"/>
      <c r="F97" s="43" t="n"/>
      <c r="G97" s="37" t="n"/>
      <c r="H97" s="37" t="n"/>
      <c r="I97" s="37" t="n"/>
    </row>
    <row r="98" ht="15.75" customHeight="1" s="47">
      <c r="A98" s="43" t="n"/>
      <c r="B98" s="37" t="n"/>
      <c r="C98" s="37" t="n"/>
      <c r="D98" s="37" t="n"/>
      <c r="E98" s="37" t="n"/>
      <c r="F98" s="43" t="n"/>
      <c r="G98" s="37" t="n"/>
      <c r="H98" s="37" t="n"/>
      <c r="I98" s="37" t="n"/>
    </row>
    <row r="99" ht="15.75" customHeight="1" s="47">
      <c r="A99" s="43" t="n"/>
      <c r="B99" s="37" t="n"/>
      <c r="C99" s="37" t="n"/>
      <c r="D99" s="37" t="n"/>
      <c r="E99" s="37" t="n"/>
      <c r="F99" s="43" t="n"/>
      <c r="G99" s="37" t="n"/>
      <c r="H99" s="37" t="n"/>
      <c r="I99" s="37" t="n"/>
    </row>
    <row r="100" ht="15.75" customHeight="1" s="47">
      <c r="A100" s="43" t="n"/>
      <c r="B100" s="37" t="n"/>
      <c r="C100" s="37" t="n"/>
      <c r="D100" s="37" t="n"/>
      <c r="E100" s="37" t="n"/>
      <c r="F100" s="43" t="n"/>
      <c r="G100" s="37" t="n"/>
      <c r="H100" s="37" t="n"/>
      <c r="I100" s="37" t="n"/>
    </row>
    <row r="101" ht="15.75" customHeight="1" s="47">
      <c r="A101" s="43" t="n"/>
      <c r="B101" s="37" t="n"/>
      <c r="C101" s="37" t="n"/>
      <c r="D101" s="37" t="n"/>
      <c r="E101" s="37" t="n"/>
      <c r="F101" s="43" t="n"/>
      <c r="G101" s="37" t="n"/>
      <c r="H101" s="37" t="n"/>
      <c r="I101" s="37" t="n"/>
    </row>
    <row r="102" ht="15.75" customHeight="1" s="47">
      <c r="A102" s="43" t="n"/>
      <c r="B102" s="37" t="n"/>
      <c r="C102" s="37" t="n"/>
      <c r="D102" s="37" t="n"/>
      <c r="E102" s="37" t="n"/>
      <c r="F102" s="43" t="n"/>
      <c r="G102" s="37" t="n"/>
      <c r="H102" s="37" t="n"/>
      <c r="I102" s="37" t="n"/>
    </row>
    <row r="103" ht="15.75" customHeight="1" s="47">
      <c r="A103" s="43" t="n"/>
      <c r="B103" s="37" t="n"/>
      <c r="C103" s="37" t="n"/>
      <c r="D103" s="37" t="n"/>
      <c r="E103" s="37" t="n"/>
      <c r="F103" s="43" t="n"/>
      <c r="G103" s="37" t="n"/>
      <c r="H103" s="37" t="n"/>
      <c r="I103" s="37" t="n"/>
    </row>
    <row r="104" ht="15.75" customHeight="1" s="47">
      <c r="A104" s="43" t="n"/>
      <c r="B104" s="37" t="n"/>
      <c r="C104" s="37" t="n"/>
      <c r="D104" s="37" t="n"/>
      <c r="E104" s="37" t="n"/>
      <c r="F104" s="43" t="n"/>
      <c r="G104" s="37" t="n"/>
      <c r="H104" s="37" t="n"/>
      <c r="I104" s="37" t="n"/>
    </row>
    <row r="105" ht="15.75" customHeight="1" s="47">
      <c r="A105" s="43" t="n"/>
      <c r="B105" s="37" t="n"/>
      <c r="C105" s="37" t="n"/>
      <c r="D105" s="37" t="n"/>
      <c r="E105" s="37" t="n"/>
      <c r="F105" s="43" t="n"/>
      <c r="G105" s="37" t="n"/>
      <c r="H105" s="37" t="n"/>
      <c r="I105" s="37" t="n"/>
    </row>
    <row r="106" ht="15.75" customHeight="1" s="47">
      <c r="A106" s="43" t="n"/>
      <c r="B106" s="37" t="n"/>
      <c r="C106" s="37" t="n"/>
      <c r="D106" s="37" t="n"/>
      <c r="E106" s="37" t="n"/>
      <c r="F106" s="43" t="n"/>
      <c r="G106" s="37" t="n"/>
      <c r="H106" s="37" t="n"/>
      <c r="I106" s="37" t="n"/>
    </row>
    <row r="107" ht="15.75" customHeight="1" s="47">
      <c r="A107" s="43" t="n"/>
      <c r="B107" s="37" t="n"/>
      <c r="C107" s="37" t="n"/>
      <c r="D107" s="37" t="n"/>
      <c r="E107" s="37" t="n"/>
      <c r="F107" s="43" t="n"/>
      <c r="G107" s="37" t="n"/>
      <c r="H107" s="37" t="n"/>
      <c r="I107" s="37" t="n"/>
    </row>
    <row r="108" ht="15.75" customHeight="1" s="47">
      <c r="A108" s="43" t="n"/>
      <c r="B108" s="37" t="n"/>
      <c r="C108" s="37" t="n"/>
      <c r="D108" s="37" t="n"/>
      <c r="E108" s="37" t="n"/>
      <c r="F108" s="43" t="n"/>
      <c r="G108" s="37" t="n"/>
      <c r="H108" s="37" t="n"/>
      <c r="I108" s="37" t="n"/>
    </row>
    <row r="109" ht="15.75" customHeight="1" s="47">
      <c r="A109" s="43" t="n"/>
      <c r="B109" s="37" t="n"/>
      <c r="C109" s="37" t="n"/>
      <c r="D109" s="37" t="n"/>
      <c r="E109" s="37" t="n"/>
      <c r="F109" s="43" t="n"/>
      <c r="G109" s="37" t="n"/>
      <c r="H109" s="37" t="n"/>
      <c r="I109" s="37" t="n"/>
    </row>
    <row r="110" ht="15.75" customHeight="1" s="47">
      <c r="A110" s="43" t="n"/>
      <c r="B110" s="37" t="n"/>
      <c r="C110" s="37" t="n"/>
      <c r="D110" s="37" t="n"/>
      <c r="E110" s="37" t="n"/>
      <c r="F110" s="43" t="n"/>
      <c r="G110" s="37" t="n"/>
      <c r="H110" s="37" t="n"/>
      <c r="I110" s="37" t="n"/>
    </row>
    <row r="111" ht="15.75" customHeight="1" s="47">
      <c r="A111" s="43" t="n"/>
      <c r="B111" s="37" t="n"/>
      <c r="C111" s="37" t="n"/>
      <c r="D111" s="37" t="n"/>
      <c r="E111" s="37" t="n"/>
      <c r="F111" s="43" t="n"/>
      <c r="G111" s="37" t="n"/>
      <c r="H111" s="37" t="n"/>
      <c r="I111" s="37" t="n"/>
    </row>
    <row r="112" ht="15.75" customHeight="1" s="47">
      <c r="A112" s="43" t="n"/>
      <c r="B112" s="37" t="n"/>
      <c r="C112" s="37" t="n"/>
      <c r="D112" s="37" t="n"/>
      <c r="E112" s="37" t="n"/>
      <c r="F112" s="43" t="n"/>
      <c r="G112" s="37" t="n"/>
      <c r="H112" s="37" t="n"/>
      <c r="I112" s="37" t="n"/>
    </row>
    <row r="113" ht="15.75" customHeight="1" s="47">
      <c r="A113" s="43" t="n"/>
      <c r="B113" s="37" t="n"/>
      <c r="C113" s="37" t="n"/>
      <c r="D113" s="37" t="n"/>
      <c r="E113" s="37" t="n"/>
      <c r="F113" s="43" t="n"/>
      <c r="G113" s="37" t="n"/>
      <c r="H113" s="37" t="n"/>
      <c r="I113" s="37" t="n"/>
    </row>
    <row r="114" ht="15.75" customHeight="1" s="47">
      <c r="A114" s="43" t="n"/>
      <c r="B114" s="37" t="n"/>
      <c r="C114" s="37" t="n"/>
      <c r="D114" s="37" t="n"/>
      <c r="E114" s="37" t="n"/>
      <c r="F114" s="43" t="n"/>
      <c r="G114" s="37" t="n"/>
      <c r="H114" s="37" t="n"/>
      <c r="I114" s="37" t="n"/>
    </row>
    <row r="115" ht="15.75" customHeight="1" s="47">
      <c r="A115" s="43" t="n"/>
      <c r="B115" s="37" t="n"/>
      <c r="C115" s="37" t="n"/>
      <c r="D115" s="37" t="n"/>
      <c r="E115" s="37" t="n"/>
      <c r="F115" s="43" t="n"/>
      <c r="G115" s="37" t="n"/>
      <c r="H115" s="37" t="n"/>
      <c r="I115" s="37" t="n"/>
    </row>
    <row r="116" ht="15.75" customHeight="1" s="47">
      <c r="A116" s="43" t="n"/>
      <c r="B116" s="37" t="n"/>
      <c r="C116" s="37" t="n"/>
      <c r="D116" s="37" t="n"/>
      <c r="E116" s="37" t="n"/>
      <c r="F116" s="43" t="n"/>
      <c r="G116" s="37" t="n"/>
      <c r="H116" s="37" t="n"/>
      <c r="I116" s="37" t="n"/>
    </row>
    <row r="117" ht="15.75" customHeight="1" s="47">
      <c r="A117" s="43" t="n"/>
      <c r="B117" s="37" t="n"/>
      <c r="C117" s="37" t="n"/>
      <c r="D117" s="37" t="n"/>
      <c r="E117" s="37" t="n"/>
      <c r="F117" s="43" t="n"/>
      <c r="G117" s="37" t="n"/>
      <c r="H117" s="37" t="n"/>
      <c r="I117" s="37" t="n"/>
    </row>
    <row r="118" ht="15.75" customHeight="1" s="47">
      <c r="A118" s="43" t="n"/>
      <c r="B118" s="37" t="n"/>
      <c r="C118" s="37" t="n"/>
      <c r="D118" s="37" t="n"/>
      <c r="E118" s="37" t="n"/>
      <c r="F118" s="43" t="n"/>
      <c r="G118" s="37" t="n"/>
      <c r="H118" s="37" t="n"/>
      <c r="I118" s="37" t="n"/>
    </row>
    <row r="119" ht="15.75" customHeight="1" s="47">
      <c r="A119" s="43" t="n"/>
      <c r="B119" s="37" t="n"/>
      <c r="C119" s="37" t="n"/>
      <c r="D119" s="37" t="n"/>
      <c r="E119" s="37" t="n"/>
      <c r="F119" s="43" t="n"/>
      <c r="G119" s="37" t="n"/>
      <c r="H119" s="37" t="n"/>
      <c r="I119" s="37" t="n"/>
    </row>
    <row r="120" ht="15.75" customHeight="1" s="47">
      <c r="A120" s="43" t="n"/>
      <c r="B120" s="37" t="n"/>
      <c r="C120" s="37" t="n"/>
      <c r="D120" s="37" t="n"/>
      <c r="E120" s="37" t="n"/>
      <c r="F120" s="43" t="n"/>
      <c r="G120" s="37" t="n"/>
      <c r="H120" s="37" t="n"/>
      <c r="I120" s="37" t="n"/>
    </row>
    <row r="121" ht="15.75" customHeight="1" s="47">
      <c r="A121" s="43" t="n"/>
      <c r="B121" s="37" t="n"/>
      <c r="C121" s="37" t="n"/>
      <c r="D121" s="37" t="n"/>
      <c r="E121" s="37" t="n"/>
      <c r="F121" s="43" t="n"/>
      <c r="G121" s="37" t="n"/>
      <c r="H121" s="37" t="n"/>
      <c r="I121" s="37" t="n"/>
    </row>
    <row r="122" ht="15.75" customHeight="1" s="47">
      <c r="A122" s="43" t="n"/>
      <c r="B122" s="37" t="n"/>
      <c r="C122" s="37" t="n"/>
      <c r="D122" s="37" t="n"/>
      <c r="E122" s="37" t="n"/>
      <c r="F122" s="43" t="n"/>
      <c r="G122" s="37" t="n"/>
      <c r="H122" s="37" t="n"/>
      <c r="I122" s="37" t="n"/>
    </row>
    <row r="123" ht="15.75" customHeight="1" s="47">
      <c r="A123" s="43" t="n"/>
      <c r="B123" s="37" t="n"/>
      <c r="C123" s="37" t="n"/>
      <c r="D123" s="37" t="n"/>
      <c r="E123" s="37" t="n"/>
      <c r="F123" s="43" t="n"/>
      <c r="G123" s="37" t="n"/>
      <c r="H123" s="37" t="n"/>
      <c r="I123" s="37" t="n"/>
    </row>
    <row r="124" ht="15.75" customHeight="1" s="47">
      <c r="A124" s="43" t="n"/>
      <c r="B124" s="37" t="n"/>
      <c r="C124" s="37" t="n"/>
      <c r="D124" s="37" t="n"/>
      <c r="E124" s="37" t="n"/>
      <c r="F124" s="43" t="n"/>
      <c r="G124" s="37" t="n"/>
      <c r="H124" s="37" t="n"/>
      <c r="I124" s="37" t="n"/>
    </row>
    <row r="125" ht="15.75" customHeight="1" s="47">
      <c r="A125" s="43" t="n"/>
      <c r="B125" s="37" t="n"/>
      <c r="C125" s="37" t="n"/>
      <c r="D125" s="37" t="n"/>
      <c r="E125" s="37" t="n"/>
      <c r="F125" s="43" t="n"/>
      <c r="G125" s="37" t="n"/>
      <c r="H125" s="37" t="n"/>
      <c r="I125" s="37" t="n"/>
    </row>
    <row r="126" ht="15.75" customHeight="1" s="47">
      <c r="A126" s="43" t="n"/>
      <c r="B126" s="37" t="n"/>
      <c r="C126" s="37" t="n"/>
      <c r="D126" s="37" t="n"/>
      <c r="E126" s="37" t="n"/>
      <c r="F126" s="43" t="n"/>
      <c r="G126" s="37" t="n"/>
      <c r="H126" s="37" t="n"/>
      <c r="I126" s="37" t="n"/>
    </row>
    <row r="127" ht="15.75" customHeight="1" s="47">
      <c r="A127" s="43" t="n"/>
      <c r="B127" s="37" t="n"/>
      <c r="C127" s="37" t="n"/>
      <c r="D127" s="37" t="n"/>
      <c r="E127" s="37" t="n"/>
      <c r="F127" s="43" t="n"/>
      <c r="G127" s="37" t="n"/>
      <c r="H127" s="37" t="n"/>
      <c r="I127" s="37" t="n"/>
    </row>
    <row r="128" ht="15.75" customHeight="1" s="47">
      <c r="A128" s="43" t="n"/>
      <c r="B128" s="37" t="n"/>
      <c r="C128" s="37" t="n"/>
      <c r="D128" s="37" t="n"/>
      <c r="E128" s="37" t="n"/>
      <c r="F128" s="43" t="n"/>
      <c r="G128" s="37" t="n"/>
      <c r="H128" s="37" t="n"/>
      <c r="I128" s="37" t="n"/>
    </row>
    <row r="129" ht="15.75" customHeight="1" s="47">
      <c r="A129" s="43" t="n"/>
      <c r="B129" s="37" t="n"/>
      <c r="C129" s="37" t="n"/>
      <c r="D129" s="37" t="n"/>
      <c r="E129" s="37" t="n"/>
      <c r="F129" s="43" t="n"/>
      <c r="G129" s="37" t="n"/>
      <c r="H129" s="37" t="n"/>
      <c r="I129" s="37" t="n"/>
    </row>
    <row r="130" ht="15.75" customHeight="1" s="47">
      <c r="A130" s="43" t="n"/>
      <c r="B130" s="37" t="n"/>
      <c r="C130" s="37" t="n"/>
      <c r="D130" s="37" t="n"/>
      <c r="E130" s="37" t="n"/>
      <c r="F130" s="43" t="n"/>
      <c r="G130" s="37" t="n"/>
      <c r="H130" s="37" t="n"/>
      <c r="I130" s="37" t="n"/>
    </row>
    <row r="131" ht="15.75" customHeight="1" s="47">
      <c r="A131" s="43" t="n"/>
      <c r="B131" s="37" t="n"/>
      <c r="C131" s="37" t="n"/>
      <c r="D131" s="37" t="n"/>
      <c r="E131" s="37" t="n"/>
      <c r="F131" s="43" t="n"/>
      <c r="G131" s="37" t="n"/>
      <c r="H131" s="37" t="n"/>
      <c r="I131" s="37" t="n"/>
    </row>
    <row r="132" ht="15.75" customHeight="1" s="47">
      <c r="A132" s="43" t="n"/>
      <c r="B132" s="37" t="n"/>
      <c r="C132" s="37" t="n"/>
      <c r="D132" s="37" t="n"/>
      <c r="E132" s="37" t="n"/>
      <c r="F132" s="43" t="n"/>
      <c r="G132" s="37" t="n"/>
      <c r="H132" s="37" t="n"/>
      <c r="I132" s="37" t="n"/>
    </row>
    <row r="133" ht="15.75" customHeight="1" s="47">
      <c r="A133" s="43" t="n"/>
      <c r="B133" s="37" t="n"/>
      <c r="C133" s="37" t="n"/>
      <c r="D133" s="37" t="n"/>
      <c r="E133" s="37" t="n"/>
      <c r="F133" s="43" t="n"/>
      <c r="G133" s="37" t="n"/>
      <c r="H133" s="37" t="n"/>
      <c r="I133" s="37" t="n"/>
    </row>
    <row r="134" ht="15.75" customHeight="1" s="47">
      <c r="A134" s="43" t="n"/>
      <c r="B134" s="37" t="n"/>
      <c r="C134" s="37" t="n"/>
      <c r="D134" s="37" t="n"/>
      <c r="E134" s="37" t="n"/>
      <c r="F134" s="43" t="n"/>
      <c r="G134" s="37" t="n"/>
      <c r="H134" s="37" t="n"/>
      <c r="I134" s="37" t="n"/>
    </row>
    <row r="135" ht="15.75" customHeight="1" s="47">
      <c r="A135" s="43" t="n"/>
      <c r="B135" s="37" t="n"/>
      <c r="C135" s="37" t="n"/>
      <c r="D135" s="37" t="n"/>
      <c r="E135" s="37" t="n"/>
      <c r="F135" s="43" t="n"/>
      <c r="G135" s="37" t="n"/>
      <c r="H135" s="37" t="n"/>
      <c r="I135" s="37" t="n"/>
    </row>
    <row r="136" ht="15.75" customHeight="1" s="47">
      <c r="A136" s="43" t="n"/>
      <c r="B136" s="37" t="n"/>
      <c r="C136" s="37" t="n"/>
      <c r="D136" s="37" t="n"/>
      <c r="E136" s="37" t="n"/>
      <c r="F136" s="43" t="n"/>
      <c r="G136" s="37" t="n"/>
      <c r="H136" s="37" t="n"/>
      <c r="I136" s="37" t="n"/>
    </row>
    <row r="137" ht="15.75" customHeight="1" s="47">
      <c r="A137" s="43" t="n"/>
      <c r="B137" s="37" t="n"/>
      <c r="C137" s="37" t="n"/>
      <c r="D137" s="37" t="n"/>
      <c r="E137" s="37" t="n"/>
      <c r="F137" s="43" t="n"/>
      <c r="G137" s="37" t="n"/>
      <c r="H137" s="37" t="n"/>
      <c r="I137" s="37" t="n"/>
    </row>
    <row r="138" ht="15.75" customHeight="1" s="47">
      <c r="A138" s="43" t="n"/>
      <c r="B138" s="37" t="n"/>
      <c r="C138" s="37" t="n"/>
      <c r="D138" s="37" t="n"/>
      <c r="E138" s="37" t="n"/>
      <c r="F138" s="43" t="n"/>
      <c r="G138" s="37" t="n"/>
      <c r="H138" s="37" t="n"/>
      <c r="I138" s="37" t="n"/>
    </row>
    <row r="139" ht="15.75" customHeight="1" s="47">
      <c r="A139" s="43" t="n"/>
      <c r="B139" s="37" t="n"/>
      <c r="C139" s="37" t="n"/>
      <c r="D139" s="37" t="n"/>
      <c r="E139" s="37" t="n"/>
      <c r="F139" s="43" t="n"/>
      <c r="G139" s="37" t="n"/>
      <c r="H139" s="37" t="n"/>
      <c r="I139" s="37" t="n"/>
    </row>
    <row r="140" ht="15.75" customHeight="1" s="47">
      <c r="A140" s="43" t="n"/>
      <c r="B140" s="37" t="n"/>
      <c r="C140" s="37" t="n"/>
      <c r="D140" s="37" t="n"/>
      <c r="E140" s="37" t="n"/>
      <c r="F140" s="43" t="n"/>
      <c r="G140" s="37" t="n"/>
      <c r="H140" s="37" t="n"/>
      <c r="I140" s="37" t="n"/>
    </row>
    <row r="141" ht="15.75" customHeight="1" s="47">
      <c r="A141" s="43" t="n"/>
      <c r="B141" s="37" t="n"/>
      <c r="C141" s="37" t="n"/>
      <c r="D141" s="37" t="n"/>
      <c r="E141" s="37" t="n"/>
      <c r="F141" s="43" t="n"/>
      <c r="G141" s="37" t="n"/>
      <c r="H141" s="37" t="n"/>
      <c r="I141" s="37" t="n"/>
    </row>
    <row r="142" ht="15.75" customHeight="1" s="47">
      <c r="A142" s="43" t="n"/>
      <c r="B142" s="37" t="n"/>
      <c r="C142" s="37" t="n"/>
      <c r="D142" s="37" t="n"/>
      <c r="E142" s="37" t="n"/>
      <c r="F142" s="43" t="n"/>
      <c r="G142" s="37" t="n"/>
      <c r="H142" s="37" t="n"/>
      <c r="I142" s="37" t="n"/>
    </row>
    <row r="143" ht="15.75" customHeight="1" s="47">
      <c r="A143" s="43" t="n"/>
      <c r="B143" s="37" t="n"/>
      <c r="C143" s="37" t="n"/>
      <c r="D143" s="37" t="n"/>
      <c r="E143" s="37" t="n"/>
      <c r="F143" s="43" t="n"/>
      <c r="G143" s="37" t="n"/>
      <c r="H143" s="37" t="n"/>
      <c r="I143" s="37" t="n"/>
    </row>
    <row r="144" ht="15.75" customHeight="1" s="47">
      <c r="A144" s="43" t="n"/>
      <c r="B144" s="37" t="n"/>
      <c r="C144" s="37" t="n"/>
      <c r="D144" s="37" t="n"/>
      <c r="E144" s="37" t="n"/>
      <c r="F144" s="43" t="n"/>
      <c r="G144" s="37" t="n"/>
      <c r="H144" s="37" t="n"/>
      <c r="I144" s="37" t="n"/>
    </row>
    <row r="145" ht="15.75" customHeight="1" s="47">
      <c r="A145" s="43" t="n"/>
      <c r="B145" s="37" t="n"/>
      <c r="C145" s="37" t="n"/>
      <c r="D145" s="37" t="n"/>
      <c r="E145" s="37" t="n"/>
      <c r="F145" s="43" t="n"/>
      <c r="G145" s="37" t="n"/>
      <c r="H145" s="37" t="n"/>
      <c r="I145" s="37" t="n"/>
    </row>
    <row r="146" ht="15.75" customHeight="1" s="47">
      <c r="A146" s="43" t="n"/>
      <c r="B146" s="37" t="n"/>
      <c r="C146" s="37" t="n"/>
      <c r="D146" s="37" t="n"/>
      <c r="E146" s="37" t="n"/>
      <c r="F146" s="43" t="n"/>
      <c r="G146" s="37" t="n"/>
      <c r="H146" s="37" t="n"/>
      <c r="I146" s="37" t="n"/>
    </row>
    <row r="147" ht="15.75" customHeight="1" s="47">
      <c r="A147" s="43" t="n"/>
      <c r="B147" s="37" t="n"/>
      <c r="C147" s="37" t="n"/>
      <c r="D147" s="37" t="n"/>
      <c r="E147" s="37" t="n"/>
      <c r="F147" s="43" t="n"/>
      <c r="G147" s="37" t="n"/>
      <c r="H147" s="37" t="n"/>
      <c r="I147" s="37" t="n"/>
    </row>
    <row r="148" ht="15.75" customHeight="1" s="47">
      <c r="A148" s="43" t="n"/>
      <c r="B148" s="37" t="n"/>
      <c r="C148" s="37" t="n"/>
      <c r="D148" s="37" t="n"/>
      <c r="E148" s="37" t="n"/>
      <c r="F148" s="43" t="n"/>
      <c r="G148" s="37" t="n"/>
      <c r="H148" s="37" t="n"/>
      <c r="I148" s="37" t="n"/>
    </row>
    <row r="149" ht="15.75" customHeight="1" s="47">
      <c r="A149" s="43" t="n"/>
      <c r="B149" s="37" t="n"/>
      <c r="C149" s="37" t="n"/>
      <c r="D149" s="37" t="n"/>
      <c r="E149" s="37" t="n"/>
      <c r="F149" s="43" t="n"/>
      <c r="G149" s="37" t="n"/>
      <c r="H149" s="37" t="n"/>
      <c r="I149" s="37" t="n"/>
    </row>
    <row r="150" ht="15.75" customHeight="1" s="47">
      <c r="A150" s="43" t="n"/>
      <c r="B150" s="37" t="n"/>
      <c r="C150" s="37" t="n"/>
      <c r="D150" s="37" t="n"/>
      <c r="E150" s="37" t="n"/>
      <c r="F150" s="43" t="n"/>
      <c r="G150" s="37" t="n"/>
      <c r="H150" s="37" t="n"/>
      <c r="I150" s="37" t="n"/>
    </row>
    <row r="151" ht="15.75" customHeight="1" s="47">
      <c r="A151" s="43" t="n"/>
      <c r="B151" s="37" t="n"/>
      <c r="C151" s="37" t="n"/>
      <c r="D151" s="37" t="n"/>
      <c r="E151" s="37" t="n"/>
      <c r="F151" s="43" t="n"/>
      <c r="G151" s="37" t="n"/>
      <c r="H151" s="37" t="n"/>
      <c r="I151" s="37" t="n"/>
    </row>
    <row r="152" ht="15.75" customHeight="1" s="47">
      <c r="A152" s="43" t="n"/>
      <c r="B152" s="37" t="n"/>
      <c r="C152" s="37" t="n"/>
      <c r="D152" s="37" t="n"/>
      <c r="E152" s="37" t="n"/>
      <c r="F152" s="43" t="n"/>
      <c r="G152" s="37" t="n"/>
      <c r="H152" s="37" t="n"/>
      <c r="I152" s="37" t="n"/>
    </row>
    <row r="153" ht="15.75" customHeight="1" s="47">
      <c r="A153" s="43" t="n"/>
      <c r="B153" s="37" t="n"/>
      <c r="C153" s="37" t="n"/>
      <c r="D153" s="37" t="n"/>
      <c r="E153" s="37" t="n"/>
      <c r="F153" s="43" t="n"/>
      <c r="G153" s="37" t="n"/>
      <c r="H153" s="37" t="n"/>
      <c r="I153" s="37" t="n"/>
    </row>
    <row r="154" ht="15.75" customHeight="1" s="47">
      <c r="A154" s="43" t="n"/>
      <c r="B154" s="37" t="n"/>
      <c r="C154" s="37" t="n"/>
      <c r="D154" s="37" t="n"/>
      <c r="E154" s="37" t="n"/>
      <c r="F154" s="43" t="n"/>
      <c r="G154" s="37" t="n"/>
      <c r="H154" s="37" t="n"/>
      <c r="I154" s="37" t="n"/>
    </row>
    <row r="155" ht="15.75" customHeight="1" s="47">
      <c r="A155" s="43" t="n"/>
      <c r="B155" s="37" t="n"/>
      <c r="C155" s="37" t="n"/>
      <c r="D155" s="37" t="n"/>
      <c r="E155" s="37" t="n"/>
      <c r="F155" s="43" t="n"/>
      <c r="G155" s="37" t="n"/>
      <c r="H155" s="37" t="n"/>
      <c r="I155" s="37" t="n"/>
    </row>
    <row r="156" ht="15.75" customHeight="1" s="47">
      <c r="A156" s="43" t="n"/>
      <c r="B156" s="37" t="n"/>
      <c r="C156" s="37" t="n"/>
      <c r="D156" s="37" t="n"/>
      <c r="E156" s="37" t="n"/>
      <c r="F156" s="43" t="n"/>
      <c r="G156" s="37" t="n"/>
      <c r="H156" s="37" t="n"/>
      <c r="I156" s="37" t="n"/>
    </row>
    <row r="157" ht="15.75" customHeight="1" s="47">
      <c r="A157" s="43" t="n"/>
      <c r="B157" s="37" t="n"/>
      <c r="C157" s="37" t="n"/>
      <c r="D157" s="37" t="n"/>
      <c r="E157" s="37" t="n"/>
      <c r="F157" s="43" t="n"/>
      <c r="G157" s="37" t="n"/>
      <c r="H157" s="37" t="n"/>
      <c r="I157" s="37" t="n"/>
    </row>
    <row r="158" ht="15.75" customHeight="1" s="47">
      <c r="A158" s="43" t="n"/>
      <c r="B158" s="37" t="n"/>
      <c r="C158" s="37" t="n"/>
      <c r="D158" s="37" t="n"/>
      <c r="E158" s="37" t="n"/>
      <c r="F158" s="43" t="n"/>
      <c r="G158" s="37" t="n"/>
      <c r="H158" s="37" t="n"/>
      <c r="I158" s="37" t="n"/>
    </row>
    <row r="159" ht="15.75" customHeight="1" s="47">
      <c r="A159" s="43" t="n"/>
      <c r="B159" s="37" t="n"/>
      <c r="C159" s="37" t="n"/>
      <c r="D159" s="37" t="n"/>
      <c r="E159" s="37" t="n"/>
      <c r="F159" s="43" t="n"/>
      <c r="G159" s="37" t="n"/>
      <c r="H159" s="37" t="n"/>
      <c r="I159" s="37" t="n"/>
    </row>
    <row r="160" ht="15.75" customHeight="1" s="47">
      <c r="A160" s="43" t="n"/>
      <c r="B160" s="37" t="n"/>
      <c r="C160" s="37" t="n"/>
      <c r="D160" s="37" t="n"/>
      <c r="E160" s="37" t="n"/>
      <c r="F160" s="43" t="n"/>
      <c r="G160" s="37" t="n"/>
      <c r="H160" s="37" t="n"/>
      <c r="I160" s="37" t="n"/>
    </row>
    <row r="161" ht="15.75" customHeight="1" s="47">
      <c r="A161" s="43" t="n"/>
      <c r="B161" s="37" t="n"/>
      <c r="C161" s="37" t="n"/>
      <c r="D161" s="37" t="n"/>
      <c r="E161" s="37" t="n"/>
      <c r="F161" s="43" t="n"/>
      <c r="G161" s="37" t="n"/>
      <c r="H161" s="37" t="n"/>
      <c r="I161" s="37" t="n"/>
    </row>
    <row r="162" ht="15.75" customHeight="1" s="47">
      <c r="A162" s="43" t="n"/>
      <c r="B162" s="37" t="n"/>
      <c r="C162" s="37" t="n"/>
      <c r="D162" s="37" t="n"/>
      <c r="E162" s="37" t="n"/>
      <c r="F162" s="43" t="n"/>
      <c r="G162" s="37" t="n"/>
      <c r="H162" s="37" t="n"/>
      <c r="I162" s="37" t="n"/>
    </row>
    <row r="163" ht="15.75" customHeight="1" s="47">
      <c r="A163" s="43" t="n"/>
      <c r="B163" s="37" t="n"/>
      <c r="C163" s="37" t="n"/>
      <c r="D163" s="37" t="n"/>
      <c r="E163" s="37" t="n"/>
      <c r="F163" s="43" t="n"/>
      <c r="G163" s="37" t="n"/>
      <c r="H163" s="37" t="n"/>
      <c r="I163" s="37" t="n"/>
    </row>
    <row r="164" ht="15.75" customHeight="1" s="47">
      <c r="A164" s="43" t="n"/>
      <c r="B164" s="37" t="n"/>
      <c r="C164" s="37" t="n"/>
      <c r="D164" s="37" t="n"/>
      <c r="E164" s="37" t="n"/>
      <c r="F164" s="43" t="n"/>
      <c r="G164" s="37" t="n"/>
      <c r="H164" s="37" t="n"/>
      <c r="I164" s="37" t="n"/>
    </row>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conditionalFormatting sqref="A5:I164">
    <cfRule type="expression" priority="1" dxfId="0">
      <formula>$E5="Yes"</formula>
    </cfRule>
  </conditionalFormatting>
  <dataValidations count="5">
    <dataValidation sqref="G5:G164" showDropDown="0" showInputMessage="0" showErrorMessage="0" allowBlank="1" type="list">
      <formula1>"Google,Facebook,Birdeye,Fresha"</formula1>
    </dataValidation>
    <dataValidation sqref="C5:C164" showDropDown="0" showInputMessage="0" showErrorMessage="0" allowBlank="1" type="list">
      <formula1>"WhatsApp,QR card in room,In person,Email,Text"</formula1>
    </dataValidation>
    <dataValidation sqref="D5:D164" showDropDown="0" showInputMessage="0" showErrorMessage="0" allowBlank="1" type="list">
      <formula1>"Cleo,Agency"</formula1>
    </dataValidation>
    <dataValidation sqref="E5:E164" showDropDown="0" showInputMessage="0" showErrorMessage="0" allowBlank="1" type="list">
      <formula1>"Yes,No,Waiting"</formula1>
    </dataValidation>
    <dataValidation sqref="H5:H164" showDropDown="0" showInputMessage="0" showErrorMessage="0" allowBlank="1" type="list">
      <formula1>"Yes,No"</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J34"/>
  <sheetViews>
    <sheetView workbookViewId="0">
      <pane ySplit="4" topLeftCell="A5" activePane="bottomLeft" state="frozen"/>
      <selection pane="bottomLeft" activeCell="B6" sqref="B6"/>
    </sheetView>
  </sheetViews>
  <sheetFormatPr baseColWidth="8" defaultColWidth="14.43" defaultRowHeight="15" customHeight="1"/>
  <cols>
    <col width="26" customWidth="1" style="47" min="1" max="1"/>
    <col width="34" customWidth="1" style="47" min="2" max="2"/>
    <col width="11" customWidth="1" style="47" min="3" max="3"/>
    <col width="13" customWidth="1" style="47" min="4" max="4"/>
    <col width="30" customWidth="1" style="47" min="5" max="5"/>
    <col width="13" customWidth="1" style="47" min="6" max="6"/>
    <col width="18" customWidth="1" style="47" min="7" max="7"/>
    <col width="14" customWidth="1" style="47" min="8" max="8"/>
    <col width="11" customWidth="1" style="47" min="9" max="9"/>
    <col width="34" customWidth="1" style="47" min="10" max="10"/>
    <col width="8.710000000000001" customWidth="1" style="47" min="11" max="26"/>
  </cols>
  <sheetData>
    <row r="1" ht="21.75" customHeight="1" s="47">
      <c r="A1" s="1" t="inlineStr">
        <is>
          <t>Citations and NAP</t>
        </is>
      </c>
    </row>
    <row r="2">
      <c r="A2" s="3" t="inlineStr">
        <is>
          <t>One name, one address, one phone number, everywhere. The postal code is L6M 4L9 — it is wrong on most of these today.</t>
        </is>
      </c>
    </row>
    <row r="3"/>
    <row r="4" ht="27.75" customHeight="1" s="47">
      <c r="A4" s="5" t="inlineStr">
        <is>
          <t>Directory</t>
        </is>
      </c>
      <c r="B4" s="5" t="inlineStr">
        <is>
          <t>Listing URL</t>
        </is>
      </c>
      <c r="C4" s="5" t="inlineStr">
        <is>
          <t>Claimed</t>
        </is>
      </c>
      <c r="D4" s="5" t="inlineStr">
        <is>
          <t>Name correct</t>
        </is>
      </c>
      <c r="E4" s="5" t="inlineStr">
        <is>
          <t>Address and postal code correct</t>
        </is>
      </c>
      <c r="F4" s="5" t="inlineStr">
        <is>
          <t>Phone correct</t>
        </is>
      </c>
      <c r="G4" s="5" t="inlineStr">
        <is>
          <t>Website URL current</t>
        </is>
      </c>
      <c r="H4" s="5" t="inlineStr">
        <is>
          <t>Status</t>
        </is>
      </c>
      <c r="I4" s="5" t="inlineStr">
        <is>
          <t>Date done</t>
        </is>
      </c>
      <c r="J4" s="5" t="inlineStr">
        <is>
          <t>Notes</t>
        </is>
      </c>
    </row>
    <row r="5">
      <c r="A5" s="11" t="inlineStr">
        <is>
          <t>Google Business Profile</t>
        </is>
      </c>
      <c r="B5" s="44" t="inlineStr">
        <is>
          <t>https://share.google/FpK3RhUmP2n3dVgUQ</t>
        </is>
      </c>
      <c r="C5" s="14" t="inlineStr">
        <is>
          <t>Yes</t>
        </is>
      </c>
      <c r="D5" s="14" t="n"/>
      <c r="E5" s="14" t="n"/>
      <c r="F5" s="14" t="n"/>
      <c r="G5" s="14" t="n"/>
      <c r="H5" s="14" t="inlineStr">
        <is>
          <t>Not started</t>
        </is>
      </c>
      <c r="I5" s="41" t="n"/>
      <c r="J5" s="14" t="n"/>
    </row>
    <row r="6">
      <c r="A6" s="11" t="inlineStr">
        <is>
          <t>Birdeye</t>
        </is>
      </c>
      <c r="B6" s="14" t="n"/>
      <c r="C6" s="14" t="n"/>
      <c r="D6" s="14" t="n"/>
      <c r="E6" s="14" t="n"/>
      <c r="F6" s="14" t="n"/>
      <c r="G6" s="14" t="n"/>
      <c r="H6" s="14" t="inlineStr">
        <is>
          <t>Not started</t>
        </is>
      </c>
      <c r="I6" s="41" t="n"/>
      <c r="J6" s="14" t="n"/>
    </row>
    <row r="7">
      <c r="A7" s="11" t="inlineStr">
        <is>
          <t>Facebook</t>
        </is>
      </c>
      <c r="B7" s="14" t="n"/>
      <c r="C7" s="14" t="n"/>
      <c r="D7" s="14" t="n"/>
      <c r="E7" s="14" t="n"/>
      <c r="F7" s="14" t="n"/>
      <c r="G7" s="14" t="n"/>
      <c r="H7" s="14" t="inlineStr">
        <is>
          <t>Not started</t>
        </is>
      </c>
      <c r="I7" s="41" t="n"/>
      <c r="J7" s="14" t="n"/>
    </row>
    <row r="8">
      <c r="A8" s="11" t="inlineStr">
        <is>
          <t>Fresha</t>
        </is>
      </c>
      <c r="B8" s="44" t="inlineStr">
        <is>
          <t>https://www.fresha.com/lvp/luxury-beauty-by-cleo-r-preserve-drive-oakville-X417M2</t>
        </is>
      </c>
      <c r="C8" s="14" t="n"/>
      <c r="D8" s="14" t="n"/>
      <c r="E8" s="14" t="n"/>
      <c r="F8" s="14" t="n"/>
      <c r="G8" s="14" t="n"/>
      <c r="H8" s="14" t="inlineStr">
        <is>
          <t>Not started</t>
        </is>
      </c>
      <c r="I8" s="41" t="n"/>
      <c r="J8" s="14" t="n"/>
    </row>
    <row r="9">
      <c r="A9" s="11" t="inlineStr">
        <is>
          <t>Yelp.ca</t>
        </is>
      </c>
      <c r="B9" s="14" t="n"/>
      <c r="C9" s="14" t="n"/>
      <c r="D9" s="14" t="n"/>
      <c r="E9" s="14" t="n"/>
      <c r="F9" s="14" t="n"/>
      <c r="G9" s="14" t="n"/>
      <c r="H9" s="14" t="inlineStr">
        <is>
          <t>Not started</t>
        </is>
      </c>
      <c r="I9" s="41" t="n"/>
      <c r="J9" s="14" t="n"/>
    </row>
    <row r="10">
      <c r="A10" s="11" t="inlineStr">
        <is>
          <t>Yellow Pages</t>
        </is>
      </c>
      <c r="B10" s="14" t="n"/>
      <c r="C10" s="14" t="n"/>
      <c r="D10" s="14" t="n"/>
      <c r="E10" s="14" t="n"/>
      <c r="F10" s="14" t="n"/>
      <c r="G10" s="14" t="n"/>
      <c r="H10" s="14" t="inlineStr">
        <is>
          <t>Not started</t>
        </is>
      </c>
      <c r="I10" s="41" t="n"/>
      <c r="J10" s="14" t="n"/>
    </row>
    <row r="11">
      <c r="A11" s="11" t="inlineStr">
        <is>
          <t>Apple Maps</t>
        </is>
      </c>
      <c r="B11" s="14" t="n"/>
      <c r="C11" s="14" t="n"/>
      <c r="D11" s="14" t="n"/>
      <c r="E11" s="14" t="n"/>
      <c r="F11" s="14" t="n"/>
      <c r="G11" s="14" t="n"/>
      <c r="H11" s="14" t="inlineStr">
        <is>
          <t>Not started</t>
        </is>
      </c>
      <c r="I11" s="41" t="n"/>
      <c r="J11" s="14" t="n"/>
    </row>
    <row r="12">
      <c r="A12" s="11" t="inlineStr">
        <is>
          <t>Bing Places</t>
        </is>
      </c>
      <c r="B12" s="14" t="n"/>
      <c r="C12" s="14" t="n"/>
      <c r="D12" s="14" t="n"/>
      <c r="E12" s="14" t="n"/>
      <c r="F12" s="14" t="n"/>
      <c r="G12" s="14" t="n"/>
      <c r="H12" s="14" t="inlineStr">
        <is>
          <t>Not started</t>
        </is>
      </c>
      <c r="I12" s="41" t="n"/>
      <c r="J12" s="14" t="n"/>
    </row>
    <row r="13">
      <c r="A13" s="11" t="inlineStr">
        <is>
          <t>RateMDs</t>
        </is>
      </c>
      <c r="B13" s="14" t="n"/>
      <c r="C13" s="14" t="n"/>
      <c r="D13" s="14" t="n"/>
      <c r="E13" s="14" t="n"/>
      <c r="F13" s="14" t="n"/>
      <c r="G13" s="14" t="n"/>
      <c r="H13" s="14" t="inlineStr">
        <is>
          <t>Not started</t>
        </is>
      </c>
      <c r="I13" s="41" t="n"/>
      <c r="J13" s="14" t="n"/>
    </row>
    <row r="14">
      <c r="A14" s="11" t="inlineStr">
        <is>
          <t>Canadian chamber directories</t>
        </is>
      </c>
      <c r="B14" s="14" t="n"/>
      <c r="C14" s="14" t="n"/>
      <c r="D14" s="14" t="n"/>
      <c r="E14" s="14" t="n"/>
      <c r="F14" s="14" t="n"/>
      <c r="G14" s="14" t="n"/>
      <c r="H14" s="14" t="inlineStr">
        <is>
          <t>Not started</t>
        </is>
      </c>
      <c r="I14" s="41" t="n"/>
      <c r="J14" s="14" t="n"/>
    </row>
    <row r="15">
      <c r="A15" s="11" t="inlineStr">
        <is>
          <t>Oakville Chamber of Commerce</t>
        </is>
      </c>
      <c r="B15" s="14" t="n"/>
      <c r="C15" s="14" t="n"/>
      <c r="D15" s="14" t="n"/>
      <c r="E15" s="14" t="n"/>
      <c r="F15" s="14" t="n"/>
      <c r="G15" s="14" t="n"/>
      <c r="H15" s="14" t="inlineStr">
        <is>
          <t>Not started</t>
        </is>
      </c>
      <c r="I15" s="41" t="n"/>
      <c r="J15" s="14" t="n"/>
    </row>
    <row r="16">
      <c r="A16" s="11" t="inlineStr">
        <is>
          <t>411.ca</t>
        </is>
      </c>
      <c r="B16" s="14" t="n"/>
      <c r="C16" s="14" t="n"/>
      <c r="D16" s="14" t="n"/>
      <c r="E16" s="14" t="n"/>
      <c r="F16" s="14" t="n"/>
      <c r="G16" s="14" t="n"/>
      <c r="H16" s="14" t="inlineStr">
        <is>
          <t>Not started</t>
        </is>
      </c>
      <c r="I16" s="41" t="n"/>
      <c r="J16" s="14" t="n"/>
    </row>
    <row r="17">
      <c r="A17" s="11" t="inlineStr">
        <is>
          <t>Cylex Canada</t>
        </is>
      </c>
      <c r="B17" s="14" t="n"/>
      <c r="C17" s="14" t="n"/>
      <c r="D17" s="14" t="n"/>
      <c r="E17" s="14" t="n"/>
      <c r="F17" s="14" t="n"/>
      <c r="G17" s="14" t="n"/>
      <c r="H17" s="14" t="inlineStr">
        <is>
          <t>Not started</t>
        </is>
      </c>
      <c r="I17" s="41" t="n"/>
      <c r="J17" s="14" t="n"/>
    </row>
    <row r="18">
      <c r="A18" s="11" t="inlineStr">
        <is>
          <t>Foursquare</t>
        </is>
      </c>
      <c r="B18" s="14" t="n"/>
      <c r="C18" s="14" t="n"/>
      <c r="D18" s="14" t="n"/>
      <c r="E18" s="14" t="n"/>
      <c r="F18" s="14" t="n"/>
      <c r="G18" s="14" t="n"/>
      <c r="H18" s="14" t="inlineStr">
        <is>
          <t>Not started</t>
        </is>
      </c>
      <c r="I18" s="41" t="n"/>
      <c r="J18" s="14" t="n"/>
    </row>
    <row r="19">
      <c r="A19" s="11" t="inlineStr">
        <is>
          <t>Instagram profile</t>
        </is>
      </c>
      <c r="B19" s="14" t="n"/>
      <c r="C19" s="14" t="n"/>
      <c r="D19" s="14" t="n"/>
      <c r="E19" s="14" t="n"/>
      <c r="F19" s="14" t="n"/>
      <c r="G19" s="14" t="n"/>
      <c r="H19" s="14" t="inlineStr">
        <is>
          <t>Not started</t>
        </is>
      </c>
      <c r="I19" s="41" t="n"/>
      <c r="J19" s="14" t="n"/>
    </row>
    <row r="20">
      <c r="A20" s="11" t="inlineStr">
        <is>
          <t>Booking system profile</t>
        </is>
      </c>
      <c r="B20" s="14" t="n"/>
      <c r="C20" s="14" t="n"/>
      <c r="D20" s="14" t="n"/>
      <c r="E20" s="14" t="n"/>
      <c r="F20" s="14" t="n"/>
      <c r="G20" s="14" t="n"/>
      <c r="H20" s="14" t="inlineStr">
        <is>
          <t>Not started</t>
        </is>
      </c>
      <c r="I20" s="41" t="n"/>
      <c r="J20" s="14" t="n"/>
    </row>
    <row r="21" ht="15.75" customHeight="1" s="47">
      <c r="A21" s="11" t="inlineStr">
        <is>
          <t>Halton business directory</t>
        </is>
      </c>
      <c r="B21" s="14" t="n"/>
      <c r="C21" s="14" t="n"/>
      <c r="D21" s="14" t="n"/>
      <c r="E21" s="14" t="n"/>
      <c r="F21" s="14" t="n"/>
      <c r="G21" s="14" t="n"/>
      <c r="H21" s="14" t="inlineStr">
        <is>
          <t>Not started</t>
        </is>
      </c>
      <c r="I21" s="41" t="n"/>
      <c r="J21" s="14" t="n"/>
    </row>
    <row r="22" ht="15.75" customHeight="1" s="47">
      <c r="A22" s="45" t="inlineStr">
        <is>
          <t>bookbeauty.ca</t>
        </is>
      </c>
      <c r="B22" s="46" t="inlineStr">
        <is>
          <t>https://bookbeauty.ca/listing/luxury-beauty-by-cleo-r/</t>
        </is>
      </c>
      <c r="C22" s="14" t="n"/>
      <c r="D22" s="14" t="n"/>
      <c r="E22" s="14" t="n"/>
      <c r="F22" s="14" t="n"/>
      <c r="G22" s="14" t="n"/>
      <c r="H22" s="14" t="n"/>
      <c r="I22" s="41" t="n"/>
      <c r="J22" s="14" t="n"/>
    </row>
    <row r="23" ht="15.75" customHeight="1" s="47">
      <c r="A23" s="45" t="inlineStr">
        <is>
          <t>fresha.com</t>
        </is>
      </c>
      <c r="B23" s="46" t="n"/>
      <c r="C23" s="14" t="n"/>
      <c r="D23" s="14" t="n"/>
      <c r="E23" s="14" t="n"/>
      <c r="F23" s="14" t="n"/>
      <c r="G23" s="14" t="n"/>
      <c r="H23" s="14" t="n"/>
      <c r="I23" s="41" t="n"/>
      <c r="J23" s="14" t="n"/>
    </row>
    <row r="24" ht="15.75" customHeight="1" s="47">
      <c r="A24" s="11" t="n"/>
      <c r="B24" s="14" t="n"/>
      <c r="C24" s="14" t="n"/>
      <c r="D24" s="14" t="n"/>
      <c r="E24" s="14" t="n"/>
      <c r="F24" s="14" t="n"/>
      <c r="G24" s="14" t="n"/>
      <c r="H24" s="14" t="n"/>
      <c r="I24" s="41" t="n"/>
      <c r="J24" s="14" t="n"/>
    </row>
    <row r="25" ht="15.75" customHeight="1" s="47">
      <c r="A25" s="11" t="n"/>
      <c r="B25" s="14" t="n"/>
      <c r="C25" s="14" t="n"/>
      <c r="D25" s="14" t="n"/>
      <c r="E25" s="14" t="n"/>
      <c r="F25" s="14" t="n"/>
      <c r="G25" s="14" t="n"/>
      <c r="H25" s="14" t="n"/>
      <c r="I25" s="41" t="n"/>
      <c r="J25" s="14" t="n"/>
    </row>
    <row r="26" ht="15.75" customHeight="1" s="47">
      <c r="A26" s="11" t="n"/>
      <c r="B26" s="14" t="n"/>
      <c r="C26" s="14" t="n"/>
      <c r="D26" s="14" t="n"/>
      <c r="E26" s="14" t="n"/>
      <c r="F26" s="14" t="n"/>
      <c r="G26" s="14" t="n"/>
      <c r="H26" s="14" t="n"/>
      <c r="I26" s="41" t="n"/>
      <c r="J26" s="14" t="n"/>
    </row>
    <row r="27" ht="15.75" customHeight="1" s="47">
      <c r="A27" s="11" t="n"/>
      <c r="B27" s="14" t="n"/>
      <c r="C27" s="14" t="n"/>
      <c r="D27" s="14" t="n"/>
      <c r="E27" s="14" t="n"/>
      <c r="F27" s="14" t="n"/>
      <c r="G27" s="14" t="n"/>
      <c r="H27" s="14" t="n"/>
      <c r="I27" s="41" t="n"/>
      <c r="J27" s="14" t="n"/>
    </row>
    <row r="28" ht="15.75" customHeight="1" s="47">
      <c r="A28" s="11" t="n"/>
      <c r="B28" s="14" t="n"/>
      <c r="C28" s="14" t="n"/>
      <c r="D28" s="14" t="n"/>
      <c r="E28" s="14" t="n"/>
      <c r="F28" s="14" t="n"/>
      <c r="G28" s="14" t="n"/>
      <c r="H28" s="14" t="n"/>
      <c r="I28" s="41" t="n"/>
      <c r="J28" s="14" t="n"/>
    </row>
    <row r="29" ht="15.75" customHeight="1" s="47">
      <c r="A29" s="11" t="n"/>
      <c r="B29" s="14" t="n"/>
      <c r="C29" s="14" t="n"/>
      <c r="D29" s="14" t="n"/>
      <c r="E29" s="14" t="n"/>
      <c r="F29" s="14" t="n"/>
      <c r="G29" s="14" t="n"/>
      <c r="H29" s="14" t="n"/>
      <c r="I29" s="41" t="n"/>
      <c r="J29" s="14" t="n"/>
    </row>
    <row r="30" ht="15.75" customHeight="1" s="47">
      <c r="A30" s="11" t="n"/>
      <c r="B30" s="14" t="n"/>
      <c r="C30" s="14" t="n"/>
      <c r="D30" s="14" t="n"/>
      <c r="E30" s="14" t="n"/>
      <c r="F30" s="14" t="n"/>
      <c r="G30" s="14" t="n"/>
      <c r="H30" s="14" t="n"/>
      <c r="I30" s="41" t="n"/>
      <c r="J30" s="14" t="n"/>
    </row>
    <row r="31" ht="15.75" customHeight="1" s="47">
      <c r="A31" s="11" t="n"/>
      <c r="B31" s="14" t="n"/>
      <c r="C31" s="14" t="n"/>
      <c r="D31" s="14" t="n"/>
      <c r="E31" s="14" t="n"/>
      <c r="F31" s="14" t="n"/>
      <c r="G31" s="14" t="n"/>
      <c r="H31" s="14" t="n"/>
      <c r="I31" s="41" t="n"/>
      <c r="J31" s="14" t="n"/>
    </row>
    <row r="32" ht="15.75" customHeight="1" s="47">
      <c r="A32" s="11" t="n"/>
      <c r="B32" s="14" t="n"/>
      <c r="C32" s="14" t="n"/>
      <c r="D32" s="14" t="n"/>
      <c r="E32" s="14" t="n"/>
      <c r="F32" s="14" t="n"/>
      <c r="G32" s="14" t="n"/>
      <c r="H32" s="14" t="n"/>
      <c r="I32" s="41" t="n"/>
      <c r="J32" s="14" t="n"/>
    </row>
    <row r="33" ht="15.75" customHeight="1" s="47">
      <c r="A33" s="11" t="n"/>
      <c r="B33" s="14" t="n"/>
      <c r="C33" s="14" t="n"/>
      <c r="D33" s="14" t="n"/>
      <c r="E33" s="14" t="n"/>
      <c r="F33" s="14" t="n"/>
      <c r="G33" s="14" t="n"/>
      <c r="H33" s="14" t="n"/>
      <c r="I33" s="41" t="n"/>
      <c r="J33" s="14" t="n"/>
    </row>
    <row r="34" ht="15.75" customHeight="1" s="47">
      <c r="A34" s="11" t="n"/>
      <c r="B34" s="14" t="n"/>
      <c r="C34" s="14" t="n"/>
      <c r="D34" s="14" t="n"/>
      <c r="E34" s="14" t="n"/>
      <c r="F34" s="14" t="n"/>
      <c r="G34" s="14" t="n"/>
      <c r="H34" s="14" t="n"/>
      <c r="I34" s="41" t="n"/>
      <c r="J34" s="14" t="n"/>
    </row>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autoFilter ref="$A$4:$J$34"/>
  <conditionalFormatting sqref="A5:J34">
    <cfRule type="expression" priority="1" dxfId="0">
      <formula>$H5="Done"</formula>
    </cfRule>
    <cfRule type="expression" priority="2" dxfId="1">
      <formula>$H5="Blocked"</formula>
    </cfRule>
    <cfRule type="expression" priority="3" dxfId="2">
      <formula>$H5="In progress"</formula>
    </cfRule>
  </conditionalFormatting>
  <dataValidations count="2">
    <dataValidation sqref="C5:G34" showDropDown="0" showInputMessage="0" showErrorMessage="0" allowBlank="1" type="list">
      <formula1>"Yes,No,N/A"</formula1>
    </dataValidation>
    <dataValidation sqref="H5:H34" showDropDown="0" showInputMessage="0" showErrorMessage="0" allowBlank="1" type="list">
      <formula1>"Not started,In progress,Blocked,Done,Not applicable"</formula1>
    </dataValidation>
  </dataValidations>
  <hyperlinks>
    <hyperlink xmlns:r="http://schemas.openxmlformats.org/officeDocument/2006/relationships" ref="B5" r:id="rId1"/>
    <hyperlink xmlns:r="http://schemas.openxmlformats.org/officeDocument/2006/relationships" ref="B8" r:id="rId2"/>
    <hyperlink xmlns:r="http://schemas.openxmlformats.org/officeDocument/2006/relationships" ref="A22" r:id="rId3"/>
    <hyperlink xmlns:r="http://schemas.openxmlformats.org/officeDocument/2006/relationships" ref="B22" r:id="rId4"/>
    <hyperlink xmlns:r="http://schemas.openxmlformats.org/officeDocument/2006/relationships" ref="A23" r:id="rId5"/>
  </hyperlink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ColWidth="14.43" defaultRowHeight="15" customHeight="1"/>
  <cols>
    <col width="32" customWidth="1" style="47" min="1" max="1"/>
    <col width="13" customWidth="1" style="47" min="2" max="2"/>
    <col width="10" customWidth="1" style="47" min="3" max="3"/>
    <col width="24" customWidth="1" style="47" min="4" max="4"/>
    <col width="15" customWidth="1" style="47" min="5" max="5"/>
    <col width="13" customWidth="1" style="47" min="6" max="6"/>
    <col width="14" customWidth="1" style="47" min="7" max="8"/>
    <col width="32" customWidth="1" style="47" min="9" max="9"/>
    <col width="13" customWidth="1" style="47" min="10" max="10"/>
    <col width="34" customWidth="1" style="47" min="11" max="11"/>
    <col width="8.710000000000001" customWidth="1" style="47" min="12" max="26"/>
  </cols>
  <sheetData>
    <row r="1" ht="21.75" customHeight="1" s="47">
      <c r="A1" s="1" t="inlineStr">
        <is>
          <t>Local citations — the build list</t>
        </is>
      </c>
    </row>
    <row r="2">
      <c r="A2" s="3" t="inlineStr">
        <is>
          <t>The Citations tab fixes listings that already exist. This one builds listings where there are none. Decide the record once, then paste it, unchanged, into every form below.</t>
        </is>
      </c>
      <c r="F2" s="4" t="inlineStr">
        <is>
          <t>Submitted</t>
        </is>
      </c>
      <c r="G2" s="4">
        <f>COUNTIF(G37:G53,"Done")</f>
        <v/>
      </c>
      <c r="H2" s="4" t="inlineStr">
        <is>
          <t>Still to do</t>
        </is>
      </c>
      <c r="I2" s="4">
        <f>COUNTIF(G37:G53,"Not started")</f>
        <v/>
      </c>
    </row>
    <row r="3"/>
    <row r="4" ht="19.5" customHeight="1" s="47">
      <c r="A4" s="48" t="inlineStr">
        <is>
          <t>THE RECORD — paste this, exactly, every time</t>
        </is>
      </c>
    </row>
    <row r="5">
      <c r="A5" s="15" t="inlineStr">
        <is>
          <t>Field</t>
        </is>
      </c>
      <c r="B5" s="15" t="inlineStr">
        <is>
          <t>Value</t>
        </is>
      </c>
      <c r="E5" s="15" t="inlineStr">
        <is>
          <t>Where it gets decided</t>
        </is>
      </c>
    </row>
    <row r="6">
      <c r="A6" s="17" t="inlineStr">
        <is>
          <t>Business name (exact)</t>
        </is>
      </c>
      <c r="B6" s="24" t="inlineStr">
        <is>
          <t>Luxury Beauty by Cleo R.</t>
        </is>
      </c>
      <c r="E6" s="19" t="inlineStr">
        <is>
          <t>Use this spelling everywhere. No 'Med Spa', no 'Inc', no variations</t>
        </is>
      </c>
    </row>
    <row r="7">
      <c r="A7" s="17" t="inlineStr">
        <is>
          <t>Practitioner</t>
        </is>
      </c>
      <c r="B7" s="24" t="inlineStr">
        <is>
          <t>Cleo Rukovo, NP</t>
        </is>
      </c>
      <c r="E7" s="19" t="inlineStr">
        <is>
          <t>Nurse practitioner. Some healthcare directories list the person, not the practice</t>
        </is>
      </c>
    </row>
    <row r="8">
      <c r="A8" s="17" t="inlineStr">
        <is>
          <t>Address line 1</t>
        </is>
      </c>
      <c r="B8" s="24" t="inlineStr">
        <is>
          <t>3060 Preserve Drive</t>
        </is>
      </c>
      <c r="E8" s="19" t="inlineStr">
        <is>
          <t>Confirmed</t>
        </is>
      </c>
    </row>
    <row r="9">
      <c r="A9" s="17" t="inlineStr">
        <is>
          <t>Suite / unit</t>
        </is>
      </c>
      <c r="B9" s="24" t="n"/>
      <c r="E9" s="19" t="inlineStr">
        <is>
          <t>Waiting on the Allure conversation. This is what separates you from their listing</t>
        </is>
      </c>
    </row>
    <row r="10">
      <c r="A10" s="17" t="inlineStr">
        <is>
          <t>City</t>
        </is>
      </c>
      <c r="B10" s="24" t="inlineStr">
        <is>
          <t>Oakville</t>
        </is>
      </c>
      <c r="E10" s="19" t="inlineStr">
        <is>
          <t>Confirmed</t>
        </is>
      </c>
    </row>
    <row r="11">
      <c r="A11" s="17" t="inlineStr">
        <is>
          <t>Province</t>
        </is>
      </c>
      <c r="B11" s="24" t="inlineStr">
        <is>
          <t>Ontario</t>
        </is>
      </c>
      <c r="E11" s="19" t="inlineStr">
        <is>
          <t>Write 'Ontario' in full, or 'ON' — pick one and never mix them</t>
        </is>
      </c>
    </row>
    <row r="12">
      <c r="A12" s="17" t="inlineStr">
        <is>
          <t>Postal code</t>
        </is>
      </c>
      <c r="B12" s="24" t="inlineStr">
        <is>
          <t>L6M 4L9</t>
        </is>
      </c>
      <c r="E12" s="19" t="inlineStr">
        <is>
          <t>Confirmed by Cleo, 21 Aug 2026. Listings showing L6M 0T9 are the error - verify against Canada Post before the mass correction</t>
        </is>
      </c>
    </row>
    <row r="13">
      <c r="A13" s="17" t="inlineStr">
        <is>
          <t>Country</t>
        </is>
      </c>
      <c r="B13" s="24" t="inlineStr">
        <is>
          <t>Canada</t>
        </is>
      </c>
      <c r="E13" s="19" t="inlineStr">
        <is>
          <t>Confirmed</t>
        </is>
      </c>
    </row>
    <row r="14">
      <c r="A14" s="17" t="inlineStr">
        <is>
          <t>Phone</t>
        </is>
      </c>
      <c r="B14" s="24" t="inlineStr">
        <is>
          <t>(416) 294-0452</t>
        </is>
      </c>
      <c r="E14" s="19" t="inlineStr">
        <is>
          <t>One number, everywhere. A local 905 or 289 line beats the 416 mobile if you can get one</t>
        </is>
      </c>
    </row>
    <row r="15">
      <c r="A15" s="17" t="inlineStr">
        <is>
          <t>Email</t>
        </is>
      </c>
      <c r="B15" s="24" t="inlineStr">
        <is>
          <t>Luxury.beautyaestheticz@gmail.com</t>
        </is>
      </c>
      <c r="E15" s="19" t="inlineStr">
        <is>
          <t>One address. Currently split between crukovo@ and luxury.beautyaestheticz@</t>
        </is>
      </c>
    </row>
    <row r="16">
      <c r="A16" s="17" t="inlineStr">
        <is>
          <t>Website</t>
        </is>
      </c>
      <c r="B16" s="24" t="inlineStr">
        <is>
          <t>https://luxurybeautybycleo.ca</t>
        </is>
      </c>
      <c r="E16" s="19" t="inlineStr">
        <is>
          <t>Use the booking link until the site is live in October, then switch every listing</t>
        </is>
      </c>
    </row>
    <row r="17">
      <c r="A17" s="17" t="inlineStr">
        <is>
          <t>Booking URL</t>
        </is>
      </c>
      <c r="B17" s="24" t="inlineStr">
        <is>
          <t>IG only</t>
        </is>
      </c>
      <c r="E17" s="19" t="inlineStr">
        <is>
          <t>Needed before any directory that offers a booking button</t>
        </is>
      </c>
    </row>
    <row r="18">
      <c r="A18" s="17" t="inlineStr">
        <is>
          <t>Primary category</t>
        </is>
      </c>
      <c r="B18" s="24" t="inlineStr">
        <is>
          <t>Medical Spa</t>
        </is>
      </c>
      <c r="E18" s="19" t="inlineStr">
        <is>
          <t>Set on the Google profile first, then match it everywhere else</t>
        </is>
      </c>
    </row>
    <row r="19">
      <c r="A19" s="17" t="inlineStr">
        <is>
          <t>Secondary categories</t>
        </is>
      </c>
      <c r="B19" s="24" t="inlineStr">
        <is>
          <t>Skin care clinic
Weight loss service</t>
        </is>
      </c>
      <c r="E19" s="19" t="inlineStr">
        <is>
          <t>Chosen to avoid colliding with Allure's listing</t>
        </is>
      </c>
    </row>
    <row r="20">
      <c r="A20" s="17" t="inlineStr">
        <is>
          <t>Short description (under 250 characters)</t>
        </is>
      </c>
      <c r="B20" s="24" t="n"/>
      <c r="E20" s="19" t="inlineStr">
        <is>
          <t>Names the town and the treatments. No prescription drug names, no benefit claims</t>
        </is>
      </c>
    </row>
    <row r="21" ht="15.75" customHeight="1" s="47">
      <c r="A21" s="17" t="inlineStr">
        <is>
          <t>Long description</t>
        </is>
      </c>
      <c r="B21" s="24" t="inlineStr">
        <is>
          <t xml:space="preserve">Luxury Beauty by Cleo R. is a nurse practitioner-led medical spa in Oakville, Ontario, serving clients across Burlington, Mississauga, Milton and Halton Region. Our services include lip filler, dermal filler for volume loss, anti-wrinkle injections, jawline slimming, skin boosters for hydration and glow, dermaplaning, and electrolysis. Every visit begins with a one-on-one consultation so we can plan the right approach for your features and your goals. Our philosophy is simple: the right product, the right technique, and never more than you need. Every treatment is performed by Cleo Rukovo, NP. Book your consultation today.		</t>
        </is>
      </c>
      <c r="E21" s="19" t="inlineStr">
        <is>
          <t>Same rules. Write once, reuse everywhere</t>
        </is>
      </c>
    </row>
    <row r="22" ht="15.75" customHeight="1" s="47">
      <c r="A22" s="17" t="inlineStr">
        <is>
          <t>Hours — Monday</t>
        </is>
      </c>
      <c r="B22" s="24" t="inlineStr">
        <is>
          <t>Closed</t>
        </is>
      </c>
      <c r="E22" s="19" t="inlineStr">
        <is>
          <t>All seven days. 'Closed' is an answer; blank is not</t>
        </is>
      </c>
    </row>
    <row r="23" ht="15.75" customHeight="1" s="47">
      <c r="A23" s="17" t="inlineStr">
        <is>
          <t>Hours — Tuesday</t>
        </is>
      </c>
      <c r="B23" s="24" t="inlineStr">
        <is>
          <t>Closed</t>
        </is>
      </c>
      <c r="E23" s="19" t="n"/>
    </row>
    <row r="24" ht="15.75" customHeight="1" s="47">
      <c r="A24" s="17" t="inlineStr">
        <is>
          <t>Hours — Wednesday</t>
        </is>
      </c>
      <c r="B24" s="24" t="inlineStr">
        <is>
          <t>Closed</t>
        </is>
      </c>
      <c r="E24" s="19" t="n"/>
    </row>
    <row r="25" ht="15.75" customHeight="1" s="47">
      <c r="A25" s="17" t="inlineStr">
        <is>
          <t>Hours — Thursday</t>
        </is>
      </c>
      <c r="B25" s="24" t="inlineStr">
        <is>
          <t>Closed</t>
        </is>
      </c>
      <c r="E25" s="19" t="n"/>
    </row>
    <row r="26" ht="15.75" customHeight="1" s="47">
      <c r="A26" s="17" t="inlineStr">
        <is>
          <t>Hours — Friday</t>
        </is>
      </c>
      <c r="B26" s="24" t="inlineStr">
        <is>
          <t xml:space="preserve">
10:00 AM–8:00 PM</t>
        </is>
      </c>
      <c r="E26" s="19" t="n"/>
    </row>
    <row r="27" ht="15.75" customHeight="1" s="47">
      <c r="A27" s="17" t="inlineStr">
        <is>
          <t>Hours — Saturday</t>
        </is>
      </c>
      <c r="B27" s="29" t="inlineStr">
        <is>
          <t>Closed</t>
        </is>
      </c>
      <c r="E27" s="19" t="n"/>
    </row>
    <row r="28" ht="15.75" customHeight="1" s="47">
      <c r="A28" s="17" t="inlineStr">
        <is>
          <t>Hours — Sunday</t>
        </is>
      </c>
      <c r="B28" s="29" t="inlineStr">
        <is>
          <t>Closed</t>
        </is>
      </c>
      <c r="E28" s="19" t="inlineStr">
        <is>
          <t>The only hours on record anywhere today are Sunday 12 to 5</t>
        </is>
      </c>
    </row>
    <row r="29" ht="15.75" customHeight="1" s="47">
      <c r="A29" s="17" t="inlineStr">
        <is>
          <t>Year established</t>
        </is>
      </c>
      <c r="B29" s="24" t="n">
        <v>2023</v>
      </c>
      <c r="E29" s="19" t="n"/>
    </row>
    <row r="30" ht="15.75" customHeight="1" s="47">
      <c r="A30" s="17" t="inlineStr">
        <is>
          <t>Service area</t>
        </is>
      </c>
      <c r="B30" s="24" t="inlineStr">
        <is>
          <t>Oakville, Burlington, Milton, Mississauga, Glen Abbey, Joshua Creek, Bronte</t>
        </is>
      </c>
      <c r="E30" s="19" t="inlineStr">
        <is>
          <t>Used where a directory asks for a service radius</t>
        </is>
      </c>
    </row>
    <row r="31" ht="15.75" customHeight="1" s="47">
      <c r="A31" s="17" t="inlineStr">
        <is>
          <t>Logo file</t>
        </is>
      </c>
      <c r="B31" s="24" t="inlineStr">
        <is>
          <t>added</t>
        </is>
      </c>
      <c r="E31" s="19" t="inlineStr">
        <is>
          <t>From design/brand</t>
        </is>
      </c>
    </row>
    <row r="32" ht="15.75" customHeight="1" s="47">
      <c r="A32" s="17" t="inlineStr">
        <is>
          <t>Cover photo</t>
        </is>
      </c>
      <c r="B32" s="24" t="inlineStr">
        <is>
          <t>added</t>
        </is>
      </c>
      <c r="E32" s="19" t="n"/>
    </row>
    <row r="33" ht="25.5" customHeight="1" s="47">
      <c r="A33" s="34" t="inlineStr">
        <is>
          <t>Amber means still undecided. Every amber row above has a matching row on the Waiting On Cleo tab. Do not submit to anything below until they are all filled in — a wrong detail submitted 28 times is 28 corrections later.</t>
        </is>
      </c>
    </row>
    <row r="34" ht="15.75" customHeight="1" s="47"/>
    <row r="35" ht="19.5" customHeight="1" s="47">
      <c r="A35" s="48" t="inlineStr">
        <is>
          <t>SUBMISSION QUEUE — one a day in the citation slot, once the record is settled</t>
        </is>
      </c>
    </row>
    <row r="36" ht="27.75" customHeight="1" s="47">
      <c r="A36" s="5" t="inlineStr">
        <is>
          <t>Directory</t>
        </is>
      </c>
      <c r="B36" s="5" t="inlineStr">
        <is>
          <t>Type</t>
        </is>
      </c>
      <c r="C36" s="5" t="inlineStr">
        <is>
          <t>Priority</t>
        </is>
      </c>
      <c r="D36" s="5" t="inlineStr">
        <is>
          <t>Where to start</t>
        </is>
      </c>
      <c r="E36" s="5" t="inlineStr">
        <is>
          <t>Account needed</t>
        </is>
      </c>
      <c r="F36" s="5" t="inlineStr">
        <is>
          <t>Verified live</t>
        </is>
      </c>
      <c r="G36" s="5" t="inlineStr">
        <is>
          <t>Status</t>
        </is>
      </c>
      <c r="H36" s="5" t="inlineStr">
        <is>
          <t>Date submitted</t>
        </is>
      </c>
      <c r="I36" s="5" t="inlineStr">
        <is>
          <t>Live listing URL</t>
        </is>
      </c>
      <c r="J36" s="5" t="inlineStr">
        <is>
          <t>NAP checked</t>
        </is>
      </c>
      <c r="K36" s="5" t="inlineStr">
        <is>
          <t>Notes</t>
        </is>
      </c>
    </row>
    <row r="37" ht="15.75" customHeight="1" s="47">
      <c r="A37" s="11" t="inlineStr">
        <is>
          <t>Oakville News business listing</t>
        </is>
      </c>
      <c r="B37" s="42" t="inlineStr">
        <is>
          <t>Local</t>
        </is>
      </c>
      <c r="C37" s="42" t="inlineStr">
        <is>
          <t>Medium</t>
        </is>
      </c>
      <c r="D37" s="14" t="inlineStr">
        <is>
          <t>oakvillenews.org</t>
        </is>
      </c>
      <c r="E37" s="42" t="n"/>
      <c r="F37" s="42" t="n"/>
      <c r="G37" s="42" t="inlineStr">
        <is>
          <t>In progress</t>
        </is>
      </c>
      <c r="H37" s="13" t="n"/>
      <c r="I37" s="14" t="n"/>
      <c r="J37" s="42" t="n"/>
      <c r="K37" s="14" t="n"/>
    </row>
    <row r="38" ht="15.75" customHeight="1" s="47">
      <c r="A38" s="11" t="inlineStr">
        <is>
          <t>Nextdoor business page, Oakville</t>
        </is>
      </c>
      <c r="B38" s="42" t="inlineStr">
        <is>
          <t>Local</t>
        </is>
      </c>
      <c r="C38" s="42" t="inlineStr">
        <is>
          <t>Medium</t>
        </is>
      </c>
      <c r="D38" s="14" t="inlineStr">
        <is>
          <t>business.nextdoor.com</t>
        </is>
      </c>
      <c r="E38" s="42" t="n"/>
      <c r="F38" s="42" t="n"/>
      <c r="G38" s="42" t="inlineStr">
        <is>
          <t>Done</t>
        </is>
      </c>
      <c r="H38" s="13" t="n"/>
      <c r="I38" s="44" t="inlineStr">
        <is>
          <t>https://ca.nextdoor.com/page/luxury-beauty-by-cleo-r-oakville-on</t>
        </is>
      </c>
      <c r="J38" s="42" t="n"/>
      <c r="K38" s="14" t="n"/>
    </row>
    <row r="39" ht="15.75" customHeight="1" s="47">
      <c r="A39" s="11" t="inlineStr">
        <is>
          <t>Nurse Practitioners' Association of Ontario</t>
        </is>
      </c>
      <c r="B39" s="42" t="inlineStr">
        <is>
          <t>Healthcare</t>
        </is>
      </c>
      <c r="C39" s="42" t="inlineStr">
        <is>
          <t>High</t>
        </is>
      </c>
      <c r="D39" s="14" t="inlineStr">
        <is>
          <t>npao.org</t>
        </is>
      </c>
      <c r="E39" s="42" t="n"/>
      <c r="F39" s="42" t="n"/>
      <c r="G39" s="42" t="inlineStr">
        <is>
          <t>Not applicable</t>
        </is>
      </c>
      <c r="H39" s="13" t="n"/>
      <c r="I39" s="14" t="n"/>
      <c r="J39" s="42" t="n"/>
      <c r="K39" s="14" t="n"/>
    </row>
    <row r="40" ht="15.75" customHeight="1" s="47">
      <c r="A40" s="11" t="inlineStr">
        <is>
          <t>Doctify Canada</t>
        </is>
      </c>
      <c r="B40" s="42" t="inlineStr">
        <is>
          <t>Healthcare</t>
        </is>
      </c>
      <c r="C40" s="42" t="inlineStr">
        <is>
          <t>Medium</t>
        </is>
      </c>
      <c r="D40" s="14" t="inlineStr">
        <is>
          <t>doctify.com</t>
        </is>
      </c>
      <c r="E40" s="42" t="n"/>
      <c r="F40" s="42" t="n"/>
      <c r="G40" s="42" t="inlineStr">
        <is>
          <t>Not applicable</t>
        </is>
      </c>
      <c r="H40" s="13" t="n"/>
      <c r="I40" s="14" t="n"/>
      <c r="J40" s="42" t="n"/>
      <c r="K40" s="14" t="n"/>
    </row>
    <row r="41" ht="15.75" customHeight="1" s="47">
      <c r="A41" s="11" t="inlineStr">
        <is>
          <t>Booksy</t>
        </is>
      </c>
      <c r="B41" s="42" t="inlineStr">
        <is>
          <t>Healthcare</t>
        </is>
      </c>
      <c r="C41" s="42" t="inlineStr">
        <is>
          <t>Medium</t>
        </is>
      </c>
      <c r="D41" s="14" t="inlineStr">
        <is>
          <t>booksy.com</t>
        </is>
      </c>
      <c r="E41" s="42" t="n"/>
      <c r="F41" s="42" t="n"/>
      <c r="G41" s="42" t="inlineStr">
        <is>
          <t>In progress</t>
        </is>
      </c>
      <c r="H41" s="13" t="n"/>
      <c r="I41" s="14" t="n"/>
      <c r="J41" s="42" t="n"/>
      <c r="K41" s="14" t="inlineStr">
        <is>
          <t>free trial need phone verifcation</t>
        </is>
      </c>
    </row>
    <row r="42" ht="15.75" customHeight="1" s="47">
      <c r="A42" s="11" t="inlineStr">
        <is>
          <t>Vagaro</t>
        </is>
      </c>
      <c r="B42" s="42" t="inlineStr">
        <is>
          <t>Healthcare</t>
        </is>
      </c>
      <c r="C42" s="42" t="inlineStr">
        <is>
          <t>Medium</t>
        </is>
      </c>
      <c r="D42" s="14" t="inlineStr">
        <is>
          <t>vagaro.com</t>
        </is>
      </c>
      <c r="E42" s="42" t="n"/>
      <c r="F42" s="42" t="n"/>
      <c r="G42" s="42" t="inlineStr">
        <is>
          <t>In progress</t>
        </is>
      </c>
      <c r="H42" s="13" t="n"/>
      <c r="I42" s="14" t="n"/>
      <c r="J42" s="42" t="n"/>
      <c r="K42" s="14" t="inlineStr">
        <is>
          <t>need payment</t>
        </is>
      </c>
    </row>
    <row r="43" ht="15.75" customHeight="1" s="47">
      <c r="A43" s="11" t="inlineStr">
        <is>
          <t>Spas of America</t>
        </is>
      </c>
      <c r="B43" s="42" t="inlineStr">
        <is>
          <t>Healthcare</t>
        </is>
      </c>
      <c r="C43" s="42" t="inlineStr">
        <is>
          <t>Low</t>
        </is>
      </c>
      <c r="D43" s="14" t="inlineStr">
        <is>
          <t>spasofamerica.com</t>
        </is>
      </c>
      <c r="E43" s="42" t="n"/>
      <c r="F43" s="42" t="n"/>
      <c r="G43" s="42" t="inlineStr">
        <is>
          <t>Not applicable</t>
        </is>
      </c>
      <c r="H43" s="13" t="n"/>
      <c r="I43" s="14" t="n"/>
      <c r="J43" s="42" t="n"/>
      <c r="K43" s="14" t="n"/>
    </row>
    <row r="44" ht="15.75" customHeight="1" s="47">
      <c r="A44" s="11" t="inlineStr">
        <is>
          <t>Canpages</t>
        </is>
      </c>
      <c r="B44" s="42" t="inlineStr">
        <is>
          <t>Canadian</t>
        </is>
      </c>
      <c r="C44" s="42" t="inlineStr">
        <is>
          <t>Medium</t>
        </is>
      </c>
      <c r="D44" s="14" t="inlineStr">
        <is>
          <t>canpages.ca</t>
        </is>
      </c>
      <c r="E44" s="42" t="n"/>
      <c r="F44" s="42" t="n"/>
      <c r="G44" s="42" t="inlineStr">
        <is>
          <t>Blocked</t>
        </is>
      </c>
      <c r="H44" s="13" t="n"/>
      <c r="I44" s="14" t="n"/>
      <c r="J44" s="42" t="n"/>
      <c r="K44" s="14" t="n"/>
    </row>
    <row r="45" ht="15.75" customHeight="1" s="47">
      <c r="A45" s="11" t="inlineStr">
        <is>
          <t>ProfileCanada</t>
        </is>
      </c>
      <c r="B45" s="42" t="inlineStr">
        <is>
          <t>Canadian</t>
        </is>
      </c>
      <c r="C45" s="42" t="inlineStr">
        <is>
          <t>Medium</t>
        </is>
      </c>
      <c r="D45" s="14" t="inlineStr">
        <is>
          <t>profilecanada.com</t>
        </is>
      </c>
      <c r="E45" s="42" t="n"/>
      <c r="F45" s="42" t="n"/>
      <c r="G45" s="42" t="inlineStr">
        <is>
          <t>Not started</t>
        </is>
      </c>
      <c r="H45" s="13" t="n"/>
      <c r="I45" s="14" t="n"/>
      <c r="J45" s="42" t="n"/>
      <c r="K45" s="14" t="n"/>
    </row>
    <row r="46" ht="15.75" customHeight="1" s="47">
      <c r="A46" s="11" t="inlineStr">
        <is>
          <t>n49</t>
        </is>
      </c>
      <c r="B46" s="42" t="inlineStr">
        <is>
          <t>Canadian</t>
        </is>
      </c>
      <c r="C46" s="42" t="inlineStr">
        <is>
          <t>Medium</t>
        </is>
      </c>
      <c r="D46" s="14" t="inlineStr">
        <is>
          <t>n49.com</t>
        </is>
      </c>
      <c r="E46" s="42" t="n"/>
      <c r="F46" s="42" t="n"/>
      <c r="G46" s="42" t="inlineStr">
        <is>
          <t>Not started</t>
        </is>
      </c>
      <c r="H46" s="13" t="n"/>
      <c r="I46" s="14" t="n"/>
      <c r="J46" s="42" t="n"/>
      <c r="K46" s="14" t="n"/>
    </row>
    <row r="47" ht="15.75" customHeight="1" s="47">
      <c r="A47" s="11" t="inlineStr">
        <is>
          <t>Hotfrog Canada</t>
        </is>
      </c>
      <c r="B47" s="42" t="inlineStr">
        <is>
          <t>Canadian</t>
        </is>
      </c>
      <c r="C47" s="42" t="inlineStr">
        <is>
          <t>Low</t>
        </is>
      </c>
      <c r="D47" s="14" t="inlineStr">
        <is>
          <t>hotfrog.ca</t>
        </is>
      </c>
      <c r="E47" s="42" t="n"/>
      <c r="F47" s="42" t="n"/>
      <c r="G47" s="42" t="inlineStr">
        <is>
          <t>Not started</t>
        </is>
      </c>
      <c r="H47" s="13" t="n"/>
      <c r="I47" s="14" t="n"/>
      <c r="J47" s="42" t="n"/>
      <c r="K47" s="14" t="n"/>
    </row>
    <row r="48" ht="15.75" customHeight="1" s="47">
      <c r="A48" s="11" t="inlineStr">
        <is>
          <t>Yably Canada</t>
        </is>
      </c>
      <c r="B48" s="42" t="inlineStr">
        <is>
          <t>Canadian</t>
        </is>
      </c>
      <c r="C48" s="42" t="inlineStr">
        <is>
          <t>Low</t>
        </is>
      </c>
      <c r="D48" s="14" t="inlineStr">
        <is>
          <t>yably.ca</t>
        </is>
      </c>
      <c r="E48" s="42" t="n"/>
      <c r="F48" s="42" t="n"/>
      <c r="G48" s="42" t="inlineStr">
        <is>
          <t>Not started</t>
        </is>
      </c>
      <c r="H48" s="13" t="n"/>
      <c r="I48" s="14" t="n"/>
      <c r="J48" s="42" t="n"/>
      <c r="K48" s="14" t="n"/>
    </row>
    <row r="49" ht="15.75" customHeight="1" s="47">
      <c r="A49" s="11" t="inlineStr">
        <is>
          <t>Waze business listing</t>
        </is>
      </c>
      <c r="B49" s="42" t="inlineStr">
        <is>
          <t>Maps</t>
        </is>
      </c>
      <c r="C49" s="42" t="inlineStr">
        <is>
          <t>Medium</t>
        </is>
      </c>
      <c r="D49" s="14" t="inlineStr">
        <is>
          <t>waze.com</t>
        </is>
      </c>
      <c r="E49" s="42" t="n"/>
      <c r="F49" s="42" t="n"/>
      <c r="G49" s="42" t="inlineStr">
        <is>
          <t>Not started</t>
        </is>
      </c>
      <c r="H49" s="13" t="n"/>
      <c r="I49" s="14" t="n"/>
      <c r="J49" s="42" t="n"/>
      <c r="K49" s="14" t="n"/>
    </row>
    <row r="50" ht="15.75" customHeight="1" s="47">
      <c r="A50" s="11" t="inlineStr">
        <is>
          <t>Here WeGo</t>
        </is>
      </c>
      <c r="B50" s="42" t="inlineStr">
        <is>
          <t>Maps</t>
        </is>
      </c>
      <c r="C50" s="42" t="inlineStr">
        <is>
          <t>Low</t>
        </is>
      </c>
      <c r="D50" s="14" t="inlineStr">
        <is>
          <t>here.com</t>
        </is>
      </c>
      <c r="E50" s="42" t="n"/>
      <c r="F50" s="42" t="n"/>
      <c r="G50" s="42" t="inlineStr">
        <is>
          <t>Not started</t>
        </is>
      </c>
      <c r="H50" s="13" t="n"/>
      <c r="I50" s="14" t="n"/>
      <c r="J50" s="42" t="n"/>
      <c r="K50" s="14" t="n"/>
    </row>
    <row r="51" ht="15.75" customHeight="1" s="47">
      <c r="A51" s="11" t="inlineStr">
        <is>
          <t>LinkedIn company page</t>
        </is>
      </c>
      <c r="B51" s="42" t="inlineStr">
        <is>
          <t>Social</t>
        </is>
      </c>
      <c r="C51" s="42" t="inlineStr">
        <is>
          <t>Medium</t>
        </is>
      </c>
      <c r="D51" s="14" t="inlineStr">
        <is>
          <t>linkedin.com</t>
        </is>
      </c>
      <c r="E51" s="42" t="n"/>
      <c r="F51" s="42" t="n"/>
      <c r="G51" s="42" t="inlineStr">
        <is>
          <t>Not started</t>
        </is>
      </c>
      <c r="H51" s="13" t="n"/>
      <c r="I51" s="14" t="n"/>
      <c r="J51" s="42" t="n"/>
      <c r="K51" s="14" t="n"/>
    </row>
    <row r="52" ht="15.75" customHeight="1" s="47">
      <c r="A52" s="11" t="inlineStr">
        <is>
          <t>Pinterest business profile</t>
        </is>
      </c>
      <c r="B52" s="42" t="inlineStr">
        <is>
          <t>Social</t>
        </is>
      </c>
      <c r="C52" s="42" t="inlineStr">
        <is>
          <t>Low</t>
        </is>
      </c>
      <c r="D52" s="14" t="inlineStr">
        <is>
          <t>pinterest.com</t>
        </is>
      </c>
      <c r="E52" s="42" t="n"/>
      <c r="F52" s="42" t="n"/>
      <c r="G52" s="42" t="inlineStr">
        <is>
          <t>Not started</t>
        </is>
      </c>
      <c r="H52" s="13" t="n"/>
      <c r="I52" s="14" t="n"/>
      <c r="J52" s="42" t="n"/>
      <c r="K52" s="14" t="n"/>
    </row>
    <row r="53" ht="15.75" customHeight="1" s="47">
      <c r="A53" s="11" t="inlineStr">
        <is>
          <t>TikTok business profile</t>
        </is>
      </c>
      <c r="B53" s="42" t="inlineStr">
        <is>
          <t>Social</t>
        </is>
      </c>
      <c r="C53" s="42" t="inlineStr">
        <is>
          <t>Medium</t>
        </is>
      </c>
      <c r="D53" s="14" t="inlineStr">
        <is>
          <t>tiktok.com</t>
        </is>
      </c>
      <c r="E53" s="42" t="n"/>
      <c r="F53" s="42" t="n"/>
      <c r="G53" s="42" t="inlineStr">
        <is>
          <t>Not started</t>
        </is>
      </c>
      <c r="H53" s="13" t="n"/>
      <c r="I53" s="14" t="n"/>
      <c r="J53" s="42" t="n"/>
      <c r="K53" s="14" t="n"/>
    </row>
    <row r="54" ht="15.75" customHeight="1" s="47"/>
    <row r="55" ht="25.5" customHeight="1" s="47">
      <c r="A55" s="34" t="inlineStr">
        <is>
          <t>Domains in 'Where to start' are a starting point, not gospel. Canadian directories close and change hands. The first pass on every row is confirming it still exists and still takes a free listing — if it does not, set Status to Not applicable and say so in Notes rather than leaving it silent.</t>
        </is>
      </c>
    </row>
    <row r="56" ht="25.5" customHeight="1" s="47">
      <c r="A56" s="34" t="inlineStr">
        <is>
          <t>Google, Yelp.ca, Facebook, Fresha, Yellow Pages, Apple Maps, Bing Places, RateMDs, 411.ca, Cylex, Foursquare and the chamber listings are not repeated here — they already exist and live on the Citations tab.</t>
        </is>
      </c>
    </row>
    <row r="57" ht="25.5" customHeight="1" s="47">
      <c r="A57" s="34" t="inlineStr">
        <is>
          <t>Every listing built before the site launches carries the booking link. In launch week, week of 5 October, every one of them gets updated to the live site URL. That is a task on the Tasks tab, not a thing to remember.</t>
        </is>
      </c>
    </row>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sheetData>
  <autoFilter ref="$A$36:$K$53"/>
  <mergeCells count="60">
    <mergeCell ref="B11:D11"/>
    <mergeCell ref="B14:D14"/>
    <mergeCell ref="E26:K26"/>
    <mergeCell ref="B23:D23"/>
    <mergeCell ref="B8:D8"/>
    <mergeCell ref="B17:D17"/>
    <mergeCell ref="B13:D13"/>
    <mergeCell ref="E16:K16"/>
    <mergeCell ref="E32:K32"/>
    <mergeCell ref="B29:D29"/>
    <mergeCell ref="E7:K7"/>
    <mergeCell ref="E25:K25"/>
    <mergeCell ref="B10:D10"/>
    <mergeCell ref="B28:D28"/>
    <mergeCell ref="E22:K22"/>
    <mergeCell ref="B19:D19"/>
    <mergeCell ref="E18:K18"/>
    <mergeCell ref="E21:K21"/>
    <mergeCell ref="E12:K12"/>
    <mergeCell ref="B9:D9"/>
    <mergeCell ref="B30:D30"/>
    <mergeCell ref="B15:D15"/>
    <mergeCell ref="E24:K24"/>
    <mergeCell ref="B6:D6"/>
    <mergeCell ref="B24:D24"/>
    <mergeCell ref="A56:K56"/>
    <mergeCell ref="B20:D20"/>
    <mergeCell ref="E23:K23"/>
    <mergeCell ref="E8:K8"/>
    <mergeCell ref="E14:K14"/>
    <mergeCell ref="E17:K17"/>
    <mergeCell ref="A55:K55"/>
    <mergeCell ref="B32:D32"/>
    <mergeCell ref="A57:K57"/>
    <mergeCell ref="B26:D26"/>
    <mergeCell ref="E29:K29"/>
    <mergeCell ref="A33:K33"/>
    <mergeCell ref="E20:K20"/>
    <mergeCell ref="E10:K10"/>
    <mergeCell ref="B7:D7"/>
    <mergeCell ref="B25:D25"/>
    <mergeCell ref="E19:K19"/>
    <mergeCell ref="B16:D16"/>
    <mergeCell ref="E28:K28"/>
    <mergeCell ref="E13:K13"/>
    <mergeCell ref="E31:K31"/>
    <mergeCell ref="A4:K4"/>
    <mergeCell ref="A35:K35"/>
    <mergeCell ref="B31:D31"/>
    <mergeCell ref="E9:K9"/>
    <mergeCell ref="B22:D22"/>
    <mergeCell ref="E30:K30"/>
    <mergeCell ref="B27:D27"/>
    <mergeCell ref="B18:D18"/>
    <mergeCell ref="E6:K6"/>
    <mergeCell ref="B21:D21"/>
    <mergeCell ref="E15:K15"/>
    <mergeCell ref="B12:D12"/>
    <mergeCell ref="E11:K11"/>
    <mergeCell ref="E27:K27"/>
  </mergeCells>
  <conditionalFormatting sqref="B6:B32">
    <cfRule type="expression" priority="1" dxfId="2">
      <formula>$B6=""</formula>
    </cfRule>
  </conditionalFormatting>
  <conditionalFormatting sqref="A37:K53">
    <cfRule type="expression" priority="2" dxfId="0">
      <formula>$G37="Done"</formula>
    </cfRule>
    <cfRule type="expression" priority="3" dxfId="1">
      <formula>$G37="Blocked"</formula>
    </cfRule>
    <cfRule type="expression" priority="4" dxfId="2">
      <formula>$G37="In progress"</formula>
    </cfRule>
  </conditionalFormatting>
  <dataValidations count="4">
    <dataValidation sqref="B37:B53" showDropDown="0" showInputMessage="0" showErrorMessage="0" allowBlank="1" type="list">
      <formula1>"Local,Healthcare,Canadian,Maps,Social"</formula1>
    </dataValidation>
    <dataValidation sqref="C37:C53" showDropDown="0" showInputMessage="0" showErrorMessage="0" allowBlank="1" type="list">
      <formula1>"High,Medium,Low"</formula1>
    </dataValidation>
    <dataValidation sqref="E37:F53 J37:J53" showDropDown="0" showInputMessage="0" showErrorMessage="0" allowBlank="1" type="list">
      <formula1>"Yes,No,N/A"</formula1>
    </dataValidation>
    <dataValidation sqref="G37:G53" showDropDown="0" showInputMessage="0" showErrorMessage="0" allowBlank="1" type="list">
      <formula1>"Not started,In progress,Blocked,Done,Not applicable"</formula1>
    </dataValidation>
  </dataValidations>
  <hyperlinks>
    <hyperlink xmlns:r="http://schemas.openxmlformats.org/officeDocument/2006/relationships" ref="I38" r:id="rId1"/>
  </hyperlink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H67"/>
  <sheetViews>
    <sheetView workbookViewId="0">
      <pane ySplit="7" topLeftCell="A8" activePane="bottomLeft" state="frozen"/>
      <selection pane="bottomLeft" activeCell="A1" sqref="A1"/>
    </sheetView>
  </sheetViews>
  <sheetFormatPr baseColWidth="8" defaultRowHeight="15"/>
  <cols>
    <col width="34" customWidth="1" style="47" min="1" max="1"/>
    <col width="17" customWidth="1" style="47" min="2" max="2"/>
    <col width="46" customWidth="1" style="47" min="3" max="3"/>
    <col width="30" customWidth="1" style="47" min="4" max="4"/>
    <col width="62" customWidth="1" style="47" min="5" max="5"/>
    <col width="15" customWidth="1" style="47" min="6" max="6"/>
    <col width="13" customWidth="1" style="47" min="7" max="7"/>
    <col width="40" customWidth="1" style="47" min="8" max="8"/>
  </cols>
  <sheetData>
    <row r="1">
      <c r="A1" s="1" t="inlineStr">
        <is>
          <t>Heatmap tracking</t>
        </is>
      </c>
    </row>
    <row r="2">
      <c r="A2" s="3" t="inlineStr">
        <is>
          <t>Microsoft Clarity - free, unlimited sessions. Rankings tell you who arrived; this tells you what they did next. A page that ranks and does not book looks like a win without it.</t>
        </is>
      </c>
    </row>
    <row r="4">
      <c r="A4" s="52" t="inlineStr">
        <is>
          <t>A note on Semrush: it has no heatmap product. Semrush measures the search results page and the competition; a heatmap needs a tag on your own site recording real visitors. They are different instruments and you need both.</t>
        </is>
      </c>
    </row>
    <row r="6">
      <c r="A6" s="53" t="inlineStr">
        <is>
          <t>1. SETUP - all of it before the site goes live</t>
        </is>
      </c>
      <c r="B6" s="54" t="n"/>
      <c r="C6" s="54" t="n"/>
      <c r="D6" s="54" t="n"/>
      <c r="E6" s="54" t="n"/>
    </row>
    <row r="7">
      <c r="A7" s="55" t="inlineStr">
        <is>
          <t>Step</t>
        </is>
      </c>
      <c r="B7" s="55" t="inlineStr">
        <is>
          <t>Owner</t>
        </is>
      </c>
      <c r="C7" s="55" t="inlineStr">
        <is>
          <t>When</t>
        </is>
      </c>
      <c r="D7" s="55" t="inlineStr">
        <is>
          <t>Notes</t>
        </is>
      </c>
      <c r="E7" s="55" t="inlineStr">
        <is>
          <t>Status</t>
        </is>
      </c>
    </row>
    <row r="8">
      <c r="A8" s="51" t="inlineStr">
        <is>
          <t>Create the Microsoft Clarity account and project for luxurybeautybycleo.ca</t>
        </is>
      </c>
      <c r="B8" s="49" t="inlineStr">
        <is>
          <t>Agency</t>
        </is>
      </c>
      <c r="C8" s="49" t="inlineStr">
        <is>
          <t>Before launch</t>
        </is>
      </c>
      <c r="D8" s="51" t="inlineStr">
        <is>
          <t>Free, no session cap, no credit card. clarity.microsoft.com</t>
        </is>
      </c>
      <c r="E8" s="49" t="inlineStr">
        <is>
          <t>Not started</t>
        </is>
      </c>
    </row>
    <row r="9">
      <c r="A9" s="51" t="inlineStr">
        <is>
          <t>Install the Clarity tag sitewide, in the head of every page</t>
        </is>
      </c>
      <c r="B9" s="49" t="inlineStr">
        <is>
          <t>Agency</t>
        </is>
      </c>
      <c r="C9" s="49" t="inlineStr">
        <is>
          <t>Before launch</t>
        </is>
      </c>
      <c r="D9" s="51" t="inlineStr">
        <is>
          <t>Must be live ON launch day. Behaviour from the first weeks cannot be recovered later</t>
        </is>
      </c>
      <c r="E9" s="49" t="inlineStr">
        <is>
          <t>Not started</t>
        </is>
      </c>
    </row>
    <row r="10">
      <c r="A10" s="51" t="inlineStr">
        <is>
          <t>Verify it is recording - open the site, then check the session appears</t>
        </is>
      </c>
      <c r="B10" s="49" t="inlineStr">
        <is>
          <t>Agency</t>
        </is>
      </c>
      <c r="C10" s="49" t="inlineStr">
        <is>
          <t>Before launch</t>
        </is>
      </c>
      <c r="D10" s="51" t="inlineStr"/>
      <c r="E10" s="49" t="inlineStr">
        <is>
          <t>Not started</t>
        </is>
      </c>
    </row>
    <row r="11">
      <c r="A11" s="51" t="inlineStr">
        <is>
          <t>Link Clarity to Google Analytics</t>
        </is>
      </c>
      <c r="B11" s="49" t="inlineStr">
        <is>
          <t>Agency</t>
        </is>
      </c>
      <c r="C11" s="49" t="inlineStr">
        <is>
          <t>Launch week</t>
        </is>
      </c>
      <c r="D11" s="51" t="inlineStr">
        <is>
          <t>Lets you jump from a traffic number straight to the recordings behind it</t>
        </is>
      </c>
      <c r="E11" s="49" t="inlineStr">
        <is>
          <t>Not started</t>
        </is>
      </c>
    </row>
    <row r="12">
      <c r="A12" s="51" t="inlineStr">
        <is>
          <t>Set the booking-link click as a tracked event</t>
        </is>
      </c>
      <c r="B12" s="49" t="inlineStr">
        <is>
          <t>Agency</t>
        </is>
      </c>
      <c r="C12" s="49" t="inlineStr">
        <is>
          <t>Launch week</t>
        </is>
      </c>
      <c r="D12" s="51" t="inlineStr">
        <is>
          <t>Without it you see where people click, not whether they booked</t>
        </is>
      </c>
      <c r="E12" s="49" t="inlineStr">
        <is>
          <t>Not started</t>
        </is>
      </c>
    </row>
    <row r="13">
      <c r="A13" s="51" t="inlineStr">
        <is>
          <t>Set up a mobile-only filter and save it</t>
        </is>
      </c>
      <c r="B13" s="49" t="inlineStr">
        <is>
          <t>Agency</t>
        </is>
      </c>
      <c r="C13" s="49" t="inlineStr">
        <is>
          <t>Launch week</t>
        </is>
      </c>
      <c r="D13" s="51" t="inlineStr">
        <is>
          <t>Most of this audience is on a phone. Desktop-weighted heatmaps will point you the wrong way</t>
        </is>
      </c>
      <c r="E13" s="49" t="inlineStr">
        <is>
          <t>Not started</t>
        </is>
      </c>
    </row>
    <row r="14">
      <c r="A14" s="51" t="inlineStr">
        <is>
          <t>Add the weekly heatmap review to the Monday insights block</t>
        </is>
      </c>
      <c r="B14" s="49" t="inlineStr">
        <is>
          <t>Agency</t>
        </is>
      </c>
      <c r="C14" s="49" t="inlineStr">
        <is>
          <t>Launch week</t>
        </is>
      </c>
      <c r="D14" s="51" t="inlineStr">
        <is>
          <t>Daily Routine tab, Monday slot. A tool nobody opens is worth nothing</t>
        </is>
      </c>
      <c r="E14" s="49" t="inlineStr">
        <is>
          <t>Not started</t>
        </is>
      </c>
    </row>
    <row r="16">
      <c r="A16" s="53" t="inlineStr">
        <is>
          <t>2. WHAT WE REVIEW, AND HOW OFTEN</t>
        </is>
      </c>
      <c r="B16" s="54" t="n"/>
      <c r="C16" s="54" t="n"/>
      <c r="D16" s="54" t="n"/>
      <c r="E16" s="54" t="n"/>
    </row>
    <row r="17">
      <c r="A17" s="55" t="inlineStr">
        <is>
          <t>Page</t>
        </is>
      </c>
      <c r="B17" s="55" t="inlineStr">
        <is>
          <t>Heatmap type</t>
        </is>
      </c>
      <c r="C17" s="55" t="inlineStr">
        <is>
          <t>The question it answers</t>
        </is>
      </c>
      <c r="D17" s="55" t="inlineStr">
        <is>
          <t>Cadence</t>
        </is>
      </c>
      <c r="E17" s="55" t="inlineStr">
        <is>
          <t>What to do about it</t>
        </is>
      </c>
    </row>
    <row r="18">
      <c r="A18" s="49" t="inlineStr">
        <is>
          <t>/</t>
        </is>
      </c>
      <c r="B18" s="49" t="inlineStr">
        <is>
          <t>Scroll + click</t>
        </is>
      </c>
      <c r="C18" s="51" t="inlineStr">
        <is>
          <t>Do visitors get past the hero to the treatments?</t>
        </is>
      </c>
      <c r="D18" s="49" t="inlineStr">
        <is>
          <t>Weekly for month 1, then monthly</t>
        </is>
      </c>
      <c r="E18" s="51" t="inlineStr">
        <is>
          <t>If most sessions stop before the treatment list, the hero is too tall or says too little.</t>
        </is>
      </c>
    </row>
    <row r="19">
      <c r="A19" s="49" t="inlineStr">
        <is>
          <t>/lip-filler/</t>
        </is>
      </c>
      <c r="B19" s="49" t="inlineStr">
        <is>
          <t>Scroll + click</t>
        </is>
      </c>
      <c r="C19" s="51" t="inlineStr">
        <is>
          <t>Do they reach the booking CTA at all?</t>
        </is>
      </c>
      <c r="D19" s="49" t="inlineStr">
        <is>
          <t>Weekly for month 1, then monthly</t>
        </is>
      </c>
      <c r="E19" s="51" t="inlineStr">
        <is>
          <t>The highest-volume treatment page at KD 7. If scroll depth to the CTA is under 50 per cent, move the CTA up.</t>
        </is>
      </c>
    </row>
    <row r="20">
      <c r="A20" s="49" t="inlineStr">
        <is>
          <t>/anti-wrinkle-injections/</t>
        </is>
      </c>
      <c r="B20" s="49" t="inlineStr">
        <is>
          <t>Scroll + click</t>
        </is>
      </c>
      <c r="C20" s="51" t="inlineStr">
        <is>
          <t>Same, on the biggest local term (480/mo)</t>
        </is>
      </c>
      <c r="D20" s="49" t="inlineStr">
        <is>
          <t>Weekly for month 1, then monthly</t>
        </is>
      </c>
      <c r="E20" s="51" t="inlineStr">
        <is>
          <t>Watch for people bouncing at the compliance wording - it reads as evasive if handled badly.</t>
        </is>
      </c>
    </row>
    <row r="21">
      <c r="A21" s="49" t="inlineStr">
        <is>
          <t>/dermal-filler-facial-balancing/</t>
        </is>
      </c>
      <c r="B21" s="49" t="inlineStr">
        <is>
          <t>Scroll</t>
        </is>
      </c>
      <c r="C21" s="51" t="inlineStr">
        <is>
          <t>Is the page too long before the price or CTA?</t>
        </is>
      </c>
      <c r="D21" s="49" t="inlineStr">
        <is>
          <t>Monthly</t>
        </is>
      </c>
      <c r="E21" s="51" t="inlineStr"/>
    </row>
    <row r="22">
      <c r="A22" s="49" t="inlineStr">
        <is>
          <t>/contact/</t>
        </is>
      </c>
      <c r="B22" s="49" t="inlineStr">
        <is>
          <t>Click</t>
        </is>
      </c>
      <c r="C22" s="51" t="inlineStr">
        <is>
          <t>Are they clicking something that is not a link?</t>
        </is>
      </c>
      <c r="D22" s="49" t="inlineStr">
        <is>
          <t>Weekly for month 1, then monthly</t>
        </is>
      </c>
      <c r="E22" s="51" t="inlineStr">
        <is>
          <t>Dead clicks on the address or phone number mean people expect tap-to-call or tap-for-directions. Cheap fix, real bookings.</t>
        </is>
      </c>
    </row>
    <row r="23">
      <c r="A23" s="49" t="inlineStr">
        <is>
          <t>/results/</t>
        </is>
      </c>
      <c r="B23" s="49" t="inlineStr">
        <is>
          <t>Scroll + click</t>
        </is>
      </c>
      <c r="C23" s="51" t="inlineStr">
        <is>
          <t>Do they click a photo expecting it to enlarge?</t>
        </is>
      </c>
      <c r="D23" s="49" t="inlineStr">
        <is>
          <t>Monthly</t>
        </is>
      </c>
      <c r="E23" s="51" t="inlineStr">
        <is>
          <t>Dead clicks on gallery images are the commonest finding on a clinic site.</t>
        </is>
      </c>
    </row>
    <row r="24">
      <c r="A24" s="49" t="inlineStr">
        <is>
          <t>/blog/ articles</t>
        </is>
      </c>
      <c r="B24" s="49" t="inlineStr">
        <is>
          <t>Scroll</t>
        </is>
      </c>
      <c r="C24" s="51" t="inlineStr">
        <is>
          <t>Do readers reach the link to the treatment page?</t>
        </is>
      </c>
      <c r="D24" s="49" t="inlineStr">
        <is>
          <t>Monthly</t>
        </is>
      </c>
      <c r="E24" s="51" t="inlineStr">
        <is>
          <t>An article read to 40 per cent that never surfaces the treatment link is traffic doing nothing.</t>
        </is>
      </c>
    </row>
    <row r="25">
      <c r="A25" s="49" t="inlineStr">
        <is>
          <t>Mobile, every page</t>
        </is>
      </c>
      <c r="B25" s="49" t="inlineStr">
        <is>
          <t>Scroll + click</t>
        </is>
      </c>
      <c r="C25" s="51" t="inlineStr">
        <is>
          <t>Is the booking button reachable with one thumb?</t>
        </is>
      </c>
      <c r="D25" s="49" t="inlineStr">
        <is>
          <t>Weekly for month 1, then monthly</t>
        </is>
      </c>
      <c r="E25" s="51" t="inlineStr">
        <is>
          <t>Filter Clarity to mobile only. Most of this audience is on a phone - desktop findings will mislead you.</t>
        </is>
      </c>
    </row>
    <row r="27">
      <c r="A27" s="53" t="inlineStr">
        <is>
          <t>3. FINDINGS LOG - the tab that turns watching into changing</t>
        </is>
      </c>
      <c r="B27" s="54" t="n"/>
      <c r="C27" s="54" t="n"/>
      <c r="D27" s="54" t="n"/>
      <c r="E27" s="54" t="n"/>
      <c r="F27" s="54" t="n"/>
      <c r="G27" s="54" t="n"/>
      <c r="H27" s="54" t="n"/>
    </row>
    <row r="28">
      <c r="A28" s="52" t="inlineStr">
        <is>
          <t>A finding with no change logged beside it is not a finding, it is a note. Fill the right-hand columns or do not bother with the left-hand ones.</t>
        </is>
      </c>
    </row>
    <row r="29">
      <c r="A29" s="55" t="inlineStr">
        <is>
          <t>Date</t>
        </is>
      </c>
      <c r="B29" s="55" t="inlineStr">
        <is>
          <t>Page</t>
        </is>
      </c>
      <c r="C29" s="55" t="inlineStr">
        <is>
          <t>What we saw</t>
        </is>
      </c>
      <c r="D29" s="55" t="inlineStr">
        <is>
          <t>Evidence (recording or heatmap link)</t>
        </is>
      </c>
      <c r="E29" s="55" t="inlineStr">
        <is>
          <t>Change made</t>
        </is>
      </c>
      <c r="F29" s="55" t="inlineStr">
        <is>
          <t>Date changed</t>
        </is>
      </c>
      <c r="G29" s="55" t="inlineStr">
        <is>
          <t>Status</t>
        </is>
      </c>
      <c r="H29" s="55" t="inlineStr">
        <is>
          <t>Did it work?</t>
        </is>
      </c>
    </row>
    <row r="30">
      <c r="A30" s="49" t="n"/>
      <c r="B30" s="49" t="n"/>
      <c r="C30" s="51" t="n"/>
      <c r="D30" s="51" t="n"/>
      <c r="E30" s="51" t="n"/>
      <c r="F30" s="49" t="n"/>
      <c r="G30" s="49" t="n"/>
      <c r="H30" s="51" t="n"/>
    </row>
    <row r="31">
      <c r="A31" s="49" t="n"/>
      <c r="B31" s="49" t="n"/>
      <c r="C31" s="51" t="n"/>
      <c r="D31" s="51" t="n"/>
      <c r="E31" s="51" t="n"/>
      <c r="F31" s="49" t="n"/>
      <c r="G31" s="49" t="n"/>
      <c r="H31" s="51" t="n"/>
    </row>
    <row r="32">
      <c r="A32" s="49" t="n"/>
      <c r="B32" s="49" t="n"/>
      <c r="C32" s="51" t="n"/>
      <c r="D32" s="51" t="n"/>
      <c r="E32" s="51" t="n"/>
      <c r="F32" s="49" t="n"/>
      <c r="G32" s="49" t="n"/>
      <c r="H32" s="51" t="n"/>
    </row>
    <row r="33">
      <c r="A33" s="49" t="n"/>
      <c r="B33" s="49" t="n"/>
      <c r="C33" s="51" t="n"/>
      <c r="D33" s="51" t="n"/>
      <c r="E33" s="51" t="n"/>
      <c r="F33" s="49" t="n"/>
      <c r="G33" s="49" t="n"/>
      <c r="H33" s="51" t="n"/>
    </row>
    <row r="34">
      <c r="A34" s="49" t="n"/>
      <c r="B34" s="49" t="n"/>
      <c r="C34" s="51" t="n"/>
      <c r="D34" s="51" t="n"/>
      <c r="E34" s="51" t="n"/>
      <c r="F34" s="49" t="n"/>
      <c r="G34" s="49" t="n"/>
      <c r="H34" s="51" t="n"/>
    </row>
    <row r="35">
      <c r="A35" s="49" t="n"/>
      <c r="B35" s="49" t="n"/>
      <c r="C35" s="51" t="n"/>
      <c r="D35" s="51" t="n"/>
      <c r="E35" s="51" t="n"/>
      <c r="F35" s="49" t="n"/>
      <c r="G35" s="49" t="n"/>
      <c r="H35" s="51" t="n"/>
    </row>
    <row r="36">
      <c r="A36" s="49" t="n"/>
      <c r="B36" s="49" t="n"/>
      <c r="C36" s="51" t="n"/>
      <c r="D36" s="51" t="n"/>
      <c r="E36" s="51" t="n"/>
      <c r="F36" s="49" t="n"/>
      <c r="G36" s="49" t="n"/>
      <c r="H36" s="51" t="n"/>
    </row>
    <row r="37">
      <c r="A37" s="49" t="n"/>
      <c r="B37" s="49" t="n"/>
      <c r="C37" s="51" t="n"/>
      <c r="D37" s="51" t="n"/>
      <c r="E37" s="51" t="n"/>
      <c r="F37" s="49" t="n"/>
      <c r="G37" s="49" t="n"/>
      <c r="H37" s="51" t="n"/>
    </row>
    <row r="38">
      <c r="A38" s="49" t="n"/>
      <c r="B38" s="49" t="n"/>
      <c r="C38" s="51" t="n"/>
      <c r="D38" s="51" t="n"/>
      <c r="E38" s="51" t="n"/>
      <c r="F38" s="49" t="n"/>
      <c r="G38" s="49" t="n"/>
      <c r="H38" s="51" t="n"/>
    </row>
    <row r="39">
      <c r="A39" s="49" t="n"/>
      <c r="B39" s="49" t="n"/>
      <c r="C39" s="51" t="n"/>
      <c r="D39" s="51" t="n"/>
      <c r="E39" s="51" t="n"/>
      <c r="F39" s="49" t="n"/>
      <c r="G39" s="49" t="n"/>
      <c r="H39" s="51" t="n"/>
    </row>
    <row r="40">
      <c r="A40" s="49" t="n"/>
      <c r="B40" s="49" t="n"/>
      <c r="C40" s="51" t="n"/>
      <c r="D40" s="51" t="n"/>
      <c r="E40" s="51" t="n"/>
      <c r="F40" s="49" t="n"/>
      <c r="G40" s="49" t="n"/>
      <c r="H40" s="51" t="n"/>
    </row>
    <row r="41">
      <c r="A41" s="49" t="n"/>
      <c r="B41" s="49" t="n"/>
      <c r="C41" s="51" t="n"/>
      <c r="D41" s="51" t="n"/>
      <c r="E41" s="51" t="n"/>
      <c r="F41" s="49" t="n"/>
      <c r="G41" s="49" t="n"/>
      <c r="H41" s="51" t="n"/>
    </row>
    <row r="42">
      <c r="A42" s="49" t="n"/>
      <c r="B42" s="49" t="n"/>
      <c r="C42" s="51" t="n"/>
      <c r="D42" s="51" t="n"/>
      <c r="E42" s="51" t="n"/>
      <c r="F42" s="49" t="n"/>
      <c r="G42" s="49" t="n"/>
      <c r="H42" s="51" t="n"/>
    </row>
    <row r="43">
      <c r="A43" s="49" t="n"/>
      <c r="B43" s="49" t="n"/>
      <c r="C43" s="51" t="n"/>
      <c r="D43" s="51" t="n"/>
      <c r="E43" s="51" t="n"/>
      <c r="F43" s="49" t="n"/>
      <c r="G43" s="49" t="n"/>
      <c r="H43" s="51" t="n"/>
    </row>
    <row r="44">
      <c r="A44" s="49" t="n"/>
      <c r="B44" s="49" t="n"/>
      <c r="C44" s="51" t="n"/>
      <c r="D44" s="51" t="n"/>
      <c r="E44" s="51" t="n"/>
      <c r="F44" s="49" t="n"/>
      <c r="G44" s="49" t="n"/>
      <c r="H44" s="51" t="n"/>
    </row>
    <row r="45">
      <c r="A45" s="49" t="n"/>
      <c r="B45" s="49" t="n"/>
      <c r="C45" s="51" t="n"/>
      <c r="D45" s="51" t="n"/>
      <c r="E45" s="51" t="n"/>
      <c r="F45" s="49" t="n"/>
      <c r="G45" s="49" t="n"/>
      <c r="H45" s="51" t="n"/>
    </row>
    <row r="46">
      <c r="A46" s="49" t="n"/>
      <c r="B46" s="49" t="n"/>
      <c r="C46" s="51" t="n"/>
      <c r="D46" s="51" t="n"/>
      <c r="E46" s="51" t="n"/>
      <c r="F46" s="49" t="n"/>
      <c r="G46" s="49" t="n"/>
      <c r="H46" s="51" t="n"/>
    </row>
    <row r="47">
      <c r="A47" s="49" t="n"/>
      <c r="B47" s="49" t="n"/>
      <c r="C47" s="51" t="n"/>
      <c r="D47" s="51" t="n"/>
      <c r="E47" s="51" t="n"/>
      <c r="F47" s="49" t="n"/>
      <c r="G47" s="49" t="n"/>
      <c r="H47" s="51" t="n"/>
    </row>
    <row r="48">
      <c r="A48" s="49" t="n"/>
      <c r="B48" s="49" t="n"/>
      <c r="C48" s="51" t="n"/>
      <c r="D48" s="51" t="n"/>
      <c r="E48" s="51" t="n"/>
      <c r="F48" s="49" t="n"/>
      <c r="G48" s="49" t="n"/>
      <c r="H48" s="51" t="n"/>
    </row>
    <row r="49">
      <c r="A49" s="49" t="n"/>
      <c r="B49" s="49" t="n"/>
      <c r="C49" s="51" t="n"/>
      <c r="D49" s="51" t="n"/>
      <c r="E49" s="51" t="n"/>
      <c r="F49" s="49" t="n"/>
      <c r="G49" s="49" t="n"/>
      <c r="H49" s="51" t="n"/>
    </row>
    <row r="50">
      <c r="A50" s="49" t="n"/>
      <c r="B50" s="49" t="n"/>
      <c r="C50" s="51" t="n"/>
      <c r="D50" s="51" t="n"/>
      <c r="E50" s="51" t="n"/>
      <c r="F50" s="49" t="n"/>
      <c r="G50" s="49" t="n"/>
      <c r="H50" s="51" t="n"/>
    </row>
    <row r="51">
      <c r="A51" s="49" t="n"/>
      <c r="B51" s="49" t="n"/>
      <c r="C51" s="51" t="n"/>
      <c r="D51" s="51" t="n"/>
      <c r="E51" s="51" t="n"/>
      <c r="F51" s="49" t="n"/>
      <c r="G51" s="49" t="n"/>
      <c r="H51" s="51" t="n"/>
    </row>
    <row r="52">
      <c r="A52" s="49" t="n"/>
      <c r="B52" s="49" t="n"/>
      <c r="C52" s="51" t="n"/>
      <c r="D52" s="51" t="n"/>
      <c r="E52" s="51" t="n"/>
      <c r="F52" s="49" t="n"/>
      <c r="G52" s="49" t="n"/>
      <c r="H52" s="51" t="n"/>
    </row>
    <row r="53">
      <c r="A53" s="49" t="n"/>
      <c r="B53" s="49" t="n"/>
      <c r="C53" s="51" t="n"/>
      <c r="D53" s="51" t="n"/>
      <c r="E53" s="51" t="n"/>
      <c r="F53" s="49" t="n"/>
      <c r="G53" s="49" t="n"/>
      <c r="H53" s="51" t="n"/>
    </row>
    <row r="54">
      <c r="A54" s="49" t="n"/>
      <c r="B54" s="49" t="n"/>
      <c r="C54" s="51" t="n"/>
      <c r="D54" s="51" t="n"/>
      <c r="E54" s="51" t="n"/>
      <c r="F54" s="49" t="n"/>
      <c r="G54" s="49" t="n"/>
      <c r="H54" s="51" t="n"/>
    </row>
    <row r="55">
      <c r="A55" s="49" t="n"/>
      <c r="B55" s="49" t="n"/>
      <c r="C55" s="51" t="n"/>
      <c r="D55" s="51" t="n"/>
      <c r="E55" s="51" t="n"/>
      <c r="F55" s="49" t="n"/>
      <c r="G55" s="49" t="n"/>
      <c r="H55" s="51" t="n"/>
    </row>
    <row r="56">
      <c r="A56" s="49" t="n"/>
      <c r="B56" s="49" t="n"/>
      <c r="C56" s="51" t="n"/>
      <c r="D56" s="51" t="n"/>
      <c r="E56" s="51" t="n"/>
      <c r="F56" s="49" t="n"/>
      <c r="G56" s="49" t="n"/>
      <c r="H56" s="51" t="n"/>
    </row>
    <row r="57">
      <c r="A57" s="49" t="n"/>
      <c r="B57" s="49" t="n"/>
      <c r="C57" s="51" t="n"/>
      <c r="D57" s="51" t="n"/>
      <c r="E57" s="51" t="n"/>
      <c r="F57" s="49" t="n"/>
      <c r="G57" s="49" t="n"/>
      <c r="H57" s="51" t="n"/>
    </row>
    <row r="58">
      <c r="A58" s="49" t="n"/>
      <c r="B58" s="49" t="n"/>
      <c r="C58" s="51" t="n"/>
      <c r="D58" s="51" t="n"/>
      <c r="E58" s="51" t="n"/>
      <c r="F58" s="49" t="n"/>
      <c r="G58" s="49" t="n"/>
      <c r="H58" s="51" t="n"/>
    </row>
    <row r="59">
      <c r="A59" s="49" t="n"/>
      <c r="B59" s="49" t="n"/>
      <c r="C59" s="51" t="n"/>
      <c r="D59" s="51" t="n"/>
      <c r="E59" s="51" t="n"/>
      <c r="F59" s="49" t="n"/>
      <c r="G59" s="49" t="n"/>
      <c r="H59" s="51" t="n"/>
    </row>
    <row r="61">
      <c r="A61" s="53" t="inlineStr">
        <is>
          <t>4. WHAT GOOD LOOKS LIKE</t>
        </is>
      </c>
      <c r="B61" s="54" t="n"/>
      <c r="C61" s="54" t="n"/>
    </row>
    <row r="62">
      <c r="A62" s="55" t="inlineStr">
        <is>
          <t>What we measure</t>
        </is>
      </c>
      <c r="B62" s="55" t="inlineStr">
        <is>
          <t>The threshold</t>
        </is>
      </c>
      <c r="C62" s="55" t="inlineStr">
        <is>
          <t>What it means when it is missed</t>
        </is>
      </c>
    </row>
    <row r="63">
      <c r="A63" s="49" t="inlineStr">
        <is>
          <t>Visitors scrolling to the booking CTA</t>
        </is>
      </c>
      <c r="B63" s="49" t="inlineStr">
        <is>
          <t>50 per cent or better</t>
        </is>
      </c>
      <c r="C63" s="51" t="inlineStr">
        <is>
          <t>Under 50, the CTA is too far down or the copy above it is not earning the scroll</t>
        </is>
      </c>
    </row>
    <row r="64">
      <c r="A64" s="49" t="inlineStr">
        <is>
          <t>Rage clicks on a treatment page</t>
        </is>
      </c>
      <c r="B64" s="49" t="inlineStr">
        <is>
          <t>Zero</t>
        </is>
      </c>
      <c r="C64" s="51" t="inlineStr">
        <is>
          <t>A rage click is a visitor clicking the same spot repeatedly. It always means something looks clickable and is not</t>
        </is>
      </c>
    </row>
    <row r="65">
      <c r="A65" s="49" t="inlineStr">
        <is>
          <t>Dead clicks</t>
        </is>
      </c>
      <c r="B65" s="49" t="inlineStr">
        <is>
          <t>Under 2 per cent of sessions</t>
        </is>
      </c>
      <c r="C65" s="51" t="inlineStr">
        <is>
          <t>Usually images, phone numbers or addresses that are not linked</t>
        </is>
      </c>
    </row>
    <row r="66">
      <c r="A66" s="49" t="inlineStr">
        <is>
          <t>Quick-back sessions</t>
        </is>
      </c>
      <c r="B66" s="49" t="inlineStr">
        <is>
          <t>Under 25 per cent</t>
        </is>
      </c>
      <c r="C66" s="51" t="inlineStr">
        <is>
          <t>Landing and leaving within seconds. On a treatment page it usually means the title tag promised something the page did not</t>
        </is>
      </c>
    </row>
    <row r="67">
      <c r="A67" s="49" t="inlineStr">
        <is>
          <t>Sessions reviewed by hand</t>
        </is>
      </c>
      <c r="B67" s="49" t="inlineStr">
        <is>
          <t>10 a week for month 1, then 10 a month</t>
        </is>
      </c>
      <c r="C67" s="51" t="inlineStr">
        <is>
          <t>Recordings tell you why the heatmap looks the way it does. The heatmap alone only tells you what</t>
        </is>
      </c>
    </row>
  </sheetData>
  <conditionalFormatting sqref="A8:E14">
    <cfRule type="expression" priority="1" dxfId="4" stopIfTrue="0">
      <formula>$E2="Done"</formula>
    </cfRule>
    <cfRule type="expression" priority="2" dxfId="5" stopIfTrue="0">
      <formula>$E2="Blocked"</formula>
    </cfRule>
    <cfRule type="expression" priority="3" dxfId="6" stopIfTrue="0">
      <formula>$E2="In progress"</formula>
    </cfRule>
  </conditionalFormatting>
  <dataValidations count="2">
    <dataValidation sqref="E8:E14" showDropDown="0" showInputMessage="0" showErrorMessage="0" allowBlank="1" type="list">
      <formula1>"Not started,In progress,Blocked,Done,Not applicable"</formula1>
    </dataValidation>
    <dataValidation sqref="G30:G59" showDropDown="0" showInputMessage="0" showErrorMessage="0" allowBlank="1" type="list">
      <formula1>"Not started,In progress,Blocked,Done,Not applicable"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1"/>
  <sheetViews>
    <sheetView workbookViewId="0">
      <pane xSplit="3" ySplit="4" topLeftCell="D5" activePane="bottomRight" state="frozen"/>
      <selection pane="topRight" activeCell="D1" sqref="D1"/>
      <selection pane="bottomLeft" activeCell="A5" sqref="A5"/>
      <selection pane="bottomRight" activeCell="D5" sqref="D5"/>
    </sheetView>
  </sheetViews>
  <sheetFormatPr baseColWidth="8" defaultColWidth="14.43" defaultRowHeight="15" customHeight="1"/>
  <cols>
    <col width="38" customWidth="1" style="47" min="1" max="1"/>
    <col width="17" customWidth="1" style="47" min="2" max="2"/>
    <col width="34" customWidth="1" style="47" min="3" max="3"/>
    <col width="10" customWidth="1" style="47" min="4" max="9"/>
    <col width="34" customWidth="1" style="47" min="10" max="10"/>
    <col width="8.710000000000001" customWidth="1" style="47" min="11" max="26"/>
  </cols>
  <sheetData>
    <row r="1" ht="21.75" customHeight="1" s="47">
      <c r="A1" s="1" t="inlineStr">
        <is>
          <t>Monthly numbers</t>
        </is>
      </c>
    </row>
    <row r="2">
      <c r="A2" s="3" t="inlineStr">
        <is>
          <t>Fill at the end of each month. Compare against the baseline column, not against last month.</t>
        </is>
      </c>
    </row>
    <row r="3"/>
    <row r="4" ht="27.75" customHeight="1" s="47">
      <c r="A4" s="5" t="inlineStr">
        <is>
          <t>What we track</t>
        </is>
      </c>
      <c r="B4" s="5" t="inlineStr">
        <is>
          <t>Baseline (17 Aug)</t>
        </is>
      </c>
      <c r="C4" s="5" t="inlineStr">
        <is>
          <t>Target by 14 Feb</t>
        </is>
      </c>
      <c r="D4" s="5" t="inlineStr">
        <is>
          <t>End Sep</t>
        </is>
      </c>
      <c r="E4" s="5" t="inlineStr">
        <is>
          <t>End Oct</t>
        </is>
      </c>
      <c r="F4" s="5" t="inlineStr">
        <is>
          <t>End Nov</t>
        </is>
      </c>
      <c r="G4" s="5" t="inlineStr">
        <is>
          <t>End Dec</t>
        </is>
      </c>
      <c r="H4" s="5" t="inlineStr">
        <is>
          <t>End Jan</t>
        </is>
      </c>
      <c r="I4" s="5" t="inlineStr">
        <is>
          <t>Mid Feb</t>
        </is>
      </c>
      <c r="J4" s="5" t="inlineStr">
        <is>
          <t>Notes</t>
        </is>
      </c>
    </row>
    <row r="5">
      <c r="A5" s="11" t="inlineStr">
        <is>
          <t>Google reviews</t>
        </is>
      </c>
      <c r="B5" s="14" t="inlineStr">
        <is>
          <t>12</t>
        </is>
      </c>
      <c r="C5" s="14" t="inlineStr">
        <is>
          <t>30 to 34, still at or near 5.0</t>
        </is>
      </c>
    </row>
    <row r="6">
      <c r="A6" s="11" t="inlineStr">
        <is>
          <t>Google review average</t>
        </is>
      </c>
      <c r="B6" s="14" t="inlineStr">
        <is>
          <t>5.0</t>
        </is>
      </c>
      <c r="C6" s="14" t="inlineStr">
        <is>
          <t>At or near 5.0</t>
        </is>
      </c>
    </row>
    <row r="7">
      <c r="A7" s="11" t="inlineStr">
        <is>
          <t>Calls from Google profile</t>
        </is>
      </c>
      <c r="B7" s="14" t="n">
        <v>0</v>
      </c>
      <c r="C7" s="14" t="inlineStr">
        <is>
          <t>Up on baseline every month</t>
        </is>
      </c>
    </row>
    <row r="8">
      <c r="A8" s="11" t="inlineStr">
        <is>
          <t>Direction requests from Google</t>
        </is>
      </c>
      <c r="B8" s="14" t="n">
        <v>19</v>
      </c>
      <c r="C8" s="14" t="inlineStr">
        <is>
          <t>Up on baseline every month</t>
        </is>
      </c>
    </row>
    <row r="9">
      <c r="A9" s="11" t="inlineStr">
        <is>
          <t>Google profile views</t>
        </is>
      </c>
      <c r="B9" s="14" t="n">
        <v>205</v>
      </c>
      <c r="C9" s="14" t="inlineStr">
        <is>
          <t>Up on baseline every month</t>
        </is>
      </c>
    </row>
    <row r="10">
      <c r="A10" s="11" t="inlineStr">
        <is>
          <t>GBP posts published in the month</t>
        </is>
      </c>
      <c r="B10" s="14" t="n">
        <v>3</v>
      </c>
      <c r="C10" s="14" t="inlineStr">
        <is>
          <t>20 or more, every month</t>
        </is>
      </c>
    </row>
    <row r="11">
      <c r="A11" s="11" t="inlineStr">
        <is>
          <t>Map pack position: nurse injector oakville</t>
        </is>
      </c>
      <c r="B11" s="14" t="n"/>
      <c r="C11" s="14" t="inlineStr">
        <is>
          <t>Visible in the pack</t>
        </is>
      </c>
      <c r="J11" s="51" t="inlineStr">
        <is>
          <t>No measurable search volume in Semrush. Keep tracking it - it is free to own - but judge the month on botox oakville and lip filler oakville</t>
        </is>
      </c>
    </row>
    <row r="12">
      <c r="A12" s="11" t="inlineStr">
        <is>
          <t>Map pack position: botox oakville</t>
        </is>
      </c>
      <c r="B12" s="14" t="n"/>
      <c r="C12" s="14" t="inlineStr">
        <is>
          <t>Visible in the pack</t>
        </is>
      </c>
    </row>
    <row r="13">
      <c r="A13" s="11" t="inlineStr">
        <is>
          <t>Map pack position: lip filler oakville</t>
        </is>
      </c>
      <c r="B13" s="14" t="n"/>
      <c r="C13" s="14" t="inlineStr">
        <is>
          <t>Visible in the pack</t>
        </is>
      </c>
    </row>
    <row r="14">
      <c r="A14" s="11" t="inlineStr">
        <is>
          <t>Instagram profile visits</t>
        </is>
      </c>
      <c r="B14" s="14" t="n">
        <v>587</v>
      </c>
      <c r="C14" s="14" t="inlineStr">
        <is>
          <t>Up on baseline</t>
        </is>
      </c>
    </row>
    <row r="15">
      <c r="A15" s="11" t="inlineStr">
        <is>
          <t>Instagram link taps</t>
        </is>
      </c>
      <c r="B15" s="14" t="n">
        <v>2</v>
      </c>
      <c r="C15" s="14" t="inlineStr">
        <is>
          <t>Rising faster than profile visits</t>
        </is>
      </c>
    </row>
    <row r="16">
      <c r="A16" s="11" t="inlineStr">
        <is>
          <t>Reels published in the month</t>
        </is>
      </c>
      <c r="B16" s="14" t="n">
        <v>1</v>
      </c>
      <c r="C16" s="14" t="inlineStr">
        <is>
          <t>Four, one a week</t>
        </is>
      </c>
    </row>
    <row r="17">
      <c r="A17" s="11" t="inlineStr">
        <is>
          <t>DMs received</t>
        </is>
      </c>
      <c r="B17" s="14" t="inlineStr">
        <is>
          <t>Not tracked</t>
        </is>
      </c>
      <c r="C17" s="14" t="inlineStr">
        <is>
          <t>Tracked weekly from week 1</t>
        </is>
      </c>
    </row>
    <row r="18">
      <c r="A18" s="11" t="inlineStr">
        <is>
          <t>Consultations booked</t>
        </is>
      </c>
      <c r="B18" s="14" t="inlineStr">
        <is>
          <t>Not tracked</t>
        </is>
      </c>
      <c r="C18" s="14" t="inlineStr">
        <is>
          <t>Tracked weekly, attributed to source</t>
        </is>
      </c>
    </row>
    <row r="19">
      <c r="A19" s="11" t="inlineStr">
        <is>
          <t>Ad spend</t>
        </is>
      </c>
      <c r="B19" s="14" t="inlineStr">
        <is>
          <t>Not supplied</t>
        </is>
      </c>
      <c r="C19" s="14" t="inlineStr">
        <is>
          <t>Confirmed and split 70/20/10</t>
        </is>
      </c>
    </row>
    <row r="20">
      <c r="A20" s="11" t="inlineStr">
        <is>
          <t>Cost per DM from ads</t>
        </is>
      </c>
      <c r="B20" s="14" t="n"/>
      <c r="C20" s="14" t="inlineStr">
        <is>
          <t>Falling month on month</t>
        </is>
      </c>
    </row>
    <row r="21" ht="15.75" customHeight="1" s="47">
      <c r="A21" s="11" t="inlineStr">
        <is>
          <t>Website sessions</t>
        </is>
      </c>
      <c r="B21" s="14" t="inlineStr">
        <is>
          <t>No site</t>
        </is>
      </c>
      <c r="C21" s="14" t="inlineStr">
        <is>
          <t>From launch in October, rising month on month</t>
        </is>
      </c>
    </row>
    <row r="22" ht="15.75" customHeight="1" s="47">
      <c r="A22" s="11" t="inlineStr">
        <is>
          <t>Search Console impressions</t>
        </is>
      </c>
      <c r="B22" s="14" t="inlineStr">
        <is>
          <t>No site</t>
        </is>
      </c>
      <c r="C22" s="14" t="inlineStr">
        <is>
          <t>Rising month on month from October</t>
        </is>
      </c>
    </row>
    <row r="23" ht="15.75" customHeight="1" s="47">
      <c r="A23" s="11" t="inlineStr">
        <is>
          <t>Pages indexed</t>
        </is>
      </c>
      <c r="B23" s="14" t="inlineStr">
        <is>
          <t>No site</t>
        </is>
      </c>
      <c r="C23" s="14" t="inlineStr">
        <is>
          <t>Every page, confirmed in Search Console</t>
        </is>
      </c>
    </row>
    <row r="24" ht="15.75" customHeight="1" s="47">
      <c r="A24" s="11" t="inlineStr">
        <is>
          <t>Daily slot completion rate</t>
        </is>
      </c>
      <c r="B24" s="14" t="n"/>
      <c r="C24" s="14" t="inlineStr">
        <is>
          <t>85 per cent or better</t>
        </is>
      </c>
    </row>
    <row r="25" ht="15.75" customHeight="1" s="47">
      <c r="A25" s="49" t="inlineStr">
        <is>
          <t>Semrush visibility (%)</t>
        </is>
      </c>
      <c r="B25" s="49" t="n"/>
      <c r="C25" s="51" t="inlineStr">
        <is>
          <t>Rising every month once tracking is live</t>
        </is>
      </c>
      <c r="J25" s="51" t="inlineStr">
        <is>
          <t>Position Tracking. Needs the Semrush project created first - task 159</t>
        </is>
      </c>
    </row>
    <row r="26" ht="15.75" customHeight="1" s="47">
      <c r="A26" s="49" t="inlineStr">
        <is>
          <t>Semrush Site Audit health score</t>
        </is>
      </c>
      <c r="B26" s="49" t="n"/>
      <c r="C26" s="51" t="inlineStr">
        <is>
          <t>90 or better within a month of launch</t>
        </is>
      </c>
      <c r="J26" s="51" t="inlineStr">
        <is>
          <t>Site Audit cannot run until the site resolves</t>
        </is>
      </c>
    </row>
    <row r="27" ht="15.75" customHeight="1" s="47">
      <c r="A27" s="49" t="inlineStr">
        <is>
          <t>Organic keywords ranking (Semrush)</t>
        </is>
      </c>
      <c r="B27" s="49" t="n">
        <v>0</v>
      </c>
      <c r="C27" s="51" t="inlineStr">
        <is>
          <t>60 or more by 14 Feb</t>
        </is>
      </c>
      <c r="J27" s="51" t="inlineStr">
        <is>
          <t>Baseline is genuinely zero - the domain returns no rows in the Semrush CA database today</t>
        </is>
      </c>
    </row>
    <row r="28" ht="15.75" customHeight="1" s="47">
      <c r="A28" s="49" t="inlineStr">
        <is>
          <t>Map pack position: med spa oakville</t>
        </is>
      </c>
      <c r="B28" s="49" t="n"/>
      <c r="C28" s="51" t="inlineStr">
        <is>
          <t>Visible in the pack</t>
        </is>
      </c>
      <c r="J28" s="51" t="inlineStr">
        <is>
          <t>140 searches a month, KD 29</t>
        </is>
      </c>
    </row>
    <row r="29" ht="15.75" customHeight="1" s="47">
      <c r="A29" s="49" t="inlineStr">
        <is>
          <t>Clarity sessions recorded</t>
        </is>
      </c>
      <c r="B29" s="49" t="n"/>
      <c r="C29" s="51" t="inlineStr">
        <is>
          <t>Every session from launch onward</t>
        </is>
      </c>
      <c r="J29" s="51" t="inlineStr">
        <is>
          <t>Microsoft Clarity, free tier, no session cap</t>
        </is>
      </c>
    </row>
    <row r="30" ht="15.75" customHeight="1" s="47">
      <c r="A30" s="49" t="inlineStr">
        <is>
          <t>Visitors scrolling to the booking CTA (%)</t>
        </is>
      </c>
      <c r="B30" s="49" t="n"/>
      <c r="C30" s="51" t="inlineStr">
        <is>
          <t>50 per cent or better</t>
        </is>
      </c>
      <c r="J30" s="51" t="inlineStr">
        <is>
          <t>Clarity scroll heatmap on the treatment pages</t>
        </is>
      </c>
    </row>
    <row r="31" ht="15.75" customHeight="1" s="47">
      <c r="A31" s="49" t="inlineStr">
        <is>
          <t>Rage clicks per 100 sessions</t>
        </is>
      </c>
      <c r="B31" s="49" t="n"/>
      <c r="C31" s="51" t="inlineStr">
        <is>
          <t>Zero on the treatment pages</t>
        </is>
      </c>
      <c r="J31" s="51" t="inlineStr">
        <is>
          <t>Clarity. Any rage click is a broken expectation</t>
        </is>
      </c>
    </row>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B6" sqref="B6"/>
    </sheetView>
  </sheetViews>
  <sheetFormatPr baseColWidth="8" defaultColWidth="14.43" defaultRowHeight="15" customHeight="1"/>
  <cols>
    <col width="11" customWidth="1" style="47" min="1" max="1"/>
    <col width="46" customWidth="1" style="47" min="2" max="2"/>
    <col width="13" customWidth="1" style="47" min="3" max="3"/>
    <col width="46" customWidth="1" style="47" min="4" max="4"/>
    <col width="14" customWidth="1" style="47" min="5" max="5"/>
    <col width="13" customWidth="1" style="47" min="6" max="6"/>
    <col width="28" customWidth="1" style="47" min="7" max="7"/>
    <col width="8.710000000000001" customWidth="1" style="47" min="8" max="26"/>
  </cols>
  <sheetData>
    <row r="1" ht="21.75" customHeight="1" s="47">
      <c r="A1" s="1" t="inlineStr">
        <is>
          <t>Waiting on Cleo</t>
        </is>
      </c>
    </row>
    <row r="2">
      <c r="A2" s="3" t="inlineStr">
        <is>
          <t>Access, assets and answers. Most delay in work like this comes from waiting on these. The top four are what the build waits on.</t>
        </is>
      </c>
    </row>
    <row r="3"/>
    <row r="4" ht="27.75" customHeight="1" s="47">
      <c r="A4" s="5" t="inlineStr">
        <is>
          <t>Type</t>
        </is>
      </c>
      <c r="B4" s="5" t="inlineStr">
        <is>
          <t>What we need</t>
        </is>
      </c>
      <c r="C4" s="5" t="inlineStr">
        <is>
          <t>Needed by</t>
        </is>
      </c>
      <c r="D4" s="5" t="inlineStr">
        <is>
          <t>Why it blocks us</t>
        </is>
      </c>
      <c r="E4" s="5" t="inlineStr">
        <is>
          <t>Status</t>
        </is>
      </c>
      <c r="F4" s="5" t="inlineStr">
        <is>
          <t>Date received</t>
        </is>
      </c>
      <c r="G4" s="5" t="inlineStr">
        <is>
          <t>Notes</t>
        </is>
      </c>
    </row>
    <row r="5">
      <c r="A5" s="11" t="inlineStr">
        <is>
          <t>Access</t>
        </is>
      </c>
      <c r="B5" s="14" t="inlineStr">
        <is>
          <t>Google Business Profile, and which email holds it</t>
        </is>
      </c>
      <c r="C5" s="41" t="n">
        <v>46255</v>
      </c>
      <c r="D5" s="14" t="inlineStr">
        <is>
          <t>Nothing on the profile can start until this is settled</t>
        </is>
      </c>
      <c r="E5" s="14" t="inlineStr">
        <is>
          <t>Not started</t>
        </is>
      </c>
      <c r="F5" s="41" t="n"/>
      <c r="G5" s="14" t="n"/>
    </row>
    <row r="6">
      <c r="A6" s="11" t="inlineStr">
        <is>
          <t>Answer</t>
        </is>
      </c>
      <c r="B6" s="14" t="inlineStr">
        <is>
          <t>Real opening hours for every day</t>
        </is>
      </c>
      <c r="C6" s="41" t="n">
        <v>46255</v>
      </c>
      <c r="D6" s="14" t="inlineStr">
        <is>
          <t>The hours on Google are wrong until we have these</t>
        </is>
      </c>
      <c r="E6" s="14" t="inlineStr">
        <is>
          <t>Not started</t>
        </is>
      </c>
      <c r="F6" s="41" t="n"/>
      <c r="G6" s="14" t="n"/>
    </row>
    <row r="7">
      <c r="A7" s="11" t="inlineStr">
        <is>
          <t>Asset</t>
        </is>
      </c>
      <c r="B7" s="14" t="inlineStr">
        <is>
          <t>Treatment list with current pricing</t>
        </is>
      </c>
      <c r="C7" s="41" t="n">
        <v>46260</v>
      </c>
      <c r="D7" s="14" t="inlineStr">
        <is>
          <t>Sitemap, service pages and the GBP services list all key off it</t>
        </is>
      </c>
      <c r="E7" s="14" t="inlineStr">
        <is>
          <t>Not started</t>
        </is>
      </c>
      <c r="F7" s="41" t="n"/>
      <c r="G7" s="14" t="n"/>
    </row>
    <row r="8">
      <c r="A8" s="11" t="inlineStr">
        <is>
          <t>Access</t>
        </is>
      </c>
      <c r="B8" s="14" t="inlineStr">
        <is>
          <t>Domain registrar login for luxurybeautybycleo.ca</t>
        </is>
      </c>
      <c r="C8" s="41" t="n">
        <v>46262</v>
      </c>
      <c r="D8" s="14" t="inlineStr">
        <is>
          <t>DNS has to be pointed before the build can start on 1 September</t>
        </is>
      </c>
      <c r="E8" s="14" t="inlineStr">
        <is>
          <t>Not started</t>
        </is>
      </c>
      <c r="F8" s="41" t="n"/>
      <c r="G8" s="14" t="n"/>
    </row>
    <row r="9">
      <c r="A9" s="11" t="inlineStr">
        <is>
          <t>Answer</t>
        </is>
      </c>
      <c r="B9" s="14" t="inlineStr">
        <is>
          <t>DESIGN SIGN-OFF on the wireframes and the look</t>
        </is>
      </c>
      <c r="C9" s="41" t="n">
        <v>46265</v>
      </c>
      <c r="D9" s="14" t="inlineStr">
        <is>
          <t>The build gate. Everything after it slips one-for-one</t>
        </is>
      </c>
      <c r="E9" s="14" t="inlineStr">
        <is>
          <t>Not started</t>
        </is>
      </c>
      <c r="F9" s="41" t="n"/>
      <c r="G9" s="14" t="n"/>
    </row>
    <row r="10">
      <c r="A10" s="11" t="inlineStr">
        <is>
          <t>Asset</t>
        </is>
      </c>
      <c r="B10" s="14" t="inlineStr">
        <is>
          <t>Photos of the treatment room and the space</t>
        </is>
      </c>
      <c r="C10" s="41" t="n">
        <v>46262</v>
      </c>
      <c r="D10" s="14" t="inlineStr">
        <is>
          <t>GBP photos and every website page</t>
        </is>
      </c>
      <c r="E10" s="14" t="inlineStr">
        <is>
          <t>Not started</t>
        </is>
      </c>
      <c r="F10" s="41" t="n"/>
      <c r="G10" s="14" t="n"/>
    </row>
    <row r="11">
      <c r="A11" s="11" t="inlineStr">
        <is>
          <t>Asset</t>
        </is>
      </c>
      <c r="B11" s="14" t="inlineStr">
        <is>
          <t>A current headshot</t>
        </is>
      </c>
      <c r="C11" s="41" t="n">
        <v>46262</v>
      </c>
      <c r="D11" s="14" t="inlineStr">
        <is>
          <t>GBP, Instagram and the site</t>
        </is>
      </c>
      <c r="E11" s="14" t="inlineStr">
        <is>
          <t>Not started</t>
        </is>
      </c>
      <c r="F11" s="41" t="n"/>
      <c r="G11" s="14" t="n"/>
    </row>
    <row r="12">
      <c r="A12" s="11" t="inlineStr">
        <is>
          <t>Asset</t>
        </is>
      </c>
      <c r="B12" s="14" t="inlineStr">
        <is>
          <t>Logo files and any brand assets you already have</t>
        </is>
      </c>
      <c r="C12" s="41" t="n">
        <v>46262</v>
      </c>
      <c r="D12" s="14" t="inlineStr">
        <is>
          <t>The design cannot be finalised without them</t>
        </is>
      </c>
      <c r="E12" s="14" t="inlineStr">
        <is>
          <t>Not started</t>
        </is>
      </c>
      <c r="F12" s="41" t="n"/>
      <c r="G12" s="14" t="n"/>
    </row>
    <row r="13">
      <c r="A13" s="11" t="inlineStr">
        <is>
          <t>Asset</t>
        </is>
      </c>
      <c r="B13" s="14" t="inlineStr">
        <is>
          <t>Signed before-and-after consent form</t>
        </is>
      </c>
      <c r="C13" s="41" t="n">
        <v>46271</v>
      </c>
      <c r="D13" s="14" t="inlineStr">
        <is>
          <t>Determines what we are allowed to publish anywhere</t>
        </is>
      </c>
      <c r="E13" s="14" t="inlineStr">
        <is>
          <t>Not started</t>
        </is>
      </c>
      <c r="F13" s="41" t="n"/>
      <c r="G13" s="14" t="n"/>
    </row>
    <row r="14">
      <c r="A14" s="11" t="inlineStr">
        <is>
          <t>Access</t>
        </is>
      </c>
      <c r="B14" s="14" t="inlineStr">
        <is>
          <t>Meta Business account and ad account</t>
        </is>
      </c>
      <c r="C14" s="41" t="n">
        <v>46285</v>
      </c>
      <c r="D14" s="14" t="inlineStr">
        <is>
          <t>Needed to build audiences and run ads</t>
        </is>
      </c>
      <c r="E14" s="14" t="inlineStr">
        <is>
          <t>Not started</t>
        </is>
      </c>
      <c r="F14" s="41" t="n"/>
      <c r="G14" s="14" t="n"/>
    </row>
    <row r="15">
      <c r="A15" s="11" t="inlineStr">
        <is>
          <t>Access</t>
        </is>
      </c>
      <c r="B15" s="14" t="inlineStr">
        <is>
          <t>Instagram collaborator invitation</t>
        </is>
      </c>
      <c r="C15" s="41" t="n">
        <v>46262</v>
      </c>
      <c r="D15" s="14" t="inlineStr">
        <is>
          <t>Needed to fix the name field, bio and link</t>
        </is>
      </c>
      <c r="E15" s="14" t="inlineStr">
        <is>
          <t>Not started</t>
        </is>
      </c>
      <c r="F15" s="41" t="n"/>
      <c r="G15" s="14" t="n"/>
    </row>
    <row r="16">
      <c r="A16" s="11" t="inlineStr">
        <is>
          <t>Access</t>
        </is>
      </c>
      <c r="B16" s="14" t="inlineStr">
        <is>
          <t>Booking system login</t>
        </is>
      </c>
      <c r="C16" s="41" t="n">
        <v>46271</v>
      </c>
      <c r="D16" s="14" t="inlineStr">
        <is>
          <t>Needed for the booking link and the lookalike audience</t>
        </is>
      </c>
      <c r="E16" s="14" t="inlineStr">
        <is>
          <t>Not started</t>
        </is>
      </c>
      <c r="F16" s="41" t="n"/>
      <c r="G16" s="14" t="n"/>
    </row>
    <row r="17">
      <c r="A17" s="11" t="inlineStr">
        <is>
          <t>Answer</t>
        </is>
      </c>
      <c r="B17" s="14" t="inlineStr">
        <is>
          <t>Whether Allure allows your own signage and suite designation</t>
        </is>
      </c>
      <c r="C17" s="41" t="n">
        <v>46257</v>
      </c>
      <c r="D17" s="14" t="inlineStr">
        <is>
          <t>Decides how we build the Google listing</t>
        </is>
      </c>
      <c r="E17" s="14" t="inlineStr">
        <is>
          <t>Not started</t>
        </is>
      </c>
      <c r="F17" s="41" t="n"/>
      <c r="G17" s="14" t="n"/>
    </row>
    <row r="18">
      <c r="A18" s="11" t="inlineStr">
        <is>
          <t>Answer</t>
        </is>
      </c>
      <c r="B18" s="14" t="inlineStr">
        <is>
          <t>The three competitors you want to be measured against</t>
        </is>
      </c>
      <c r="C18" s="41" t="n">
        <v>46257</v>
      </c>
      <c r="D18" s="14" t="inlineStr">
        <is>
          <t>Shapes what we track and benchmark</t>
        </is>
      </c>
      <c r="E18" s="14" t="inlineStr">
        <is>
          <t>Not started</t>
        </is>
      </c>
      <c r="F18" s="41" t="n"/>
      <c r="G18" s="14" t="n"/>
    </row>
    <row r="19">
      <c r="A19" s="11" t="inlineStr">
        <is>
          <t>Answer</t>
        </is>
      </c>
      <c r="B19" s="14" t="inlineStr">
        <is>
          <t>Your ideal patient, in your own words</t>
        </is>
      </c>
      <c r="C19" s="41" t="n">
        <v>46278</v>
      </c>
      <c r="D19" s="14" t="inlineStr">
        <is>
          <t>Ad audiences and page copy</t>
        </is>
      </c>
      <c r="E19" s="14" t="inlineStr">
        <is>
          <t>Not started</t>
        </is>
      </c>
      <c r="F19" s="41" t="n"/>
      <c r="G19" s="14" t="n"/>
    </row>
    <row r="20">
      <c r="A20" s="11" t="inlineStr">
        <is>
          <t>Answer</t>
        </is>
      </c>
      <c r="B20" s="14" t="inlineStr">
        <is>
          <t>Current monthly spend on Instagram and Google ads</t>
        </is>
      </c>
      <c r="C20" s="41" t="n">
        <v>46278</v>
      </c>
      <c r="D20" s="14" t="inlineStr">
        <is>
          <t>Cannot recommend a budget without it</t>
        </is>
      </c>
      <c r="E20" s="14" t="inlineStr">
        <is>
          <t>Not started</t>
        </is>
      </c>
      <c r="F20" s="41" t="n"/>
      <c r="G20" s="14" t="n"/>
    </row>
    <row r="21" ht="15.75" customHeight="1" s="47">
      <c r="A21" s="11" t="inlineStr">
        <is>
          <t>Answer</t>
        </is>
      </c>
      <c r="B21" s="14" t="inlineStr">
        <is>
          <t>Approval of the home page copy</t>
        </is>
      </c>
      <c r="C21" s="41" t="n">
        <v>46278</v>
      </c>
      <c r="D21" s="14" t="inlineStr">
        <is>
          <t>Home and contact cannot go into staging without it</t>
        </is>
      </c>
      <c r="E21" s="14" t="inlineStr">
        <is>
          <t>Not started</t>
        </is>
      </c>
      <c r="F21" s="41" t="n"/>
      <c r="G21" s="14" t="n"/>
    </row>
    <row r="22" ht="15.75" customHeight="1" s="47">
      <c r="A22" s="11" t="inlineStr">
        <is>
          <t>Answer</t>
        </is>
      </c>
      <c r="B22" s="14" t="inlineStr">
        <is>
          <t>Approval of the treatment page copy</t>
        </is>
      </c>
      <c r="C22" s="41" t="n">
        <v>46292</v>
      </c>
      <c r="D22" s="14" t="inlineStr">
        <is>
          <t>Every claim has to be one you can stand behind</t>
        </is>
      </c>
      <c r="E22" s="14" t="inlineStr">
        <is>
          <t>Not started</t>
        </is>
      </c>
      <c r="F22" s="41" t="n"/>
      <c r="G22" s="14" t="n"/>
    </row>
    <row r="23" ht="15.75" customHeight="1" s="47">
      <c r="A23" s="11" t="inlineStr">
        <is>
          <t>Answer</t>
        </is>
      </c>
      <c r="B23" s="14" t="inlineStr">
        <is>
          <t>The questions you get asked most in consults</t>
        </is>
      </c>
      <c r="C23" s="41" t="n">
        <v>46313</v>
      </c>
      <c r="D23" s="14" t="inlineStr">
        <is>
          <t>The articles are written from them, not invented</t>
        </is>
      </c>
      <c r="E23" s="14" t="inlineStr">
        <is>
          <t>Not started</t>
        </is>
      </c>
      <c r="F23" s="41" t="n"/>
      <c r="G23" s="14" t="n"/>
    </row>
    <row r="24" ht="15.75" customHeight="1" s="47">
      <c r="A24" s="11" t="inlineStr">
        <is>
          <t>Answer</t>
        </is>
      </c>
      <c r="B24" s="14" t="inlineStr">
        <is>
          <t>Commitment to the daily routine</t>
        </is>
      </c>
      <c r="C24" s="41" t="n">
        <v>46255</v>
      </c>
      <c r="D24" s="14" t="inlineStr">
        <is>
          <t>Five slots a day. Without them the rest of the plan does not compound</t>
        </is>
      </c>
      <c r="E24" s="14" t="inlineStr">
        <is>
          <t>Not started</t>
        </is>
      </c>
      <c r="F24" s="41" t="n"/>
      <c r="G24" s="14" t="n"/>
    </row>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conditionalFormatting sqref="A5:G24">
    <cfRule type="expression" priority="1" dxfId="0">
      <formula>$E5="Received"</formula>
    </cfRule>
    <cfRule type="expression" priority="2" dxfId="2">
      <formula>$E5="Chased"</formula>
    </cfRule>
    <cfRule type="expression" priority="3" dxfId="3">
      <formula>AND($C5&lt;TODAY(),$E5&lt;&gt;"Received",$E5&lt;&gt;"Not applicable")</formula>
    </cfRule>
  </conditionalFormatting>
  <dataValidations count="1">
    <dataValidation sqref="E5:E24" showDropDown="0" showInputMessage="0" showErrorMessage="0" allowBlank="1" type="list">
      <formula1>"Not started,Asked,Chased,Received,Not applicable"</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2026-08-21T12:58:54Z</dcterms:created>
  <dcterms:modified xsi:type="dcterms:W3CDTF">2026-08-21T12:58:54Z</dcterms:modified>
</cp:coreProperties>
</file>